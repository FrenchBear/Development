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426" codeName="{0EBEE25D-5E30-3CCF-7B8A-937B5088EA05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DevelopmentGD\BooksApps\FileFilter 2\"/>
    </mc:Choice>
  </mc:AlternateContent>
  <bookViews>
    <workbookView xWindow="0" yWindow="0" windowWidth="25320" windowHeight="13013" activeTab="1"/>
  </bookViews>
  <sheets>
    <sheet name="Sheet1" sheetId="1" r:id="rId1"/>
    <sheet name="Sheet2" sheetId="2" r:id="rId2"/>
  </sheets>
  <functionGroups builtInGroupCount="18"/>
  <calcPr calcId="171027"/>
  <pivotCaches>
    <pivotCache cacheId="4" r:id="rId3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857" i="1" l="1"/>
  <c r="I1856" i="1"/>
  <c r="I1834" i="1"/>
  <c r="I1800" i="1"/>
  <c r="I1793" i="1"/>
  <c r="I1826" i="1"/>
  <c r="I1789" i="1"/>
  <c r="I1781" i="1"/>
  <c r="I1752" i="1"/>
  <c r="I1759" i="1"/>
  <c r="I1646" i="1"/>
  <c r="I1717" i="1"/>
  <c r="I1676" i="1"/>
  <c r="I1668" i="1"/>
  <c r="I1739" i="1"/>
  <c r="I1721" i="1"/>
  <c r="I1688" i="1"/>
  <c r="I1672" i="1"/>
  <c r="I1571" i="1"/>
  <c r="I1601" i="1"/>
  <c r="I1582" i="1"/>
  <c r="I1589" i="1"/>
  <c r="I1569" i="1"/>
  <c r="I1553" i="1"/>
  <c r="I1598" i="1"/>
  <c r="I1590" i="1"/>
  <c r="I1585" i="1"/>
  <c r="I1506" i="1"/>
  <c r="I1524" i="1"/>
  <c r="I1526" i="1"/>
  <c r="I1436" i="1"/>
  <c r="I1382" i="1"/>
  <c r="I1423" i="1"/>
  <c r="I1429" i="1"/>
  <c r="I1410" i="1"/>
  <c r="I1473" i="1"/>
  <c r="I1420" i="1"/>
  <c r="I1418" i="1"/>
  <c r="I1425" i="1"/>
  <c r="I1450" i="1"/>
  <c r="I1271" i="1"/>
  <c r="I1275" i="1"/>
  <c r="I1294" i="1"/>
  <c r="I1252" i="1"/>
  <c r="I1305" i="1"/>
  <c r="I1195" i="1"/>
  <c r="I1316" i="1"/>
  <c r="I1312" i="1"/>
  <c r="I1279" i="1"/>
  <c r="I1326" i="1"/>
  <c r="I1276" i="1"/>
  <c r="I1277" i="1"/>
  <c r="I1213" i="1"/>
  <c r="I1358" i="1"/>
  <c r="I1202" i="1"/>
  <c r="I1261" i="1"/>
  <c r="I1143" i="1"/>
  <c r="I1135" i="1"/>
  <c r="I1158" i="1"/>
  <c r="I1181" i="1"/>
  <c r="I1144" i="1"/>
  <c r="I1083" i="1"/>
  <c r="I1106" i="1"/>
  <c r="I1051" i="1"/>
  <c r="I1103" i="1"/>
  <c r="I1077" i="1"/>
  <c r="I1066" i="1"/>
  <c r="I1050" i="1"/>
  <c r="I1025" i="1"/>
  <c r="I1007" i="1"/>
  <c r="I1005" i="1"/>
  <c r="I861" i="1"/>
  <c r="I968" i="1"/>
  <c r="I998" i="1"/>
  <c r="I931" i="1"/>
  <c r="I923" i="1"/>
  <c r="I882" i="1"/>
  <c r="I962" i="1"/>
  <c r="I928" i="1"/>
  <c r="I951" i="1"/>
  <c r="I912" i="1"/>
  <c r="I960" i="1"/>
  <c r="I862" i="1"/>
  <c r="I843" i="1"/>
  <c r="I839" i="1"/>
  <c r="I834" i="1"/>
  <c r="I829" i="1"/>
  <c r="I805" i="1"/>
  <c r="I782" i="1"/>
  <c r="I695" i="1"/>
  <c r="I745" i="1"/>
  <c r="I691" i="1"/>
  <c r="I708" i="1"/>
  <c r="I725" i="1"/>
  <c r="I677" i="1"/>
  <c r="I670" i="1"/>
  <c r="I765" i="1"/>
  <c r="I738" i="1"/>
  <c r="I690" i="1"/>
  <c r="I747" i="1"/>
  <c r="I571" i="1"/>
  <c r="I528" i="1"/>
  <c r="I570" i="1"/>
  <c r="I612" i="1"/>
  <c r="I521" i="1"/>
  <c r="I588" i="1"/>
  <c r="I555" i="1"/>
  <c r="I526" i="1"/>
  <c r="I601" i="1"/>
  <c r="I537" i="1"/>
  <c r="I511" i="1"/>
  <c r="I437" i="1"/>
  <c r="I472" i="1"/>
  <c r="I499" i="1"/>
  <c r="I477" i="1"/>
  <c r="I491" i="1"/>
  <c r="I489" i="1"/>
  <c r="I386" i="1"/>
  <c r="I242" i="1"/>
  <c r="I421" i="1"/>
  <c r="I277" i="1"/>
  <c r="I209" i="1"/>
  <c r="I324" i="1"/>
  <c r="I213" i="1"/>
  <c r="I383" i="1"/>
  <c r="I239" i="1"/>
  <c r="I406" i="1"/>
  <c r="I1845" i="1"/>
  <c r="I1844" i="1"/>
  <c r="I1855" i="1"/>
  <c r="I1823" i="1"/>
  <c r="I1828" i="1"/>
  <c r="I1825" i="1"/>
  <c r="I1777" i="1"/>
  <c r="I1779" i="1"/>
  <c r="I1751" i="1"/>
  <c r="I1757" i="1"/>
  <c r="I1726" i="1"/>
  <c r="I1705" i="1"/>
  <c r="I1723" i="1"/>
  <c r="I1656" i="1"/>
  <c r="I1727" i="1"/>
  <c r="I1720" i="1"/>
  <c r="I1699" i="1"/>
  <c r="I1707" i="1"/>
  <c r="I1559" i="1"/>
  <c r="I1541" i="1"/>
  <c r="I1570" i="1"/>
  <c r="I1624" i="1"/>
  <c r="I1557" i="1"/>
  <c r="I1600" i="1"/>
  <c r="I1561" i="1"/>
  <c r="I1625" i="1"/>
  <c r="I1536" i="1"/>
  <c r="I1527" i="1"/>
  <c r="I1510" i="1"/>
  <c r="I1514" i="1"/>
  <c r="I1424" i="1"/>
  <c r="I1489" i="1"/>
  <c r="I1411" i="1"/>
  <c r="I1381" i="1"/>
  <c r="I1398" i="1"/>
  <c r="I1493" i="1"/>
  <c r="I1455" i="1"/>
  <c r="I1441" i="1"/>
  <c r="I1415" i="1"/>
  <c r="I1426" i="1"/>
  <c r="I1259" i="1"/>
  <c r="I1190" i="1"/>
  <c r="I1282" i="1"/>
  <c r="I1239" i="1"/>
  <c r="I1293" i="1"/>
  <c r="I1324" i="1"/>
  <c r="I1304" i="1"/>
  <c r="I1228" i="1"/>
  <c r="I1231" i="1"/>
  <c r="I1314" i="1"/>
  <c r="I1204" i="1"/>
  <c r="I1265" i="1"/>
  <c r="I1248" i="1"/>
  <c r="I1346" i="1"/>
  <c r="I1308" i="1"/>
  <c r="I1249" i="1"/>
  <c r="I1178" i="1"/>
  <c r="I1123" i="1"/>
  <c r="I1146" i="1"/>
  <c r="I1169" i="1"/>
  <c r="I1139" i="1"/>
  <c r="I1071" i="1"/>
  <c r="I1094" i="1"/>
  <c r="I1098" i="1"/>
  <c r="I1043" i="1"/>
  <c r="I1099" i="1"/>
  <c r="I1041" i="1"/>
  <c r="I1085" i="1"/>
  <c r="I1032" i="1"/>
  <c r="I1011" i="1"/>
  <c r="I993" i="1"/>
  <c r="I953" i="1"/>
  <c r="I956" i="1"/>
  <c r="I914" i="1"/>
  <c r="I919" i="1"/>
  <c r="I910" i="1"/>
  <c r="I870" i="1"/>
  <c r="I866" i="1"/>
  <c r="I916" i="1"/>
  <c r="I939" i="1"/>
  <c r="I875" i="1"/>
  <c r="I948" i="1"/>
  <c r="I859" i="1"/>
  <c r="I846" i="1"/>
  <c r="I827" i="1"/>
  <c r="I821" i="1"/>
  <c r="I807" i="1"/>
  <c r="I793" i="1"/>
  <c r="I770" i="1"/>
  <c r="I692" i="1"/>
  <c r="I733" i="1"/>
  <c r="I762" i="1"/>
  <c r="I696" i="1"/>
  <c r="I652" i="1"/>
  <c r="I736" i="1"/>
  <c r="I658" i="1"/>
  <c r="I753" i="1"/>
  <c r="I701" i="1"/>
  <c r="I654" i="1"/>
  <c r="I772" i="1"/>
  <c r="I559" i="1"/>
  <c r="I551" i="1"/>
  <c r="I558" i="1"/>
  <c r="I575" i="1"/>
  <c r="I604" i="1"/>
  <c r="I563" i="1"/>
  <c r="I543" i="1"/>
  <c r="I585" i="1"/>
  <c r="I589" i="1"/>
  <c r="I632" i="1"/>
  <c r="I516" i="1"/>
  <c r="I457" i="1"/>
  <c r="I460" i="1"/>
  <c r="I507" i="1"/>
  <c r="I440" i="1"/>
  <c r="I455" i="1"/>
  <c r="I476" i="1"/>
  <c r="I374" i="1"/>
  <c r="I230" i="1"/>
  <c r="I409" i="1"/>
  <c r="I265" i="1"/>
  <c r="I399" i="1"/>
  <c r="I312" i="1"/>
  <c r="I235" i="1"/>
  <c r="I371" i="1"/>
  <c r="I227" i="1"/>
  <c r="I394" i="1"/>
  <c r="I1833" i="1"/>
  <c r="I1832" i="1"/>
  <c r="I1843" i="1"/>
  <c r="I1798" i="1"/>
  <c r="I1804" i="1"/>
  <c r="I1824" i="1"/>
  <c r="I1787" i="1"/>
  <c r="I1772" i="1"/>
  <c r="I1750" i="1"/>
  <c r="I1744" i="1"/>
  <c r="I1653" i="1"/>
  <c r="I1693" i="1"/>
  <c r="I1686" i="1"/>
  <c r="I1667" i="1"/>
  <c r="I1715" i="1"/>
  <c r="I1659" i="1"/>
  <c r="I1651" i="1"/>
  <c r="I1722" i="1"/>
  <c r="I1547" i="1"/>
  <c r="I1588" i="1"/>
  <c r="I1558" i="1"/>
  <c r="I1622" i="1"/>
  <c r="I1545" i="1"/>
  <c r="I1587" i="1"/>
  <c r="I1584" i="1"/>
  <c r="I1612" i="1"/>
  <c r="I1540" i="1"/>
  <c r="I1525" i="1"/>
  <c r="I1508" i="1"/>
  <c r="I1501" i="1"/>
  <c r="I1412" i="1"/>
  <c r="I1393" i="1"/>
  <c r="I1399" i="1"/>
  <c r="I1464" i="1"/>
  <c r="I1386" i="1"/>
  <c r="I1466" i="1"/>
  <c r="I1383" i="1"/>
  <c r="I1416" i="1"/>
  <c r="I1476" i="1"/>
  <c r="I1437" i="1"/>
  <c r="I1247" i="1"/>
  <c r="I1201" i="1"/>
  <c r="I1270" i="1"/>
  <c r="I1227" i="1"/>
  <c r="I1281" i="1"/>
  <c r="I1264" i="1"/>
  <c r="I1292" i="1"/>
  <c r="I1287" i="1"/>
  <c r="I1194" i="1"/>
  <c r="I1302" i="1"/>
  <c r="I1323" i="1"/>
  <c r="I1253" i="1"/>
  <c r="I1236" i="1"/>
  <c r="I1334" i="1"/>
  <c r="I1188" i="1"/>
  <c r="I1237" i="1"/>
  <c r="I1153" i="1"/>
  <c r="I1122" i="1"/>
  <c r="I1134" i="1"/>
  <c r="I1157" i="1"/>
  <c r="I1173" i="1"/>
  <c r="I1059" i="1"/>
  <c r="I1082" i="1"/>
  <c r="I1060" i="1"/>
  <c r="I1053" i="1"/>
  <c r="I1073" i="1"/>
  <c r="I1040" i="1"/>
  <c r="I1112" i="1"/>
  <c r="I1029" i="1"/>
  <c r="I1008" i="1"/>
  <c r="I981" i="1"/>
  <c r="I881" i="1"/>
  <c r="I944" i="1"/>
  <c r="I925" i="1"/>
  <c r="I907" i="1"/>
  <c r="I1002" i="1"/>
  <c r="I989" i="1"/>
  <c r="I913" i="1"/>
  <c r="I868" i="1"/>
  <c r="I927" i="1"/>
  <c r="I958" i="1"/>
  <c r="I936" i="1"/>
  <c r="I857" i="1"/>
  <c r="I842" i="1"/>
  <c r="I815" i="1"/>
  <c r="I819" i="1"/>
  <c r="I795" i="1"/>
  <c r="I792" i="1"/>
  <c r="I758" i="1"/>
  <c r="I739" i="1"/>
  <c r="I721" i="1"/>
  <c r="I678" i="1"/>
  <c r="I684" i="1"/>
  <c r="I771" i="1"/>
  <c r="I663" i="1"/>
  <c r="I646" i="1"/>
  <c r="I741" i="1"/>
  <c r="I724" i="1"/>
  <c r="I713" i="1"/>
  <c r="I760" i="1"/>
  <c r="I547" i="1"/>
  <c r="I527" i="1"/>
  <c r="I546" i="1"/>
  <c r="I538" i="1"/>
  <c r="I568" i="1"/>
  <c r="I562" i="1"/>
  <c r="I531" i="1"/>
  <c r="I572" i="1"/>
  <c r="I577" i="1"/>
  <c r="I634" i="1"/>
  <c r="I513" i="1"/>
  <c r="I480" i="1"/>
  <c r="I448" i="1"/>
  <c r="I495" i="1"/>
  <c r="I487" i="1"/>
  <c r="I478" i="1"/>
  <c r="I451" i="1"/>
  <c r="I362" i="1"/>
  <c r="I218" i="1"/>
  <c r="I397" i="1"/>
  <c r="I253" i="1"/>
  <c r="I243" i="1"/>
  <c r="I300" i="1"/>
  <c r="I330" i="1"/>
  <c r="I359" i="1"/>
  <c r="I215" i="1"/>
  <c r="I382" i="1"/>
  <c r="I1821" i="1"/>
  <c r="I1820" i="1"/>
  <c r="I1831" i="1"/>
  <c r="I1854" i="1"/>
  <c r="I1815" i="1"/>
  <c r="I1835" i="1"/>
  <c r="I1774" i="1"/>
  <c r="I1770" i="1"/>
  <c r="I1749" i="1"/>
  <c r="I1764" i="1"/>
  <c r="I1724" i="1"/>
  <c r="I1681" i="1"/>
  <c r="I1661" i="1"/>
  <c r="I1702" i="1"/>
  <c r="I1703" i="1"/>
  <c r="I1738" i="1"/>
  <c r="I1674" i="1"/>
  <c r="I1647" i="1"/>
  <c r="I1535" i="1"/>
  <c r="I1611" i="1"/>
  <c r="I1546" i="1"/>
  <c r="I1538" i="1"/>
  <c r="I1533" i="1"/>
  <c r="I1610" i="1"/>
  <c r="I1639" i="1"/>
  <c r="I1599" i="1"/>
  <c r="I1573" i="1"/>
  <c r="I1512" i="1"/>
  <c r="I1528" i="1"/>
  <c r="I1500" i="1"/>
  <c r="I1400" i="1"/>
  <c r="I1440" i="1"/>
  <c r="I1387" i="1"/>
  <c r="I1390" i="1"/>
  <c r="I1481" i="1"/>
  <c r="I1417" i="1"/>
  <c r="I1394" i="1"/>
  <c r="I1439" i="1"/>
  <c r="I1487" i="1"/>
  <c r="I1379" i="1"/>
  <c r="I1235" i="1"/>
  <c r="I1296" i="1"/>
  <c r="I1258" i="1"/>
  <c r="I1225" i="1"/>
  <c r="I1269" i="1"/>
  <c r="I1299" i="1"/>
  <c r="I1280" i="1"/>
  <c r="I1215" i="1"/>
  <c r="I1288" i="1"/>
  <c r="I1290" i="1"/>
  <c r="I1356" i="1"/>
  <c r="I1241" i="1"/>
  <c r="I1360" i="1"/>
  <c r="I1322" i="1"/>
  <c r="I1369" i="1"/>
  <c r="I1189" i="1"/>
  <c r="I1164" i="1"/>
  <c r="I1121" i="1"/>
  <c r="I1133" i="1"/>
  <c r="I1145" i="1"/>
  <c r="I1131" i="1"/>
  <c r="I1047" i="1"/>
  <c r="I1070" i="1"/>
  <c r="I1117" i="1"/>
  <c r="I1064" i="1"/>
  <c r="I1036" i="1"/>
  <c r="I1087" i="1"/>
  <c r="I1039" i="1"/>
  <c r="I1027" i="1"/>
  <c r="I1018" i="1"/>
  <c r="I969" i="1"/>
  <c r="I880" i="1"/>
  <c r="I932" i="1"/>
  <c r="I888" i="1"/>
  <c r="I895" i="1"/>
  <c r="I990" i="1"/>
  <c r="I917" i="1"/>
  <c r="I864" i="1"/>
  <c r="I938" i="1"/>
  <c r="I915" i="1"/>
  <c r="I890" i="1"/>
  <c r="I876" i="1"/>
  <c r="I856" i="1"/>
  <c r="I845" i="1"/>
  <c r="I825" i="1"/>
  <c r="I817" i="1"/>
  <c r="I802" i="1"/>
  <c r="I803" i="1"/>
  <c r="I746" i="1"/>
  <c r="I702" i="1"/>
  <c r="I709" i="1"/>
  <c r="I749" i="1"/>
  <c r="I672" i="1"/>
  <c r="I779" i="1"/>
  <c r="I778" i="1"/>
  <c r="I669" i="1"/>
  <c r="I729" i="1"/>
  <c r="I651" i="1"/>
  <c r="I653" i="1"/>
  <c r="I748" i="1"/>
  <c r="I535" i="1"/>
  <c r="I550" i="1"/>
  <c r="I534" i="1"/>
  <c r="I549" i="1"/>
  <c r="I544" i="1"/>
  <c r="I573" i="1"/>
  <c r="I519" i="1"/>
  <c r="I638" i="1"/>
  <c r="I565" i="1"/>
  <c r="I622" i="1"/>
  <c r="I515" i="1"/>
  <c r="I467" i="1"/>
  <c r="I436" i="1"/>
  <c r="I483" i="1"/>
  <c r="I438" i="1"/>
  <c r="I501" i="1"/>
  <c r="I439" i="1"/>
  <c r="I350" i="1"/>
  <c r="I206" i="1"/>
  <c r="I385" i="1"/>
  <c r="I241" i="1"/>
  <c r="I432" i="1"/>
  <c r="I288" i="1"/>
  <c r="I306" i="1"/>
  <c r="I347" i="1"/>
  <c r="I310" i="1"/>
  <c r="I370" i="1"/>
  <c r="I1809" i="1"/>
  <c r="I1808" i="1"/>
  <c r="I1819" i="1"/>
  <c r="I1850" i="1"/>
  <c r="I1802" i="1"/>
  <c r="I1810" i="1"/>
  <c r="I1773" i="1"/>
  <c r="I1767" i="1"/>
  <c r="I1748" i="1"/>
  <c r="I1742" i="1"/>
  <c r="I1652" i="1"/>
  <c r="I1669" i="1"/>
  <c r="I1708" i="1"/>
  <c r="I1654" i="1"/>
  <c r="I1679" i="1"/>
  <c r="I1712" i="1"/>
  <c r="I1685" i="1"/>
  <c r="I1733" i="1"/>
  <c r="I1604" i="1"/>
  <c r="I1563" i="1"/>
  <c r="I1534" i="1"/>
  <c r="I1549" i="1"/>
  <c r="I1616" i="1"/>
  <c r="I1550" i="1"/>
  <c r="I1542" i="1"/>
  <c r="I1586" i="1"/>
  <c r="I1560" i="1"/>
  <c r="I1511" i="1"/>
  <c r="I1516" i="1"/>
  <c r="I1499" i="1"/>
  <c r="I1388" i="1"/>
  <c r="I1391" i="1"/>
  <c r="I1457" i="1"/>
  <c r="I1401" i="1"/>
  <c r="I1433" i="1"/>
  <c r="I1488" i="1"/>
  <c r="I1477" i="1"/>
  <c r="I1449" i="1"/>
  <c r="I1475" i="1"/>
  <c r="I1367" i="1"/>
  <c r="I1223" i="1"/>
  <c r="I1200" i="1"/>
  <c r="I1246" i="1"/>
  <c r="I1260" i="1"/>
  <c r="I1257" i="1"/>
  <c r="I1191" i="1"/>
  <c r="I1268" i="1"/>
  <c r="I1368" i="1"/>
  <c r="I1216" i="1"/>
  <c r="I1278" i="1"/>
  <c r="I1373" i="1"/>
  <c r="I1229" i="1"/>
  <c r="I1332" i="1"/>
  <c r="I1310" i="1"/>
  <c r="I1357" i="1"/>
  <c r="I1284" i="1"/>
  <c r="I1140" i="1"/>
  <c r="I1168" i="1"/>
  <c r="I1132" i="1"/>
  <c r="I1156" i="1"/>
  <c r="I1163" i="1"/>
  <c r="I1035" i="1"/>
  <c r="I1058" i="1"/>
  <c r="I1105" i="1"/>
  <c r="I1075" i="1"/>
  <c r="I1115" i="1"/>
  <c r="I1038" i="1"/>
  <c r="I1062" i="1"/>
  <c r="I1022" i="1"/>
  <c r="I1014" i="1"/>
  <c r="I957" i="1"/>
  <c r="I950" i="1"/>
  <c r="I920" i="1"/>
  <c r="I863" i="1"/>
  <c r="I883" i="1"/>
  <c r="I978" i="1"/>
  <c r="I904" i="1"/>
  <c r="I899" i="1"/>
  <c r="I973" i="1"/>
  <c r="I903" i="1"/>
  <c r="I886" i="1"/>
  <c r="I994" i="1"/>
  <c r="I855" i="1"/>
  <c r="I844" i="1"/>
  <c r="I811" i="1"/>
  <c r="I837" i="1"/>
  <c r="I788" i="1"/>
  <c r="I790" i="1"/>
  <c r="I734" i="1"/>
  <c r="I666" i="1"/>
  <c r="I697" i="1"/>
  <c r="I688" i="1"/>
  <c r="I660" i="1"/>
  <c r="I767" i="1"/>
  <c r="I766" i="1"/>
  <c r="I645" i="1"/>
  <c r="I717" i="1"/>
  <c r="I776" i="1"/>
  <c r="I664" i="1"/>
  <c r="I712" i="1"/>
  <c r="I523" i="1"/>
  <c r="I597" i="1"/>
  <c r="I522" i="1"/>
  <c r="I608" i="1"/>
  <c r="I578" i="1"/>
  <c r="I584" i="1"/>
  <c r="I626" i="1"/>
  <c r="I566" i="1"/>
  <c r="I541" i="1"/>
  <c r="I610" i="1"/>
  <c r="I512" i="1"/>
  <c r="I502" i="1"/>
  <c r="I493" i="1"/>
  <c r="I471" i="1"/>
  <c r="I506" i="1"/>
  <c r="I464" i="1"/>
  <c r="I450" i="1"/>
  <c r="I338" i="1"/>
  <c r="I286" i="1"/>
  <c r="I373" i="1"/>
  <c r="I229" i="1"/>
  <c r="I420" i="1"/>
  <c r="I276" i="1"/>
  <c r="I222" i="1"/>
  <c r="I1797" i="1"/>
  <c r="I1818" i="1"/>
  <c r="I1842" i="1"/>
  <c r="I1795" i="1"/>
  <c r="I1799" i="1"/>
  <c r="I1836" i="1"/>
  <c r="I1790" i="1"/>
  <c r="I1769" i="1"/>
  <c r="I1762" i="1"/>
  <c r="I1746" i="1"/>
  <c r="I1718" i="1"/>
  <c r="I1698" i="1"/>
  <c r="I1645" i="1"/>
  <c r="I1740" i="1"/>
  <c r="I1664" i="1"/>
  <c r="I1678" i="1"/>
  <c r="I1732" i="1"/>
  <c r="I1684" i="1"/>
  <c r="I1643" i="1"/>
  <c r="I1556" i="1"/>
  <c r="I1621" i="1"/>
  <c r="I1568" i="1"/>
  <c r="I1641" i="1"/>
  <c r="I1544" i="1"/>
  <c r="I1548" i="1"/>
  <c r="I1564" i="1"/>
  <c r="I1537" i="1"/>
  <c r="I1596" i="1"/>
  <c r="I1519" i="1"/>
  <c r="I1515" i="1"/>
  <c r="I1507" i="1"/>
  <c r="I1421" i="1"/>
  <c r="I1495" i="1"/>
  <c r="I1409" i="1"/>
  <c r="I1482" i="1"/>
  <c r="I1432" i="1"/>
  <c r="I1402" i="1"/>
  <c r="I1403" i="1"/>
  <c r="I1478" i="1"/>
  <c r="I1451" i="1"/>
  <c r="I1343" i="1"/>
  <c r="I1199" i="1"/>
  <c r="I1366" i="1"/>
  <c r="I1222" i="1"/>
  <c r="I1377" i="1"/>
  <c r="I1233" i="1"/>
  <c r="I1224" i="1"/>
  <c r="I1244" i="1"/>
  <c r="I1363" i="1"/>
  <c r="I1203" i="1"/>
  <c r="I1254" i="1"/>
  <c r="I1349" i="1"/>
  <c r="I1205" i="1"/>
  <c r="I1359" i="1"/>
  <c r="I1286" i="1"/>
  <c r="I1333" i="1"/>
  <c r="I1172" i="1"/>
  <c r="I1138" i="1"/>
  <c r="I1154" i="1"/>
  <c r="I1142" i="1"/>
  <c r="I1166" i="1"/>
  <c r="I1130" i="1"/>
  <c r="I1091" i="1"/>
  <c r="I1104" i="1"/>
  <c r="I1081" i="1"/>
  <c r="I1061" i="1"/>
  <c r="I1100" i="1"/>
  <c r="I1084" i="1"/>
  <c r="I1108" i="1"/>
  <c r="I1028" i="1"/>
  <c r="I1017" i="1"/>
  <c r="I933" i="1"/>
  <c r="I949" i="1"/>
  <c r="I896" i="1"/>
  <c r="I1003" i="1"/>
  <c r="I977" i="1"/>
  <c r="I954" i="1"/>
  <c r="I985" i="1"/>
  <c r="I1000" i="1"/>
  <c r="I924" i="1"/>
  <c r="I879" i="1"/>
  <c r="I889" i="1"/>
  <c r="I983" i="1"/>
  <c r="I854" i="1"/>
  <c r="I828" i="1"/>
  <c r="I832" i="1"/>
  <c r="I824" i="1"/>
  <c r="I806" i="1"/>
  <c r="I787" i="1"/>
  <c r="I710" i="1"/>
  <c r="I665" i="1"/>
  <c r="I673" i="1"/>
  <c r="I780" i="1"/>
  <c r="I707" i="1"/>
  <c r="I743" i="1"/>
  <c r="I742" i="1"/>
  <c r="I679" i="1"/>
  <c r="I693" i="1"/>
  <c r="I752" i="1"/>
  <c r="I775" i="1"/>
  <c r="I643" i="1"/>
  <c r="I545" i="1"/>
  <c r="I642" i="1"/>
  <c r="I533" i="1"/>
  <c r="I641" i="1"/>
  <c r="I552" i="1"/>
  <c r="I627" i="1"/>
  <c r="I602" i="1"/>
  <c r="I599" i="1"/>
  <c r="I611" i="1"/>
  <c r="I586" i="1"/>
  <c r="I509" i="1"/>
  <c r="I441" i="1"/>
  <c r="I444" i="1"/>
  <c r="I447" i="1"/>
  <c r="I482" i="1"/>
  <c r="I474" i="1"/>
  <c r="I486" i="1"/>
  <c r="I314" i="1"/>
  <c r="I212" i="1"/>
  <c r="I349" i="1"/>
  <c r="I205" i="1"/>
  <c r="I396" i="1"/>
  <c r="I252" i="1"/>
  <c r="I411" i="1"/>
  <c r="I311" i="1"/>
  <c r="I378" i="1"/>
  <c r="I334" i="1"/>
  <c r="I1806" i="1"/>
  <c r="I1792" i="1"/>
  <c r="I1830" i="1"/>
  <c r="I1853" i="1"/>
  <c r="I1846" i="1"/>
  <c r="I1778" i="1"/>
  <c r="I1788" i="1"/>
  <c r="I1760" i="1"/>
  <c r="I1745" i="1"/>
  <c r="I1706" i="1"/>
  <c r="I1697" i="1"/>
  <c r="I1691" i="1"/>
  <c r="I1728" i="1"/>
  <c r="I1735" i="1"/>
  <c r="I1701" i="1"/>
  <c r="I1683" i="1"/>
  <c r="I1731" i="1"/>
  <c r="I1631" i="1"/>
  <c r="I1627" i="1"/>
  <c r="I1642" i="1"/>
  <c r="I1532" i="1"/>
  <c r="I1629" i="1"/>
  <c r="I1615" i="1"/>
  <c r="I1640" i="1"/>
  <c r="I1552" i="1"/>
  <c r="I1637" i="1"/>
  <c r="I1632" i="1"/>
  <c r="I1529" i="1"/>
  <c r="I1513" i="1"/>
  <c r="I1496" i="1"/>
  <c r="I1385" i="1"/>
  <c r="I1483" i="1"/>
  <c r="I1444" i="1"/>
  <c r="I1470" i="1"/>
  <c r="I1467" i="1"/>
  <c r="I1413" i="1"/>
  <c r="I1414" i="1"/>
  <c r="I1442" i="1"/>
  <c r="I1427" i="1"/>
  <c r="I1331" i="1"/>
  <c r="I1187" i="1"/>
  <c r="I1354" i="1"/>
  <c r="I1210" i="1"/>
  <c r="I1365" i="1"/>
  <c r="I1221" i="1"/>
  <c r="I1376" i="1"/>
  <c r="I1232" i="1"/>
  <c r="I1351" i="1"/>
  <c r="I1272" i="1"/>
  <c r="I1242" i="1"/>
  <c r="I1337" i="1"/>
  <c r="I1193" i="1"/>
  <c r="I1347" i="1"/>
  <c r="I1274" i="1"/>
  <c r="I1321" i="1"/>
  <c r="I1160" i="1"/>
  <c r="I1137" i="1"/>
  <c r="I1165" i="1"/>
  <c r="I1177" i="1"/>
  <c r="I1141" i="1"/>
  <c r="I1162" i="1"/>
  <c r="I1042" i="1"/>
  <c r="I1044" i="1"/>
  <c r="I1069" i="1"/>
  <c r="I1048" i="1"/>
  <c r="I1086" i="1"/>
  <c r="I1113" i="1"/>
  <c r="I1110" i="1"/>
  <c r="I1024" i="1"/>
  <c r="I1015" i="1"/>
  <c r="I921" i="1"/>
  <c r="I900" i="1"/>
  <c r="I884" i="1"/>
  <c r="I991" i="1"/>
  <c r="I941" i="1"/>
  <c r="I942" i="1"/>
  <c r="I877" i="1"/>
  <c r="I988" i="1"/>
  <c r="I970" i="1"/>
  <c r="I867" i="1"/>
  <c r="I887" i="1"/>
  <c r="I971" i="1"/>
  <c r="I850" i="1"/>
  <c r="I816" i="1"/>
  <c r="I830" i="1"/>
  <c r="I812" i="1"/>
  <c r="I794" i="1"/>
  <c r="I797" i="1"/>
  <c r="I698" i="1"/>
  <c r="I700" i="1"/>
  <c r="I661" i="1"/>
  <c r="I768" i="1"/>
  <c r="I659" i="1"/>
  <c r="I731" i="1"/>
  <c r="I730" i="1"/>
  <c r="I714" i="1"/>
  <c r="I681" i="1"/>
  <c r="I740" i="1"/>
  <c r="I737" i="1"/>
  <c r="I631" i="1"/>
  <c r="I628" i="1"/>
  <c r="I630" i="1"/>
  <c r="I616" i="1"/>
  <c r="I629" i="1"/>
  <c r="I623" i="1"/>
  <c r="I615" i="1"/>
  <c r="I590" i="1"/>
  <c r="I609" i="1"/>
  <c r="I621" i="1"/>
  <c r="I574" i="1"/>
  <c r="I497" i="1"/>
  <c r="I500" i="1"/>
  <c r="I503" i="1"/>
  <c r="I458" i="1"/>
  <c r="I470" i="1"/>
  <c r="I481" i="1"/>
  <c r="I463" i="1"/>
  <c r="I302" i="1"/>
  <c r="I414" i="1"/>
  <c r="I337" i="1"/>
  <c r="I262" i="1"/>
  <c r="I384" i="1"/>
  <c r="I240" i="1"/>
  <c r="I291" i="1"/>
  <c r="I299" i="1"/>
  <c r="I258" i="1"/>
  <c r="I322" i="1"/>
  <c r="I1851" i="1"/>
  <c r="I1803" i="1"/>
  <c r="I1794" i="1"/>
  <c r="I1841" i="1"/>
  <c r="I1852" i="1"/>
  <c r="I1786" i="1"/>
  <c r="I1776" i="1"/>
  <c r="I1758" i="1"/>
  <c r="I1765" i="1"/>
  <c r="I1694" i="1"/>
  <c r="I1660" i="1"/>
  <c r="I1655" i="1"/>
  <c r="I1716" i="1"/>
  <c r="I1662" i="1"/>
  <c r="I1700" i="1"/>
  <c r="I1737" i="1"/>
  <c r="I1736" i="1"/>
  <c r="I1619" i="1"/>
  <c r="I1591" i="1"/>
  <c r="I1630" i="1"/>
  <c r="I1603" i="1"/>
  <c r="I1617" i="1"/>
  <c r="I1567" i="1"/>
  <c r="I1578" i="1"/>
  <c r="I1623" i="1"/>
  <c r="I1576" i="1"/>
  <c r="I1620" i="1"/>
  <c r="I1517" i="1"/>
  <c r="I1523" i="1"/>
  <c r="I1484" i="1"/>
  <c r="I1408" i="1"/>
  <c r="I1471" i="1"/>
  <c r="I1396" i="1"/>
  <c r="I1458" i="1"/>
  <c r="I1395" i="1"/>
  <c r="I1492" i="1"/>
  <c r="I1389" i="1"/>
  <c r="I1465" i="1"/>
  <c r="I1461" i="1"/>
  <c r="I1319" i="1"/>
  <c r="I1267" i="1"/>
  <c r="I1342" i="1"/>
  <c r="I1198" i="1"/>
  <c r="I1353" i="1"/>
  <c r="I1209" i="1"/>
  <c r="I1364" i="1"/>
  <c r="I1220" i="1"/>
  <c r="I1339" i="1"/>
  <c r="I1374" i="1"/>
  <c r="I1230" i="1"/>
  <c r="I1325" i="1"/>
  <c r="I1348" i="1"/>
  <c r="I1311" i="1"/>
  <c r="I1262" i="1"/>
  <c r="I1309" i="1"/>
  <c r="I1148" i="1"/>
  <c r="I1183" i="1"/>
  <c r="I1128" i="1"/>
  <c r="I1129" i="1"/>
  <c r="I1152" i="1"/>
  <c r="I1176" i="1"/>
  <c r="I1088" i="1"/>
  <c r="I1079" i="1"/>
  <c r="I1057" i="1"/>
  <c r="I1116" i="1"/>
  <c r="I1096" i="1"/>
  <c r="I1101" i="1"/>
  <c r="I1072" i="1"/>
  <c r="I1030" i="1"/>
  <c r="I1013" i="1"/>
  <c r="I909" i="1"/>
  <c r="I982" i="1"/>
  <c r="I872" i="1"/>
  <c r="I979" i="1"/>
  <c r="I893" i="1"/>
  <c r="I930" i="1"/>
  <c r="I935" i="1"/>
  <c r="I976" i="1"/>
  <c r="I999" i="1"/>
  <c r="I974" i="1"/>
  <c r="I934" i="1"/>
  <c r="I959" i="1"/>
  <c r="I849" i="1"/>
  <c r="I835" i="1"/>
  <c r="I838" i="1"/>
  <c r="I823" i="1"/>
  <c r="I791" i="1"/>
  <c r="I804" i="1"/>
  <c r="I686" i="1"/>
  <c r="I699" i="1"/>
  <c r="I649" i="1"/>
  <c r="I756" i="1"/>
  <c r="I680" i="1"/>
  <c r="I719" i="1"/>
  <c r="I718" i="1"/>
  <c r="I761" i="1"/>
  <c r="I657" i="1"/>
  <c r="I728" i="1"/>
  <c r="I687" i="1"/>
  <c r="I619" i="1"/>
  <c r="I556" i="1"/>
  <c r="I618" i="1"/>
  <c r="I580" i="1"/>
  <c r="I617" i="1"/>
  <c r="I633" i="1"/>
  <c r="I603" i="1"/>
  <c r="I530" i="1"/>
  <c r="I536" i="1"/>
  <c r="I525" i="1"/>
  <c r="I561" i="1"/>
  <c r="I485" i="1"/>
  <c r="I498" i="1"/>
  <c r="I443" i="1"/>
  <c r="I505" i="1"/>
  <c r="I446" i="1"/>
  <c r="I488" i="1"/>
  <c r="I434" i="1"/>
  <c r="I290" i="1"/>
  <c r="I246" i="1"/>
  <c r="I325" i="1"/>
  <c r="I237" i="1"/>
  <c r="I372" i="1"/>
  <c r="I228" i="1"/>
  <c r="I431" i="1"/>
  <c r="I287" i="1"/>
  <c r="I327" i="1"/>
  <c r="I274" i="1"/>
  <c r="I1849" i="1"/>
  <c r="I1838" i="1"/>
  <c r="I1839" i="1"/>
  <c r="I1829" i="1"/>
  <c r="I1840" i="1"/>
  <c r="I1784" i="1"/>
  <c r="I1775" i="1"/>
  <c r="I1756" i="1"/>
  <c r="I1753" i="1"/>
  <c r="I1682" i="1"/>
  <c r="I1719" i="1"/>
  <c r="I1690" i="1"/>
  <c r="I1704" i="1"/>
  <c r="I1673" i="1"/>
  <c r="I1711" i="1"/>
  <c r="I1725" i="1"/>
  <c r="I1687" i="1"/>
  <c r="I1607" i="1"/>
  <c r="I1543" i="1"/>
  <c r="I1618" i="1"/>
  <c r="I1579" i="1"/>
  <c r="I1605" i="1"/>
  <c r="I1614" i="1"/>
  <c r="I1565" i="1"/>
  <c r="I1551" i="1"/>
  <c r="I1635" i="1"/>
  <c r="I1572" i="1"/>
  <c r="I1505" i="1"/>
  <c r="I1498" i="1"/>
  <c r="I1472" i="1"/>
  <c r="I1384" i="1"/>
  <c r="I1459" i="1"/>
  <c r="I1431" i="1"/>
  <c r="I1446" i="1"/>
  <c r="I1430" i="1"/>
  <c r="I1480" i="1"/>
  <c r="I1491" i="1"/>
  <c r="I1405" i="1"/>
  <c r="I1486" i="1"/>
  <c r="I1307" i="1"/>
  <c r="I1219" i="1"/>
  <c r="I1330" i="1"/>
  <c r="I1186" i="1"/>
  <c r="I1341" i="1"/>
  <c r="I1197" i="1"/>
  <c r="I1352" i="1"/>
  <c r="I1208" i="1"/>
  <c r="I1327" i="1"/>
  <c r="I1362" i="1"/>
  <c r="I1218" i="1"/>
  <c r="I1313" i="1"/>
  <c r="I1240" i="1"/>
  <c r="I1251" i="1"/>
  <c r="I1250" i="1"/>
  <c r="I1297" i="1"/>
  <c r="I1136" i="1"/>
  <c r="I1171" i="1"/>
  <c r="I1174" i="1"/>
  <c r="I1175" i="1"/>
  <c r="I1151" i="1"/>
  <c r="I1119" i="1"/>
  <c r="I1111" i="1"/>
  <c r="I1078" i="1"/>
  <c r="I1045" i="1"/>
  <c r="I1080" i="1"/>
  <c r="I1114" i="1"/>
  <c r="I1089" i="1"/>
  <c r="I1109" i="1"/>
  <c r="I1026" i="1"/>
  <c r="I1010" i="1"/>
  <c r="I897" i="1"/>
  <c r="I1004" i="1"/>
  <c r="I965" i="1"/>
  <c r="I967" i="1"/>
  <c r="I892" i="1"/>
  <c r="I918" i="1"/>
  <c r="I898" i="1"/>
  <c r="I964" i="1"/>
  <c r="I987" i="1"/>
  <c r="I902" i="1"/>
  <c r="I996" i="1"/>
  <c r="I947" i="1"/>
  <c r="I853" i="1"/>
  <c r="I833" i="1"/>
  <c r="I826" i="1"/>
  <c r="I810" i="1"/>
  <c r="I801" i="1"/>
  <c r="I800" i="1"/>
  <c r="I674" i="1"/>
  <c r="I781" i="1"/>
  <c r="I683" i="1"/>
  <c r="I744" i="1"/>
  <c r="I703" i="1"/>
  <c r="I671" i="1"/>
  <c r="I706" i="1"/>
  <c r="I676" i="1"/>
  <c r="I656" i="1"/>
  <c r="I716" i="1"/>
  <c r="I774" i="1"/>
  <c r="I607" i="1"/>
  <c r="I520" i="1"/>
  <c r="I606" i="1"/>
  <c r="I532" i="1"/>
  <c r="I605" i="1"/>
  <c r="I640" i="1"/>
  <c r="I591" i="1"/>
  <c r="I600" i="1"/>
  <c r="I637" i="1"/>
  <c r="I620" i="1"/>
  <c r="I596" i="1"/>
  <c r="I473" i="1"/>
  <c r="I508" i="1"/>
  <c r="I466" i="1"/>
  <c r="I468" i="1"/>
  <c r="I469" i="1"/>
  <c r="I462" i="1"/>
  <c r="I422" i="1"/>
  <c r="I278" i="1"/>
  <c r="I339" i="1"/>
  <c r="I313" i="1"/>
  <c r="I211" i="1"/>
  <c r="I360" i="1"/>
  <c r="I216" i="1"/>
  <c r="I419" i="1"/>
  <c r="I275" i="1"/>
  <c r="I219" i="1"/>
  <c r="I238" i="1"/>
  <c r="I1847" i="1"/>
  <c r="I1801" i="1"/>
  <c r="I1814" i="1"/>
  <c r="I1817" i="1"/>
  <c r="I1816" i="1"/>
  <c r="I1782" i="1"/>
  <c r="I1785" i="1"/>
  <c r="I1766" i="1"/>
  <c r="I1763" i="1"/>
  <c r="I1670" i="1"/>
  <c r="I1741" i="1"/>
  <c r="I1666" i="1"/>
  <c r="I1692" i="1"/>
  <c r="I1696" i="1"/>
  <c r="I1663" i="1"/>
  <c r="I1713" i="1"/>
  <c r="I1710" i="1"/>
  <c r="I1595" i="1"/>
  <c r="I1602" i="1"/>
  <c r="I1606" i="1"/>
  <c r="I1555" i="1"/>
  <c r="I1593" i="1"/>
  <c r="I1566" i="1"/>
  <c r="I1636" i="1"/>
  <c r="I1633" i="1"/>
  <c r="I1539" i="1"/>
  <c r="I1530" i="1"/>
  <c r="I1503" i="1"/>
  <c r="I1509" i="1"/>
  <c r="I1460" i="1"/>
  <c r="I1479" i="1"/>
  <c r="I1447" i="1"/>
  <c r="I1454" i="1"/>
  <c r="I1434" i="1"/>
  <c r="I1453" i="1"/>
  <c r="I1468" i="1"/>
  <c r="I1443" i="1"/>
  <c r="I1428" i="1"/>
  <c r="I1474" i="1"/>
  <c r="I1295" i="1"/>
  <c r="I1372" i="1"/>
  <c r="I1318" i="1"/>
  <c r="I1291" i="1"/>
  <c r="I1329" i="1"/>
  <c r="I1196" i="1"/>
  <c r="I1340" i="1"/>
  <c r="I1255" i="1"/>
  <c r="I1315" i="1"/>
  <c r="I1350" i="1"/>
  <c r="I1206" i="1"/>
  <c r="I1301" i="1"/>
  <c r="I1263" i="1"/>
  <c r="I1344" i="1"/>
  <c r="I1238" i="1"/>
  <c r="I1285" i="1"/>
  <c r="I1124" i="1"/>
  <c r="I1159" i="1"/>
  <c r="I1182" i="1"/>
  <c r="I1126" i="1"/>
  <c r="I1150" i="1"/>
  <c r="I1107" i="1"/>
  <c r="I1097" i="1"/>
  <c r="I1065" i="1"/>
  <c r="I1092" i="1"/>
  <c r="I1067" i="1"/>
  <c r="I1102" i="1"/>
  <c r="I1076" i="1"/>
  <c r="I1033" i="1"/>
  <c r="I1023" i="1"/>
  <c r="I1016" i="1"/>
  <c r="I885" i="1"/>
  <c r="I992" i="1"/>
  <c r="I929" i="1"/>
  <c r="I955" i="1"/>
  <c r="I926" i="1"/>
  <c r="I906" i="1"/>
  <c r="I1001" i="1"/>
  <c r="I952" i="1"/>
  <c r="I975" i="1"/>
  <c r="I937" i="1"/>
  <c r="I984" i="1"/>
  <c r="I911" i="1"/>
  <c r="I852" i="1"/>
  <c r="I820" i="1"/>
  <c r="I814" i="1"/>
  <c r="I809" i="1"/>
  <c r="I799" i="1"/>
  <c r="I796" i="1"/>
  <c r="I662" i="1"/>
  <c r="I769" i="1"/>
  <c r="I647" i="1"/>
  <c r="I732" i="1"/>
  <c r="I655" i="1"/>
  <c r="I763" i="1"/>
  <c r="I694" i="1"/>
  <c r="I735" i="1"/>
  <c r="I715" i="1"/>
  <c r="I704" i="1"/>
  <c r="I675" i="1"/>
  <c r="I595" i="1"/>
  <c r="I542" i="1"/>
  <c r="I594" i="1"/>
  <c r="I554" i="1"/>
  <c r="I593" i="1"/>
  <c r="I592" i="1"/>
  <c r="I579" i="1"/>
  <c r="I540" i="1"/>
  <c r="I625" i="1"/>
  <c r="I635" i="1"/>
  <c r="I524" i="1"/>
  <c r="I461" i="1"/>
  <c r="I496" i="1"/>
  <c r="I453" i="1"/>
  <c r="I479" i="1"/>
  <c r="I492" i="1"/>
  <c r="I504" i="1"/>
  <c r="I410" i="1"/>
  <c r="I266" i="1"/>
  <c r="I231" i="1"/>
  <c r="I301" i="1"/>
  <c r="I342" i="1"/>
  <c r="I348" i="1"/>
  <c r="I298" i="1"/>
  <c r="I407" i="1"/>
  <c r="I263" i="1"/>
  <c r="I430" i="1"/>
  <c r="I248" i="1"/>
  <c r="I1822" i="1"/>
  <c r="I1783" i="1"/>
  <c r="I1680" i="1"/>
  <c r="I1554" i="1"/>
  <c r="I1638" i="1"/>
  <c r="I1419" i="1"/>
  <c r="I1407" i="1"/>
  <c r="I1336" i="1"/>
  <c r="I1338" i="1"/>
  <c r="I1273" i="1"/>
  <c r="I1095" i="1"/>
  <c r="I1063" i="1"/>
  <c r="I869" i="1"/>
  <c r="I963" i="1"/>
  <c r="I813" i="1"/>
  <c r="I668" i="1"/>
  <c r="I1796" i="1"/>
  <c r="I1755" i="1"/>
  <c r="I1677" i="1"/>
  <c r="I1574" i="1"/>
  <c r="I1609" i="1"/>
  <c r="I1485" i="1"/>
  <c r="I1490" i="1"/>
  <c r="I1212" i="1"/>
  <c r="I1266" i="1"/>
  <c r="I1184" i="1"/>
  <c r="I1068" i="1"/>
  <c r="I1037" i="1"/>
  <c r="I946" i="1"/>
  <c r="I891" i="1"/>
  <c r="I836" i="1"/>
  <c r="I723" i="1"/>
  <c r="I764" i="1"/>
  <c r="I548" i="1"/>
  <c r="I598" i="1"/>
  <c r="I475" i="1"/>
  <c r="I408" i="1"/>
  <c r="I358" i="1"/>
  <c r="I357" i="1"/>
  <c r="I354" i="1"/>
  <c r="I332" i="1"/>
  <c r="I415" i="1"/>
  <c r="I271" i="1"/>
  <c r="I401" i="1"/>
  <c r="I257" i="1"/>
  <c r="I352" i="1"/>
  <c r="I375" i="1"/>
  <c r="I202" i="1"/>
  <c r="I177" i="1"/>
  <c r="I186" i="1"/>
  <c r="I133" i="1"/>
  <c r="I132" i="1"/>
  <c r="I131" i="1"/>
  <c r="I135" i="1"/>
  <c r="I105" i="1"/>
  <c r="I96" i="1"/>
  <c r="I95" i="1"/>
  <c r="I33" i="1"/>
  <c r="I10" i="1"/>
  <c r="I32" i="1"/>
  <c r="I79" i="1"/>
  <c r="I15" i="1"/>
  <c r="I88" i="1"/>
  <c r="I808" i="1"/>
  <c r="I108" i="1"/>
  <c r="G371" i="1"/>
  <c r="G1705" i="1"/>
  <c r="D284" i="1"/>
  <c r="G1534" i="1"/>
  <c r="G536" i="1"/>
  <c r="G600" i="1"/>
  <c r="D1727" i="1"/>
  <c r="G760" i="1"/>
  <c r="D346" i="1"/>
  <c r="C250" i="1"/>
  <c r="C142" i="1"/>
  <c r="G1044" i="1"/>
  <c r="B525" i="1"/>
  <c r="G787" i="1"/>
  <c r="C344" i="1"/>
  <c r="D729" i="1"/>
  <c r="G115" i="1"/>
  <c r="F1484" i="1"/>
  <c r="G244" i="1"/>
  <c r="G248" i="1"/>
  <c r="E1847" i="1"/>
  <c r="C1127" i="1"/>
  <c r="G1720" i="1"/>
  <c r="D325" i="1"/>
  <c r="C1039" i="1"/>
  <c r="G1641" i="1"/>
  <c r="F1359" i="1"/>
  <c r="F279" i="1"/>
  <c r="D1483" i="1"/>
  <c r="F492" i="1"/>
  <c r="G1657" i="1"/>
  <c r="E1352" i="1"/>
  <c r="G155" i="1"/>
  <c r="E1837" i="1"/>
  <c r="E1463" i="1"/>
  <c r="B1397" i="1"/>
  <c r="B1851" i="1"/>
  <c r="E1669" i="1"/>
  <c r="D435" i="1"/>
  <c r="G1809" i="1"/>
  <c r="G394" i="1"/>
  <c r="G1397" i="1"/>
  <c r="G837" i="1"/>
  <c r="E90" i="1"/>
  <c r="D1455" i="1"/>
  <c r="E169" i="1"/>
  <c r="G976" i="1"/>
  <c r="D869" i="1"/>
  <c r="F1554" i="1"/>
  <c r="E1455" i="1"/>
  <c r="D819" i="1"/>
  <c r="G813" i="1"/>
  <c r="G355" i="1"/>
  <c r="G673" i="1"/>
  <c r="B623" i="1"/>
  <c r="B894" i="1"/>
  <c r="C217" i="1"/>
  <c r="G993" i="1"/>
  <c r="D1484" i="1"/>
  <c r="B217" i="1"/>
  <c r="G680" i="1"/>
  <c r="C1565" i="1"/>
  <c r="F1369" i="1"/>
  <c r="G23" i="1"/>
  <c r="G369" i="1"/>
  <c r="G131" i="1"/>
  <c r="F1558" i="1"/>
  <c r="G1622" i="1"/>
  <c r="G1737" i="1"/>
  <c r="C520" i="1"/>
  <c r="G1805" i="1"/>
  <c r="F846" i="1"/>
  <c r="E967" i="1"/>
  <c r="B1363" i="1"/>
  <c r="G1152" i="1"/>
  <c r="F1374" i="1"/>
  <c r="G939" i="1"/>
  <c r="C1397" i="1"/>
  <c r="I1848" i="1"/>
  <c r="I1754" i="1"/>
  <c r="I1695" i="1"/>
  <c r="I1594" i="1"/>
  <c r="I1562" i="1"/>
  <c r="I1435" i="1"/>
  <c r="I1438" i="1"/>
  <c r="I1317" i="1"/>
  <c r="I1300" i="1"/>
  <c r="I1180" i="1"/>
  <c r="I1118" i="1"/>
  <c r="I1021" i="1"/>
  <c r="I943" i="1"/>
  <c r="I865" i="1"/>
  <c r="I831" i="1"/>
  <c r="I720" i="1"/>
  <c r="I727" i="1"/>
  <c r="I557" i="1"/>
  <c r="I517" i="1"/>
  <c r="I454" i="1"/>
  <c r="I336" i="1"/>
  <c r="I346" i="1"/>
  <c r="I345" i="1"/>
  <c r="I234" i="1"/>
  <c r="I320" i="1"/>
  <c r="I403" i="1"/>
  <c r="I259" i="1"/>
  <c r="I389" i="1"/>
  <c r="I245" i="1"/>
  <c r="I340" i="1"/>
  <c r="I203" i="1"/>
  <c r="I190" i="1"/>
  <c r="I165" i="1"/>
  <c r="I161" i="1"/>
  <c r="I121" i="1"/>
  <c r="I120" i="1"/>
  <c r="I118" i="1"/>
  <c r="I138" i="1"/>
  <c r="I103" i="1"/>
  <c r="I84" i="1"/>
  <c r="I83" i="1"/>
  <c r="I9" i="1"/>
  <c r="I81" i="1"/>
  <c r="I20" i="1"/>
  <c r="I67" i="1"/>
  <c r="I38" i="1"/>
  <c r="I4" i="1"/>
  <c r="I1120" i="1"/>
  <c r="I204" i="1"/>
  <c r="B605" i="1"/>
  <c r="G65" i="1"/>
  <c r="C889" i="1"/>
  <c r="G1296" i="1"/>
  <c r="G1054" i="1"/>
  <c r="E513" i="1"/>
  <c r="G289" i="1"/>
  <c r="E38" i="1"/>
  <c r="G156" i="1"/>
  <c r="C263" i="1"/>
  <c r="C266" i="1"/>
  <c r="G1306" i="1"/>
  <c r="G1813" i="1"/>
  <c r="G658" i="1"/>
  <c r="B1463" i="1"/>
  <c r="G357" i="1"/>
  <c r="G170" i="1"/>
  <c r="B762" i="1"/>
  <c r="G1849" i="1"/>
  <c r="E202" i="1"/>
  <c r="G1084" i="1"/>
  <c r="B680" i="1"/>
  <c r="G1064" i="1"/>
  <c r="B154" i="1"/>
  <c r="G1225" i="1"/>
  <c r="F869" i="1"/>
  <c r="G45" i="1"/>
  <c r="G580" i="1"/>
  <c r="B371" i="1"/>
  <c r="D271" i="1"/>
  <c r="G1443" i="1"/>
  <c r="D1597" i="1"/>
  <c r="G529" i="1"/>
  <c r="G1790" i="1"/>
  <c r="C950" i="1"/>
  <c r="B1847" i="1"/>
  <c r="E1525" i="1"/>
  <c r="G962" i="1"/>
  <c r="B361" i="1"/>
  <c r="E956" i="1"/>
  <c r="G1043" i="1"/>
  <c r="B397" i="1"/>
  <c r="E541" i="1"/>
  <c r="G1659" i="1"/>
  <c r="F889" i="1"/>
  <c r="G442" i="1"/>
  <c r="G1567" i="1"/>
  <c r="B427" i="1"/>
  <c r="F1525" i="1"/>
  <c r="C1483" i="1"/>
  <c r="D1426" i="1"/>
  <c r="G1233" i="1"/>
  <c r="C1467" i="1"/>
  <c r="G628" i="1"/>
  <c r="E492" i="1"/>
  <c r="B1151" i="1"/>
  <c r="G1683" i="1"/>
  <c r="D364" i="1"/>
  <c r="G784" i="1"/>
  <c r="C196" i="1"/>
  <c r="G519" i="1"/>
  <c r="G1760" i="1"/>
  <c r="E1548" i="1"/>
  <c r="G1704" i="1"/>
  <c r="G1279" i="1"/>
  <c r="B101" i="1"/>
  <c r="F357" i="1"/>
  <c r="G1238" i="1"/>
  <c r="B261" i="1"/>
  <c r="E848" i="1"/>
  <c r="G320" i="1"/>
  <c r="B196" i="1"/>
  <c r="G1792" i="1"/>
  <c r="G1382" i="1"/>
  <c r="G255" i="1"/>
  <c r="E1374" i="1"/>
  <c r="B582" i="1"/>
  <c r="G848" i="1"/>
  <c r="I1807" i="1"/>
  <c r="I1747" i="1"/>
  <c r="I1714" i="1"/>
  <c r="I1628" i="1"/>
  <c r="I1634" i="1"/>
  <c r="I1445" i="1"/>
  <c r="I1463" i="1"/>
  <c r="I1245" i="1"/>
  <c r="I1361" i="1"/>
  <c r="I1127" i="1"/>
  <c r="I1046" i="1"/>
  <c r="I1031" i="1"/>
  <c r="I871" i="1"/>
  <c r="I997" i="1"/>
  <c r="I798" i="1"/>
  <c r="I648" i="1"/>
  <c r="I711" i="1"/>
  <c r="I636" i="1"/>
  <c r="I514" i="1"/>
  <c r="I465" i="1"/>
  <c r="I264" i="1"/>
  <c r="I366" i="1"/>
  <c r="I333" i="1"/>
  <c r="I423" i="1"/>
  <c r="I308" i="1"/>
  <c r="I391" i="1"/>
  <c r="I247" i="1"/>
  <c r="I377" i="1"/>
  <c r="I233" i="1"/>
  <c r="I328" i="1"/>
  <c r="I191" i="1"/>
  <c r="I178" i="1"/>
  <c r="I187" i="1"/>
  <c r="I172" i="1"/>
  <c r="I142" i="1"/>
  <c r="I119" i="1"/>
  <c r="I129" i="1"/>
  <c r="I127" i="1"/>
  <c r="I102" i="1"/>
  <c r="I72" i="1"/>
  <c r="I71" i="1"/>
  <c r="I52" i="1"/>
  <c r="I57" i="1"/>
  <c r="I8" i="1"/>
  <c r="I55" i="1"/>
  <c r="I90" i="1"/>
  <c r="I63" i="1"/>
  <c r="I785" i="1"/>
  <c r="I1020" i="1"/>
  <c r="G791" i="1"/>
  <c r="G1802" i="1"/>
  <c r="G777" i="1"/>
  <c r="G704" i="1"/>
  <c r="G336" i="1"/>
  <c r="E1075" i="1"/>
  <c r="G61" i="1"/>
  <c r="B1145" i="1"/>
  <c r="G966" i="1"/>
  <c r="G849" i="1"/>
  <c r="G781" i="1"/>
  <c r="D1036" i="1"/>
  <c r="E755" i="1"/>
  <c r="G282" i="1"/>
  <c r="D898" i="1"/>
  <c r="G610" i="1"/>
  <c r="G597" i="1"/>
  <c r="G783" i="1"/>
  <c r="G123" i="1"/>
  <c r="E1369" i="1"/>
  <c r="G1112" i="1"/>
  <c r="E1376" i="1"/>
  <c r="G302" i="1"/>
  <c r="E656" i="1"/>
  <c r="G508" i="1"/>
  <c r="F1483" i="1"/>
  <c r="G720" i="1"/>
  <c r="G664" i="1"/>
  <c r="D90" i="1"/>
  <c r="G358" i="1"/>
  <c r="G648" i="1"/>
  <c r="G360" i="1"/>
  <c r="B561" i="1"/>
  <c r="G1552" i="1"/>
  <c r="E1014" i="1"/>
  <c r="E20" i="1"/>
  <c r="E1692" i="1"/>
  <c r="G1718" i="1"/>
  <c r="D1618" i="1"/>
  <c r="G400" i="1"/>
  <c r="C1847" i="1"/>
  <c r="G1628" i="1"/>
  <c r="D781" i="1"/>
  <c r="G426" i="1"/>
  <c r="D1649" i="1"/>
  <c r="G934" i="1"/>
  <c r="D57" i="1"/>
  <c r="D419" i="1"/>
  <c r="G1806" i="1"/>
  <c r="G1669" i="1"/>
  <c r="G304" i="1"/>
  <c r="G112" i="1"/>
  <c r="D403" i="1"/>
  <c r="G1029" i="1"/>
  <c r="G1367" i="1"/>
  <c r="F1847" i="1"/>
  <c r="F1843" i="1"/>
  <c r="C544" i="1"/>
  <c r="G1493" i="1"/>
  <c r="E419" i="1"/>
  <c r="G1291" i="1"/>
  <c r="G261" i="1"/>
  <c r="F20" i="1"/>
  <c r="G1008" i="1"/>
  <c r="G1331" i="1"/>
  <c r="F38" i="1"/>
  <c r="G893" i="1"/>
  <c r="G71" i="1"/>
  <c r="F1463" i="1"/>
  <c r="G259" i="1"/>
  <c r="E993" i="1"/>
  <c r="C1683" i="1"/>
  <c r="G672" i="1"/>
  <c r="G367" i="1"/>
  <c r="G227" i="1"/>
  <c r="C588" i="1"/>
  <c r="D1463" i="1"/>
  <c r="D607" i="1"/>
  <c r="I1837" i="1"/>
  <c r="I1761" i="1"/>
  <c r="I1650" i="1"/>
  <c r="I1626" i="1"/>
  <c r="I1518" i="1"/>
  <c r="I1406" i="1"/>
  <c r="I1462" i="1"/>
  <c r="I1243" i="1"/>
  <c r="I1289" i="1"/>
  <c r="I1147" i="1"/>
  <c r="I1052" i="1"/>
  <c r="I1019" i="1"/>
  <c r="I961" i="1"/>
  <c r="I972" i="1"/>
  <c r="I786" i="1"/>
  <c r="I750" i="1"/>
  <c r="I773" i="1"/>
  <c r="I553" i="1"/>
  <c r="I449" i="1"/>
  <c r="I398" i="1"/>
  <c r="I226" i="1"/>
  <c r="I210" i="1"/>
  <c r="I321" i="1"/>
  <c r="I279" i="1"/>
  <c r="I296" i="1"/>
  <c r="I379" i="1"/>
  <c r="I390" i="1"/>
  <c r="I365" i="1"/>
  <c r="I221" i="1"/>
  <c r="I316" i="1"/>
  <c r="I179" i="1"/>
  <c r="I166" i="1"/>
  <c r="I197" i="1"/>
  <c r="I159" i="1"/>
  <c r="I153" i="1"/>
  <c r="I130" i="1"/>
  <c r="I140" i="1"/>
  <c r="I126" i="1"/>
  <c r="I101" i="1"/>
  <c r="I60" i="1"/>
  <c r="I59" i="1"/>
  <c r="I39" i="1"/>
  <c r="I21" i="1"/>
  <c r="I65" i="1"/>
  <c r="I43" i="1"/>
  <c r="I78" i="1"/>
  <c r="I74" i="1"/>
  <c r="I510" i="1"/>
  <c r="I1380" i="1"/>
  <c r="C169" i="1"/>
  <c r="C1369" i="1"/>
  <c r="G1018" i="1"/>
  <c r="G421" i="1"/>
  <c r="F1548" i="1"/>
  <c r="B41" i="1"/>
  <c r="G935" i="1"/>
  <c r="G166" i="1"/>
  <c r="B1113" i="1"/>
  <c r="G392" i="1"/>
  <c r="G1513" i="1"/>
  <c r="C956" i="1"/>
  <c r="G102" i="1"/>
  <c r="G190" i="1"/>
  <c r="E623" i="1"/>
  <c r="G1588" i="1"/>
  <c r="B1014" i="1"/>
  <c r="G226" i="1"/>
  <c r="C513" i="1"/>
  <c r="E25" i="1"/>
  <c r="G1314" i="1"/>
  <c r="B1649" i="1"/>
  <c r="B956" i="1"/>
  <c r="G1067" i="1"/>
  <c r="D1254" i="1"/>
  <c r="G1116" i="1"/>
  <c r="F513" i="1"/>
  <c r="G1610" i="1"/>
  <c r="B38" i="1"/>
  <c r="G1521" i="1"/>
  <c r="G581" i="1"/>
  <c r="G1568" i="1"/>
  <c r="G349" i="1"/>
  <c r="G651" i="1"/>
  <c r="F701" i="1"/>
  <c r="E1630" i="1"/>
  <c r="G1179" i="1"/>
  <c r="G1267" i="1"/>
  <c r="B1101" i="1"/>
  <c r="G329" i="1"/>
  <c r="B760" i="1"/>
  <c r="G841" i="1"/>
  <c r="E1807" i="1"/>
  <c r="G1743" i="1"/>
  <c r="G407" i="1"/>
  <c r="G1228" i="1"/>
  <c r="F1254" i="1"/>
  <c r="G1548" i="1"/>
  <c r="G94" i="1"/>
  <c r="B1631" i="1"/>
  <c r="G615" i="1"/>
  <c r="F397" i="1"/>
  <c r="G179" i="1"/>
  <c r="G202" i="1"/>
  <c r="G210" i="1"/>
  <c r="D915" i="1"/>
  <c r="D1175" i="1"/>
  <c r="G1415" i="1"/>
  <c r="G1825" i="1"/>
  <c r="G1056" i="1"/>
  <c r="G992" i="1"/>
  <c r="D282" i="1"/>
  <c r="E346" i="1"/>
  <c r="G1598" i="1"/>
  <c r="G753" i="1"/>
  <c r="B169" i="1"/>
  <c r="G969" i="1"/>
  <c r="F427" i="1"/>
  <c r="C898" i="1"/>
  <c r="G1251" i="1"/>
  <c r="E319" i="1"/>
  <c r="G1814" i="1"/>
  <c r="G189" i="1"/>
  <c r="C1851" i="1"/>
  <c r="B993" i="1"/>
  <c r="G1223" i="1"/>
  <c r="E898" i="1"/>
  <c r="G1603" i="1"/>
  <c r="I1812" i="1"/>
  <c r="I1730" i="1"/>
  <c r="I1734" i="1"/>
  <c r="I1608" i="1"/>
  <c r="I1522" i="1"/>
  <c r="I1494" i="1"/>
  <c r="I1355" i="1"/>
  <c r="I1320" i="1"/>
  <c r="I1217" i="1"/>
  <c r="I1155" i="1"/>
  <c r="I1093" i="1"/>
  <c r="I1009" i="1"/>
  <c r="I966" i="1"/>
  <c r="I995" i="1"/>
  <c r="I789" i="1"/>
  <c r="I755" i="1"/>
  <c r="I759" i="1"/>
  <c r="I639" i="1"/>
  <c r="I442" i="1"/>
  <c r="I326" i="1"/>
  <c r="I208" i="1"/>
  <c r="I315" i="1"/>
  <c r="I309" i="1"/>
  <c r="I428" i="1"/>
  <c r="I284" i="1"/>
  <c r="I367" i="1"/>
  <c r="I282" i="1"/>
  <c r="I353" i="1"/>
  <c r="I363" i="1"/>
  <c r="I304" i="1"/>
  <c r="I167" i="1"/>
  <c r="I175" i="1"/>
  <c r="I160" i="1"/>
  <c r="I194" i="1"/>
  <c r="I117" i="1"/>
  <c r="I141" i="1"/>
  <c r="I151" i="1"/>
  <c r="I114" i="1"/>
  <c r="I97" i="1"/>
  <c r="I48" i="1"/>
  <c r="I47" i="1"/>
  <c r="I98" i="1"/>
  <c r="I16" i="1"/>
  <c r="I53" i="1"/>
  <c r="I31" i="1"/>
  <c r="I66" i="1"/>
  <c r="I40" i="1"/>
  <c r="I858" i="1"/>
  <c r="I1743" i="1"/>
  <c r="G1274" i="1"/>
  <c r="B1687" i="1"/>
  <c r="G77" i="1"/>
  <c r="G982" i="1"/>
  <c r="C582" i="1"/>
  <c r="B419" i="1"/>
  <c r="F1775" i="1"/>
  <c r="G689" i="1"/>
  <c r="G611" i="1"/>
  <c r="C1014" i="1"/>
  <c r="G1050" i="1"/>
  <c r="B656" i="1"/>
  <c r="C948" i="1"/>
  <c r="G1630" i="1"/>
  <c r="G868" i="1"/>
  <c r="G518" i="1"/>
  <c r="G950" i="1"/>
  <c r="G1656" i="1"/>
  <c r="C760" i="1"/>
  <c r="E819" i="1"/>
  <c r="B1230" i="1"/>
  <c r="C1113" i="1"/>
  <c r="G494" i="1"/>
  <c r="G1482" i="1"/>
  <c r="C869" i="1"/>
  <c r="F561" i="1"/>
  <c r="D1525" i="1"/>
  <c r="D1397" i="1"/>
  <c r="G938" i="1"/>
  <c r="G1491" i="1"/>
  <c r="G523" i="1"/>
  <c r="G1400" i="1"/>
  <c r="G196" i="1"/>
  <c r="D697" i="1"/>
  <c r="C1743" i="1"/>
  <c r="E364" i="1"/>
  <c r="G175" i="1"/>
  <c r="D371" i="1"/>
  <c r="G398" i="1"/>
  <c r="B533" i="1"/>
  <c r="B1577" i="1"/>
  <c r="C473" i="1"/>
  <c r="F544" i="1"/>
  <c r="G1355" i="1"/>
  <c r="G272" i="1"/>
  <c r="B950" i="1"/>
  <c r="B219" i="1"/>
  <c r="E821" i="1"/>
  <c r="G1180" i="1"/>
  <c r="E1290" i="1"/>
  <c r="G731" i="1"/>
  <c r="G232" i="1"/>
  <c r="G830" i="1"/>
  <c r="E1522" i="1"/>
  <c r="G531" i="1"/>
  <c r="G266" i="1"/>
  <c r="B1574" i="1"/>
  <c r="G1326" i="1"/>
  <c r="B1036" i="1"/>
  <c r="G899" i="1"/>
  <c r="F380" i="1"/>
  <c r="E520" i="1"/>
  <c r="G1597" i="1"/>
  <c r="G1582" i="1"/>
  <c r="B1361" i="1"/>
  <c r="G977" i="1"/>
  <c r="G436" i="1"/>
  <c r="C278" i="1"/>
  <c r="B14" i="1"/>
  <c r="G234" i="1"/>
  <c r="G346" i="1"/>
  <c r="G458" i="1"/>
  <c r="C1359" i="1"/>
  <c r="G176" i="1"/>
  <c r="E1565" i="1"/>
  <c r="G575" i="1"/>
  <c r="G607" i="1"/>
  <c r="D1374" i="1"/>
  <c r="I1805" i="1"/>
  <c r="I1658" i="1"/>
  <c r="I1665" i="1"/>
  <c r="I1581" i="1"/>
  <c r="I1502" i="1"/>
  <c r="I1422" i="1"/>
  <c r="I1283" i="1"/>
  <c r="I1328" i="1"/>
  <c r="I1214" i="1"/>
  <c r="I1170" i="1"/>
  <c r="I1056" i="1"/>
  <c r="I1012" i="1"/>
  <c r="I894" i="1"/>
  <c r="I874" i="1"/>
  <c r="I784" i="1"/>
  <c r="I726" i="1"/>
  <c r="I583" i="1"/>
  <c r="I567" i="1"/>
  <c r="I484" i="1"/>
  <c r="I254" i="1"/>
  <c r="I395" i="1"/>
  <c r="I255" i="1"/>
  <c r="I297" i="1"/>
  <c r="I416" i="1"/>
  <c r="I272" i="1"/>
  <c r="I355" i="1"/>
  <c r="I387" i="1"/>
  <c r="I341" i="1"/>
  <c r="I207" i="1"/>
  <c r="I292" i="1"/>
  <c r="I164" i="1"/>
  <c r="I174" i="1"/>
  <c r="I183" i="1"/>
  <c r="I180" i="1"/>
  <c r="I128" i="1"/>
  <c r="I152" i="1"/>
  <c r="I125" i="1"/>
  <c r="I113" i="1"/>
  <c r="I85" i="1"/>
  <c r="I36" i="1"/>
  <c r="I35" i="1"/>
  <c r="I14" i="1"/>
  <c r="I75" i="1"/>
  <c r="I17" i="1"/>
  <c r="I19" i="1"/>
  <c r="I54" i="1"/>
  <c r="I2" i="1"/>
  <c r="I115" i="1"/>
  <c r="I1791" i="1"/>
  <c r="G1122" i="1"/>
  <c r="E219" i="1"/>
  <c r="G652" i="1"/>
  <c r="E605" i="1"/>
  <c r="G533" i="1"/>
  <c r="B1370" i="1"/>
  <c r="C58" i="1"/>
  <c r="G154" i="1"/>
  <c r="G864" i="1"/>
  <c r="E58" i="1"/>
  <c r="B405" i="1"/>
  <c r="G558" i="1"/>
  <c r="E869" i="1"/>
  <c r="C14" i="1"/>
  <c r="G858" i="1"/>
  <c r="C1254" i="1"/>
  <c r="D319" i="1"/>
  <c r="B266" i="1"/>
  <c r="B1039" i="1"/>
  <c r="B848" i="1"/>
  <c r="G1827" i="1"/>
  <c r="G33" i="1"/>
  <c r="D41" i="1"/>
  <c r="G1489" i="1"/>
  <c r="G1353" i="1"/>
  <c r="F1075" i="1"/>
  <c r="F101" i="1"/>
  <c r="C1548" i="1"/>
  <c r="G34" i="1"/>
  <c r="G1854" i="1"/>
  <c r="B1522" i="1"/>
  <c r="D114" i="1"/>
  <c r="B364" i="1"/>
  <c r="F1036" i="1"/>
  <c r="C325" i="1"/>
  <c r="G1095" i="1"/>
  <c r="G840" i="1"/>
  <c r="E1649" i="1"/>
  <c r="G1840" i="1"/>
  <c r="G913" i="1"/>
  <c r="E889" i="1"/>
  <c r="E1593" i="1"/>
  <c r="G534" i="1"/>
  <c r="D1631" i="1"/>
  <c r="G26" i="1"/>
  <c r="F1366" i="1"/>
  <c r="E716" i="1"/>
  <c r="B279" i="1"/>
  <c r="B1376" i="1"/>
  <c r="G1111" i="1"/>
  <c r="G853" i="1"/>
  <c r="G1134" i="1"/>
  <c r="G1460" i="1"/>
  <c r="F588" i="1"/>
  <c r="G596" i="1"/>
  <c r="C1145" i="1"/>
  <c r="G735" i="1"/>
  <c r="G117" i="1"/>
  <c r="G380" i="1"/>
  <c r="D147" i="1"/>
  <c r="D720" i="1"/>
  <c r="E729" i="1"/>
  <c r="G1701" i="1"/>
  <c r="G1243" i="1"/>
  <c r="C261" i="1"/>
  <c r="G1458" i="1"/>
  <c r="F1365" i="1"/>
  <c r="F848" i="1"/>
  <c r="B1290" i="1"/>
  <c r="D701" i="1"/>
  <c r="G603" i="1"/>
  <c r="G307" i="1"/>
  <c r="D846" i="1"/>
  <c r="G1425" i="1"/>
  <c r="F665" i="1"/>
  <c r="G1817" i="1"/>
  <c r="G806" i="1"/>
  <c r="B346" i="1"/>
  <c r="I1813" i="1"/>
  <c r="I1675" i="1"/>
  <c r="I1649" i="1"/>
  <c r="I1580" i="1"/>
  <c r="I1504" i="1"/>
  <c r="I1397" i="1"/>
  <c r="I1211" i="1"/>
  <c r="I1256" i="1"/>
  <c r="I1371" i="1"/>
  <c r="I1179" i="1"/>
  <c r="I1074" i="1"/>
  <c r="I945" i="1"/>
  <c r="I986" i="1"/>
  <c r="I851" i="1"/>
  <c r="I722" i="1"/>
  <c r="I754" i="1"/>
  <c r="I569" i="1"/>
  <c r="I614" i="1"/>
  <c r="I445" i="1"/>
  <c r="I214" i="1"/>
  <c r="I335" i="1"/>
  <c r="I429" i="1"/>
  <c r="I285" i="1"/>
  <c r="I404" i="1"/>
  <c r="I260" i="1"/>
  <c r="I343" i="1"/>
  <c r="I267" i="1"/>
  <c r="I329" i="1"/>
  <c r="I424" i="1"/>
  <c r="I280" i="1"/>
  <c r="I198" i="1"/>
  <c r="I185" i="1"/>
  <c r="I193" i="1"/>
  <c r="I199" i="1"/>
  <c r="I139" i="1"/>
  <c r="I150" i="1"/>
  <c r="I124" i="1"/>
  <c r="I112" i="1"/>
  <c r="I73" i="1"/>
  <c r="I24" i="1"/>
  <c r="I23" i="1"/>
  <c r="I94" i="1"/>
  <c r="I50" i="1"/>
  <c r="I76" i="1"/>
  <c r="I7" i="1"/>
  <c r="I42" i="1"/>
  <c r="I158" i="1"/>
  <c r="I104" i="1"/>
  <c r="I1768" i="1"/>
  <c r="G165" i="1"/>
  <c r="D889" i="1"/>
  <c r="G930" i="1"/>
  <c r="B1802" i="1"/>
  <c r="G219" i="1"/>
  <c r="G1222" i="1"/>
  <c r="G1719" i="1"/>
  <c r="G221" i="1"/>
  <c r="G1010" i="1"/>
  <c r="G856" i="1"/>
  <c r="G717" i="1"/>
  <c r="G252" i="1"/>
  <c r="E325" i="1"/>
  <c r="G591" i="1"/>
  <c r="G641" i="1"/>
  <c r="G399" i="1"/>
  <c r="E369" i="1"/>
  <c r="B320" i="1"/>
  <c r="B357" i="1"/>
  <c r="G614" i="1"/>
  <c r="G1839" i="1"/>
  <c r="G1090" i="1"/>
  <c r="D1330" i="1"/>
  <c r="B538" i="1"/>
  <c r="G956" i="1"/>
  <c r="G169" i="1"/>
  <c r="G936" i="1"/>
  <c r="C364" i="1"/>
  <c r="G1272" i="1"/>
  <c r="G1074" i="1"/>
  <c r="F605" i="1"/>
  <c r="B904" i="1"/>
  <c r="G239" i="1"/>
  <c r="B1075" i="1"/>
  <c r="C1837" i="1"/>
  <c r="G694" i="1"/>
  <c r="B520" i="1"/>
  <c r="G1131" i="1"/>
  <c r="D561" i="1"/>
  <c r="G729" i="1"/>
  <c r="G1535" i="1"/>
  <c r="D405" i="1"/>
  <c r="G1465" i="1"/>
  <c r="D1837" i="1"/>
  <c r="F1652" i="1"/>
  <c r="E284" i="1"/>
  <c r="D1548" i="1"/>
  <c r="F898" i="1"/>
  <c r="G701" i="1"/>
  <c r="G1613" i="1"/>
  <c r="G1768" i="1"/>
  <c r="E1254" i="1"/>
  <c r="G1351" i="1"/>
  <c r="B25" i="1"/>
  <c r="G1369" i="1"/>
  <c r="F1370" i="1"/>
  <c r="G1240" i="1"/>
  <c r="G1522" i="1"/>
  <c r="F1175" i="1"/>
  <c r="E1365" i="1"/>
  <c r="D1355" i="1"/>
  <c r="E41" i="1"/>
  <c r="C1155" i="1"/>
  <c r="G1065" i="1"/>
  <c r="B898" i="1"/>
  <c r="G802" i="1"/>
  <c r="C894" i="1"/>
  <c r="E1727" i="1"/>
  <c r="E1039" i="1"/>
  <c r="G427" i="1"/>
  <c r="G488" i="1"/>
  <c r="G513" i="1"/>
  <c r="D1652" i="1"/>
  <c r="G200" i="1"/>
  <c r="B90" i="1"/>
  <c r="G1774" i="1"/>
  <c r="B967" i="1"/>
  <c r="G1424" i="1"/>
  <c r="I1827" i="1"/>
  <c r="I1729" i="1"/>
  <c r="I1709" i="1"/>
  <c r="I1613" i="1"/>
  <c r="I1520" i="1"/>
  <c r="I1452" i="1"/>
  <c r="I1192" i="1"/>
  <c r="I1207" i="1"/>
  <c r="I1370" i="1"/>
  <c r="I1161" i="1"/>
  <c r="I1054" i="1"/>
  <c r="I873" i="1"/>
  <c r="I905" i="1"/>
  <c r="I847" i="1"/>
  <c r="I650" i="1"/>
  <c r="I682" i="1"/>
  <c r="I624" i="1"/>
  <c r="I587" i="1"/>
  <c r="I452" i="1"/>
  <c r="I433" i="1"/>
  <c r="I323" i="1"/>
  <c r="I417" i="1"/>
  <c r="I273" i="1"/>
  <c r="I392" i="1"/>
  <c r="I224" i="1"/>
  <c r="I331" i="1"/>
  <c r="I426" i="1"/>
  <c r="I317" i="1"/>
  <c r="I412" i="1"/>
  <c r="I268" i="1"/>
  <c r="I162" i="1"/>
  <c r="I195" i="1"/>
  <c r="I168" i="1"/>
  <c r="I173" i="1"/>
  <c r="I149" i="1"/>
  <c r="I148" i="1"/>
  <c r="I123" i="1"/>
  <c r="I111" i="1"/>
  <c r="I61" i="1"/>
  <c r="I12" i="1"/>
  <c r="I11" i="1"/>
  <c r="I82" i="1"/>
  <c r="I92" i="1"/>
  <c r="I28" i="1"/>
  <c r="I18" i="1"/>
  <c r="I30" i="1"/>
  <c r="I518" i="1"/>
  <c r="I644" i="1"/>
  <c r="I1531" i="1"/>
  <c r="B380" i="1"/>
  <c r="D428" i="1"/>
  <c r="F1455" i="1"/>
  <c r="F266" i="1"/>
  <c r="G1631" i="1"/>
  <c r="G222" i="1"/>
  <c r="E918" i="1"/>
  <c r="G1273" i="1"/>
  <c r="C427" i="1"/>
  <c r="G422" i="1"/>
  <c r="C1151" i="1"/>
  <c r="G972" i="1"/>
  <c r="F364" i="1"/>
  <c r="G1764" i="1"/>
  <c r="B1355" i="1"/>
  <c r="G463" i="1"/>
  <c r="G636" i="1"/>
  <c r="F25" i="1"/>
  <c r="E1292" i="1"/>
  <c r="B319" i="1"/>
  <c r="G1142" i="1"/>
  <c r="G1230" i="1"/>
  <c r="G1812" i="1"/>
  <c r="G482" i="1"/>
  <c r="C913" i="1"/>
  <c r="C357" i="1"/>
  <c r="G1711" i="1"/>
  <c r="D444" i="1"/>
  <c r="G919" i="1"/>
  <c r="G1572" i="1"/>
  <c r="E525" i="1"/>
  <c r="G379" i="1"/>
  <c r="G1681" i="1"/>
  <c r="F1630" i="1"/>
  <c r="G1391" i="1"/>
  <c r="G501" i="1"/>
  <c r="G869" i="1"/>
  <c r="G634" i="1"/>
  <c r="G1775" i="1"/>
  <c r="C154" i="1"/>
  <c r="G237" i="1"/>
  <c r="D233" i="1"/>
  <c r="G1402" i="1"/>
  <c r="D279" i="1"/>
  <c r="E785" i="1"/>
  <c r="E1775" i="1"/>
  <c r="E250" i="1"/>
  <c r="G1026" i="1"/>
  <c r="D918" i="1"/>
  <c r="G1082" i="1"/>
  <c r="G947" i="1"/>
  <c r="C1376" i="1"/>
  <c r="C1716" i="1"/>
  <c r="G224" i="1"/>
  <c r="G319" i="1"/>
  <c r="G373" i="1"/>
  <c r="G1063" i="1"/>
  <c r="G1151" i="1"/>
  <c r="F1631" i="1"/>
  <c r="C380" i="1"/>
  <c r="G1649" i="1"/>
  <c r="G410" i="1"/>
  <c r="E1751" i="1"/>
  <c r="G1186" i="1"/>
  <c r="G1577" i="1"/>
  <c r="D950" i="1"/>
  <c r="E478" i="1"/>
  <c r="D101" i="1"/>
  <c r="E101" i="1"/>
  <c r="C1522" i="1"/>
  <c r="G1003" i="1"/>
  <c r="F1014" i="1"/>
  <c r="C1132" i="1"/>
  <c r="G67" i="1"/>
  <c r="B1484" i="1"/>
  <c r="G776" i="1"/>
  <c r="G1175" i="1"/>
  <c r="G1216" i="1"/>
  <c r="I1811" i="1"/>
  <c r="I1657" i="1"/>
  <c r="I1648" i="1"/>
  <c r="I1597" i="1"/>
  <c r="I1521" i="1"/>
  <c r="I1392" i="1"/>
  <c r="I1378" i="1"/>
  <c r="I1375" i="1"/>
  <c r="I1298" i="1"/>
  <c r="I1167" i="1"/>
  <c r="I1055" i="1"/>
  <c r="I878" i="1"/>
  <c r="I922" i="1"/>
  <c r="I840" i="1"/>
  <c r="I689" i="1"/>
  <c r="I751" i="1"/>
  <c r="I560" i="1"/>
  <c r="I564" i="1"/>
  <c r="I459" i="1"/>
  <c r="I361" i="1"/>
  <c r="I251" i="1"/>
  <c r="I405" i="1"/>
  <c r="I261" i="1"/>
  <c r="I380" i="1"/>
  <c r="I402" i="1"/>
  <c r="I319" i="1"/>
  <c r="I294" i="1"/>
  <c r="I305" i="1"/>
  <c r="I400" i="1"/>
  <c r="I256" i="1"/>
  <c r="I184" i="1"/>
  <c r="I170" i="1"/>
  <c r="I200" i="1"/>
  <c r="I181" i="1"/>
  <c r="I147" i="1"/>
  <c r="I136" i="1"/>
  <c r="I134" i="1"/>
  <c r="I109" i="1"/>
  <c r="I49" i="1"/>
  <c r="I99" i="1"/>
  <c r="I34" i="1"/>
  <c r="I70" i="1"/>
  <c r="I80" i="1"/>
  <c r="I51" i="1"/>
  <c r="I89" i="1"/>
  <c r="I6" i="1"/>
  <c r="I1034" i="1"/>
  <c r="I848" i="1"/>
  <c r="I841" i="1"/>
  <c r="B202" i="1"/>
  <c r="G1046" i="1"/>
  <c r="E948" i="1"/>
  <c r="C369" i="1"/>
  <c r="G1035" i="1"/>
  <c r="F760" i="1"/>
  <c r="G578" i="1"/>
  <c r="G502" i="1"/>
  <c r="C1361" i="1"/>
  <c r="G1232" i="1"/>
  <c r="E1577" i="1"/>
  <c r="G1843" i="1"/>
  <c r="G1266" i="1"/>
  <c r="G1791" i="1"/>
  <c r="G1446" i="1"/>
  <c r="B1775" i="1"/>
  <c r="G1390" i="1"/>
  <c r="F41" i="1"/>
  <c r="G1280" i="1"/>
  <c r="G1073" i="1"/>
  <c r="G41" i="1"/>
  <c r="D1014" i="1"/>
  <c r="G629" i="1"/>
  <c r="B494" i="1"/>
  <c r="D1577" i="1"/>
  <c r="G663" i="1"/>
  <c r="G1666" i="1"/>
  <c r="B1742" i="1"/>
  <c r="G884" i="1"/>
  <c r="G582" i="1"/>
  <c r="G554" i="1"/>
  <c r="G1617" i="1"/>
  <c r="G1191" i="1"/>
  <c r="G14" i="1"/>
  <c r="G871" i="1"/>
  <c r="E397" i="1"/>
  <c r="E320" i="1"/>
  <c r="G749" i="1"/>
  <c r="D525" i="1"/>
  <c r="G1420" i="1"/>
  <c r="G1433" i="1"/>
  <c r="F1837" i="1"/>
  <c r="E1483" i="1"/>
  <c r="G1024" i="1"/>
  <c r="E444" i="1"/>
  <c r="E1132" i="1"/>
  <c r="D169" i="1"/>
  <c r="G1450" i="1"/>
  <c r="C819" i="1"/>
  <c r="G1004" i="1"/>
  <c r="D993" i="1"/>
  <c r="F525" i="1"/>
  <c r="B1838" i="1"/>
  <c r="G770" i="1"/>
  <c r="C1574" i="1"/>
  <c r="G1392" i="1"/>
  <c r="G1463" i="1"/>
  <c r="D623" i="1"/>
  <c r="G516" i="1"/>
  <c r="B1565" i="1"/>
  <c r="G1525" i="1"/>
  <c r="G537" i="1"/>
  <c r="D1854" i="1"/>
  <c r="G713" i="1"/>
  <c r="G314" i="1"/>
  <c r="B1254" i="1"/>
  <c r="F1131" i="1"/>
  <c r="C361" i="1"/>
  <c r="G396" i="1"/>
  <c r="D1574" i="1"/>
  <c r="F1132" i="1"/>
  <c r="G1655" i="1"/>
  <c r="G588" i="1"/>
  <c r="E49" i="1"/>
  <c r="G715" i="1"/>
  <c r="D656" i="1"/>
  <c r="G408" i="1"/>
  <c r="G1662" i="1"/>
  <c r="I1780" i="1"/>
  <c r="I1306" i="1"/>
  <c r="I940" i="1"/>
  <c r="I613" i="1"/>
  <c r="I393" i="1"/>
  <c r="I307" i="1"/>
  <c r="I244" i="1"/>
  <c r="I196" i="1"/>
  <c r="I110" i="1"/>
  <c r="I58" i="1"/>
  <c r="I77" i="1"/>
  <c r="C492" i="1"/>
  <c r="G1037" i="1"/>
  <c r="G1554" i="1"/>
  <c r="G998" i="1"/>
  <c r="G1429" i="1"/>
  <c r="G1585" i="1"/>
  <c r="G101" i="1"/>
  <c r="G1483" i="1"/>
  <c r="F821" i="1"/>
  <c r="F1572" i="1"/>
  <c r="G818" i="1"/>
  <c r="D349" i="1"/>
  <c r="G185" i="1"/>
  <c r="G1477" i="1"/>
  <c r="E282" i="1"/>
  <c r="G1468" i="1"/>
  <c r="G1104" i="1"/>
  <c r="G979" i="1"/>
  <c r="G1471" i="1"/>
  <c r="G268" i="1"/>
  <c r="G759" i="1"/>
  <c r="E1774" i="1"/>
  <c r="G1342" i="1"/>
  <c r="F57" i="1"/>
  <c r="F1145" i="1"/>
  <c r="E823" i="1"/>
  <c r="G941" i="1"/>
  <c r="G894" i="1"/>
  <c r="G886" i="1"/>
  <c r="C1774" i="1"/>
  <c r="D1683" i="1"/>
  <c r="G1068" i="1"/>
  <c r="B1132" i="1"/>
  <c r="G681" i="1"/>
  <c r="G1699" i="1"/>
  <c r="E1515" i="1"/>
  <c r="G1322" i="1"/>
  <c r="B1727" i="1"/>
  <c r="D1775" i="1"/>
  <c r="G775" i="1"/>
  <c r="G1692" i="1"/>
  <c r="G337" i="1"/>
  <c r="C435" i="1"/>
  <c r="G1739" i="1"/>
  <c r="G809" i="1"/>
  <c r="D1669" i="1"/>
  <c r="G303" i="1"/>
  <c r="G1645" i="1"/>
  <c r="E894" i="1"/>
  <c r="G985" i="1"/>
  <c r="F1397" i="1"/>
  <c r="B1618" i="1"/>
  <c r="G834" i="1"/>
  <c r="C104" i="1"/>
  <c r="G1021" i="1"/>
  <c r="G1461" i="1"/>
  <c r="E57" i="1"/>
  <c r="G1198" i="1"/>
  <c r="G827" i="1"/>
  <c r="G1318" i="1"/>
  <c r="G1155" i="1"/>
  <c r="E927" i="1"/>
  <c r="G852" i="1"/>
  <c r="G859" i="1"/>
  <c r="C915" i="1"/>
  <c r="G691" i="1"/>
  <c r="D851" i="1"/>
  <c r="D103" i="1"/>
  <c r="F1855" i="1"/>
  <c r="F250" i="1"/>
  <c r="E1762" i="1"/>
  <c r="G616" i="1"/>
  <c r="F896" i="1"/>
  <c r="G24" i="1"/>
  <c r="F656" i="1"/>
  <c r="E678" i="1"/>
  <c r="G1856" i="1"/>
  <c r="B1129" i="1"/>
  <c r="E825" i="1"/>
  <c r="G1039" i="1"/>
  <c r="F169" i="1"/>
  <c r="C796" i="1"/>
  <c r="G733" i="1"/>
  <c r="G119" i="1"/>
  <c r="G1822" i="1"/>
  <c r="F444" i="1"/>
  <c r="G490" i="1"/>
  <c r="G1324" i="1"/>
  <c r="G826" i="1"/>
  <c r="D128" i="1"/>
  <c r="G279" i="1"/>
  <c r="G1226" i="1"/>
  <c r="C1604" i="1"/>
  <c r="G1092" i="1"/>
  <c r="D562" i="1"/>
  <c r="G161" i="1"/>
  <c r="E1614" i="1"/>
  <c r="G1127" i="1"/>
  <c r="D1094" i="1"/>
  <c r="B257" i="1"/>
  <c r="F274" i="1"/>
  <c r="G751" i="1"/>
  <c r="B1483" i="1"/>
  <c r="G411" i="1"/>
  <c r="G1419" i="1"/>
  <c r="G1475" i="1"/>
  <c r="C221" i="1"/>
  <c r="C619" i="1"/>
  <c r="B1605" i="1"/>
  <c r="G1149" i="1"/>
  <c r="B246" i="1"/>
  <c r="D190" i="1"/>
  <c r="G1538" i="1"/>
  <c r="G1607" i="1"/>
  <c r="G290" i="1"/>
  <c r="G362" i="1"/>
  <c r="E620" i="1"/>
  <c r="I1771" i="1"/>
  <c r="I1234" i="1"/>
  <c r="I901" i="1"/>
  <c r="I576" i="1"/>
  <c r="I381" i="1"/>
  <c r="I295" i="1"/>
  <c r="I232" i="1"/>
  <c r="I157" i="1"/>
  <c r="I107" i="1"/>
  <c r="I46" i="1"/>
  <c r="I41" i="1"/>
  <c r="G1370" i="1"/>
  <c r="G1738" i="1"/>
  <c r="F1649" i="1"/>
  <c r="G1457" i="1"/>
  <c r="F261" i="1"/>
  <c r="G301" i="1"/>
  <c r="G48" i="1"/>
  <c r="E846" i="1"/>
  <c r="B1455" i="1"/>
  <c r="D1692" i="1"/>
  <c r="G1673" i="1"/>
  <c r="B913" i="1"/>
  <c r="G900" i="1"/>
  <c r="G633" i="1"/>
  <c r="G846" i="1"/>
  <c r="G1333" i="1"/>
  <c r="G903" i="1"/>
  <c r="E261" i="1"/>
  <c r="G444" i="1"/>
  <c r="G1495" i="1"/>
  <c r="C785" i="1"/>
  <c r="F1669" i="1"/>
  <c r="D1132" i="1"/>
  <c r="C101" i="1"/>
  <c r="G1167" i="1"/>
  <c r="E1821" i="1"/>
  <c r="G671" i="1"/>
  <c r="F729" i="1"/>
  <c r="C716" i="1"/>
  <c r="G819" i="1"/>
  <c r="G361" i="1"/>
  <c r="D1554" i="1"/>
  <c r="E1397" i="1"/>
  <c r="G526" i="1"/>
  <c r="F494" i="1"/>
  <c r="E1284" i="1"/>
  <c r="B1564" i="1"/>
  <c r="E1683" i="1"/>
  <c r="E266" i="1"/>
  <c r="G679" i="1"/>
  <c r="G756" i="1"/>
  <c r="C1366" i="1"/>
  <c r="B57" i="1"/>
  <c r="G350" i="1"/>
  <c r="C1775" i="1"/>
  <c r="B607" i="1"/>
  <c r="G55" i="1"/>
  <c r="G464" i="1"/>
  <c r="D1145" i="1"/>
  <c r="G149" i="1"/>
  <c r="B435" i="1"/>
  <c r="C1426" i="1"/>
  <c r="G1619" i="1"/>
  <c r="B1365" i="1"/>
  <c r="G774" i="1"/>
  <c r="G1284" i="1"/>
  <c r="B1683" i="1"/>
  <c r="G146" i="1"/>
  <c r="G419" i="1"/>
  <c r="G1016" i="1"/>
  <c r="G1611" i="1"/>
  <c r="D854" i="1"/>
  <c r="G1303" i="1"/>
  <c r="G1297" i="1"/>
  <c r="G291" i="1"/>
  <c r="G1176" i="1"/>
  <c r="G332" i="1"/>
  <c r="E1361" i="1"/>
  <c r="D381" i="1"/>
  <c r="G1237" i="1"/>
  <c r="G855" i="1"/>
  <c r="D113" i="1"/>
  <c r="G1724" i="1"/>
  <c r="C1047" i="1"/>
  <c r="G389" i="1"/>
  <c r="G653" i="1"/>
  <c r="G137" i="1"/>
  <c r="E1091" i="1"/>
  <c r="B968" i="1"/>
  <c r="B821" i="1"/>
  <c r="G83" i="1"/>
  <c r="B1302" i="1"/>
  <c r="G1128" i="1"/>
  <c r="E405" i="1"/>
  <c r="G752" i="1"/>
  <c r="G1411" i="1"/>
  <c r="G994" i="1"/>
  <c r="C1833" i="1"/>
  <c r="C870" i="1"/>
  <c r="D424" i="1"/>
  <c r="D948" i="1"/>
  <c r="C1374" i="1"/>
  <c r="G1560" i="1"/>
  <c r="G917" i="1"/>
  <c r="G606" i="1"/>
  <c r="G1187" i="1"/>
  <c r="E718" i="1"/>
  <c r="G625" i="1"/>
  <c r="D599" i="1"/>
  <c r="G887" i="1"/>
  <c r="F1358" i="1"/>
  <c r="G1831" i="1"/>
  <c r="G637" i="1"/>
  <c r="G1451" i="1"/>
  <c r="G1371" i="1"/>
  <c r="G1735" i="1"/>
  <c r="C1509" i="1"/>
  <c r="E1560" i="1"/>
  <c r="G1069" i="1"/>
  <c r="E1230" i="1"/>
  <c r="G326" i="1"/>
  <c r="D544" i="1"/>
  <c r="G798" i="1"/>
  <c r="C207" i="1"/>
  <c r="G743" i="1"/>
  <c r="G1808" i="1"/>
  <c r="G948" i="1"/>
  <c r="I1689" i="1"/>
  <c r="I1303" i="1"/>
  <c r="I818" i="1"/>
  <c r="I539" i="1"/>
  <c r="I369" i="1"/>
  <c r="I283" i="1"/>
  <c r="I220" i="1"/>
  <c r="I145" i="1"/>
  <c r="I106" i="1"/>
  <c r="I22" i="1"/>
  <c r="I5" i="1"/>
  <c r="G925" i="1"/>
  <c r="G1595" i="1"/>
  <c r="G401" i="1"/>
  <c r="F582" i="1"/>
  <c r="D58" i="1"/>
  <c r="D1008" i="1"/>
  <c r="G891" i="1"/>
  <c r="C1291" i="1"/>
  <c r="C1131" i="1"/>
  <c r="C1692" i="1"/>
  <c r="C1284" i="1"/>
  <c r="G263" i="1"/>
  <c r="G750" i="1"/>
  <c r="E1175" i="1"/>
  <c r="C525" i="1"/>
  <c r="G1321" i="1"/>
  <c r="B665" i="1"/>
  <c r="D278" i="1"/>
  <c r="G377" i="1"/>
  <c r="E217" i="1"/>
  <c r="E1355" i="1"/>
  <c r="G1687" i="1"/>
  <c r="G1515" i="1"/>
  <c r="E263" i="1"/>
  <c r="G256" i="1"/>
  <c r="D1694" i="1"/>
  <c r="G1108" i="1"/>
  <c r="G1426" i="1"/>
  <c r="B1291" i="1"/>
  <c r="B1292" i="1"/>
  <c r="G1264" i="1"/>
  <c r="G1168" i="1"/>
  <c r="C656" i="1"/>
  <c r="G1135" i="1"/>
  <c r="D397" i="1"/>
  <c r="E582" i="1"/>
  <c r="G767" i="1"/>
  <c r="G1811" i="1"/>
  <c r="C791" i="1"/>
  <c r="C41" i="1"/>
  <c r="G500" i="1"/>
  <c r="B720" i="1"/>
  <c r="B1175" i="1"/>
  <c r="G188" i="1"/>
  <c r="G1292" i="1"/>
  <c r="G434" i="1"/>
  <c r="C114" i="1"/>
  <c r="G1197" i="1"/>
  <c r="G971" i="1"/>
  <c r="D1075" i="1"/>
  <c r="F1851" i="1"/>
  <c r="G245" i="1"/>
  <c r="G1663" i="1"/>
  <c r="B948" i="1"/>
  <c r="G1224" i="1"/>
  <c r="D665" i="1"/>
  <c r="D361" i="1"/>
  <c r="G81" i="1"/>
  <c r="G687" i="1"/>
  <c r="G1836" i="1"/>
  <c r="G1480" i="1"/>
  <c r="G1070" i="1"/>
  <c r="D254" i="1"/>
  <c r="G736" i="1"/>
  <c r="G1388" i="1"/>
  <c r="G876" i="1"/>
  <c r="G1256" i="1"/>
  <c r="D1336" i="1"/>
  <c r="G1381" i="1"/>
  <c r="G769" i="1"/>
  <c r="G1785" i="1"/>
  <c r="C993" i="1"/>
  <c r="D1396" i="1"/>
  <c r="B1224" i="1"/>
  <c r="G975" i="1"/>
  <c r="G1105" i="1"/>
  <c r="E1471" i="1"/>
  <c r="D220" i="1"/>
  <c r="E691" i="1"/>
  <c r="G754" i="1"/>
  <c r="G646" i="1"/>
  <c r="B263" i="1"/>
  <c r="G1625" i="1"/>
  <c r="D932" i="1"/>
  <c r="G579" i="1"/>
  <c r="G212" i="1"/>
  <c r="G728" i="1"/>
  <c r="B1144" i="1"/>
  <c r="G385" i="1"/>
  <c r="D680" i="1"/>
  <c r="G838" i="1"/>
  <c r="G1697" i="1"/>
  <c r="B541" i="1"/>
  <c r="B1837" i="1"/>
  <c r="G670" i="1"/>
  <c r="G253" i="1"/>
  <c r="G124" i="1"/>
  <c r="D52" i="1"/>
  <c r="C1448" i="1"/>
  <c r="E1773" i="1"/>
  <c r="G1352" i="1"/>
  <c r="G1558" i="1"/>
  <c r="C625" i="1"/>
  <c r="C230" i="1"/>
  <c r="G1639" i="1"/>
  <c r="G1734" i="1"/>
  <c r="G1103" i="1"/>
  <c r="C854" i="1"/>
  <c r="D700" i="1"/>
  <c r="C1300" i="1"/>
  <c r="E1605" i="1"/>
  <c r="G644" i="1"/>
  <c r="G446" i="1"/>
  <c r="G896" i="1"/>
  <c r="C599" i="1"/>
  <c r="C1120" i="1"/>
  <c r="I1671" i="1"/>
  <c r="I1335" i="1"/>
  <c r="I822" i="1"/>
  <c r="I490" i="1"/>
  <c r="I249" i="1"/>
  <c r="I303" i="1"/>
  <c r="I171" i="1"/>
  <c r="I122" i="1"/>
  <c r="I37" i="1"/>
  <c r="I68" i="1"/>
  <c r="I435" i="1"/>
  <c r="E1366" i="1"/>
  <c r="E344" i="1"/>
  <c r="G483" i="1"/>
  <c r="C202" i="1"/>
  <c r="F325" i="1"/>
  <c r="G1132" i="1"/>
  <c r="G1752" i="1"/>
  <c r="F371" i="1"/>
  <c r="G1121" i="1"/>
  <c r="G160" i="1"/>
  <c r="G630" i="1"/>
  <c r="C1292" i="1"/>
  <c r="G1503" i="1"/>
  <c r="G995" i="1"/>
  <c r="F915" i="1"/>
  <c r="G334" i="1"/>
  <c r="C1181" i="1"/>
  <c r="D478" i="1"/>
  <c r="E472" i="1"/>
  <c r="D380" i="1"/>
  <c r="B791" i="1"/>
  <c r="G1174" i="1"/>
  <c r="F607" i="1"/>
  <c r="G1015" i="1"/>
  <c r="G1185" i="1"/>
  <c r="D1291" i="1"/>
  <c r="G1125" i="1"/>
  <c r="G1606" i="1"/>
  <c r="E701" i="1"/>
  <c r="B1374" i="1"/>
  <c r="B304" i="1"/>
  <c r="G878" i="1"/>
  <c r="G623" i="1"/>
  <c r="D894" i="1"/>
  <c r="E1484" i="1"/>
  <c r="D1471" i="1"/>
  <c r="G1706" i="1"/>
  <c r="G1670" i="1"/>
  <c r="G984" i="1"/>
  <c r="G1011" i="1"/>
  <c r="B785" i="1"/>
  <c r="E1151" i="1"/>
  <c r="G325" i="1"/>
  <c r="F1802" i="1"/>
  <c r="E196" i="1"/>
  <c r="G1694" i="1"/>
  <c r="G1210" i="1"/>
  <c r="G1779" i="1"/>
  <c r="E791" i="1"/>
  <c r="G1652" i="1"/>
  <c r="D492" i="1"/>
  <c r="G1686" i="1"/>
  <c r="G816" i="1"/>
  <c r="C1114" i="1"/>
  <c r="B190" i="1"/>
  <c r="G821" i="1"/>
  <c r="C701" i="1"/>
  <c r="E900" i="1"/>
  <c r="G313" i="1"/>
  <c r="C376" i="1"/>
  <c r="G1547" i="1"/>
  <c r="G388" i="1"/>
  <c r="G1470" i="1"/>
  <c r="G511" i="1"/>
  <c r="G517" i="1"/>
  <c r="G476" i="1"/>
  <c r="G1518" i="1"/>
  <c r="C949" i="1"/>
  <c r="B545" i="1"/>
  <c r="G499" i="1"/>
  <c r="F997" i="1"/>
  <c r="G1542" i="1"/>
  <c r="F1361" i="1"/>
  <c r="E1023" i="1"/>
  <c r="G461" i="1"/>
  <c r="F1336" i="1"/>
  <c r="G348" i="1"/>
  <c r="G317" i="1"/>
  <c r="C1295" i="1"/>
  <c r="G1502" i="1"/>
  <c r="G1469" i="1"/>
  <c r="G1506" i="1"/>
  <c r="G804" i="1"/>
  <c r="G1456" i="1"/>
  <c r="G1059" i="1"/>
  <c r="D796" i="1"/>
  <c r="G1770" i="1"/>
  <c r="B528" i="1"/>
  <c r="E904" i="1"/>
  <c r="G688" i="1"/>
  <c r="E1631" i="1"/>
  <c r="G847" i="1"/>
  <c r="G1252" i="1"/>
  <c r="G1066" i="1"/>
  <c r="E103" i="1"/>
  <c r="G240" i="1"/>
  <c r="G960" i="1"/>
  <c r="D1089" i="1"/>
  <c r="D1098" i="1"/>
  <c r="F257" i="1"/>
  <c r="G250" i="1"/>
  <c r="G1524" i="1"/>
  <c r="G1202" i="1"/>
  <c r="B1194" i="1"/>
  <c r="E1102" i="1"/>
  <c r="E1206" i="1"/>
  <c r="G1052" i="1"/>
  <c r="B1692" i="1"/>
  <c r="C490" i="1"/>
  <c r="B1030" i="1"/>
  <c r="G191" i="1"/>
  <c r="G145" i="1"/>
  <c r="G471" i="1"/>
  <c r="G246" i="1"/>
  <c r="G1028" i="1"/>
  <c r="G963" i="1"/>
  <c r="I1583" i="1"/>
  <c r="I1226" i="1"/>
  <c r="I757" i="1"/>
  <c r="I494" i="1"/>
  <c r="I225" i="1"/>
  <c r="I425" i="1"/>
  <c r="I182" i="1"/>
  <c r="I156" i="1"/>
  <c r="I25" i="1"/>
  <c r="I56" i="1"/>
  <c r="I783" i="1"/>
  <c r="C1455" i="1"/>
  <c r="G20" i="1"/>
  <c r="G814" i="1"/>
  <c r="G1693" i="1"/>
  <c r="G1759" i="1"/>
  <c r="D1181" i="1"/>
  <c r="G370" i="1"/>
  <c r="B918" i="1"/>
  <c r="G448" i="1"/>
  <c r="G278" i="1"/>
  <c r="C371" i="1"/>
  <c r="G898" i="1"/>
  <c r="D913" i="1"/>
  <c r="B1366" i="1"/>
  <c r="G716" i="1"/>
  <c r="F948" i="1"/>
  <c r="E1546" i="1"/>
  <c r="G1722" i="1"/>
  <c r="C397" i="1"/>
  <c r="C1355" i="1"/>
  <c r="C25" i="1"/>
  <c r="G1637" i="1"/>
  <c r="B20" i="1"/>
  <c r="G254" i="1"/>
  <c r="E104" i="1"/>
  <c r="G655" i="1"/>
  <c r="F894" i="1"/>
  <c r="G926" i="1"/>
  <c r="F263" i="1"/>
  <c r="G30" i="1"/>
  <c r="G372" i="1"/>
  <c r="G981" i="1"/>
  <c r="G72" i="1"/>
  <c r="B1572" i="1"/>
  <c r="D1565" i="1"/>
  <c r="D263" i="1"/>
  <c r="B1533" i="1"/>
  <c r="G1494" i="1"/>
  <c r="F809" i="1"/>
  <c r="G711" i="1"/>
  <c r="G217" i="1"/>
  <c r="F1692" i="1"/>
  <c r="G1160" i="1"/>
  <c r="D369" i="1"/>
  <c r="G796" i="1"/>
  <c r="G1336" i="1"/>
  <c r="G1583" i="1"/>
  <c r="E1291" i="1"/>
  <c r="G29" i="1"/>
  <c r="E304" i="1"/>
  <c r="G550" i="1"/>
  <c r="G56" i="1"/>
  <c r="G1283" i="1"/>
  <c r="G364" i="1"/>
  <c r="B513" i="1"/>
  <c r="G271" i="1"/>
  <c r="F918" i="1"/>
  <c r="B349" i="1"/>
  <c r="G333" i="1"/>
  <c r="E1224" i="1"/>
  <c r="G1404" i="1"/>
  <c r="F319" i="1"/>
  <c r="G1756" i="1"/>
  <c r="C496" i="1"/>
  <c r="C1110" i="1"/>
  <c r="G1300" i="1"/>
  <c r="G1677" i="1"/>
  <c r="G1708" i="1"/>
  <c r="F1440" i="1"/>
  <c r="G485" i="1"/>
  <c r="G1338" i="1"/>
  <c r="G1487" i="1"/>
  <c r="G1479" i="1"/>
  <c r="D1691" i="1"/>
  <c r="D1119" i="1"/>
  <c r="G762" i="1"/>
  <c r="G1335" i="1"/>
  <c r="G1354" i="1"/>
  <c r="G1368" i="1"/>
  <c r="G366" i="1"/>
  <c r="C733" i="1"/>
  <c r="G184" i="1"/>
  <c r="G1783" i="1"/>
  <c r="G675" i="1"/>
  <c r="E637" i="1"/>
  <c r="C1218" i="1"/>
  <c r="G1570" i="1"/>
  <c r="G91" i="1"/>
  <c r="B1098" i="1"/>
  <c r="E876" i="1"/>
  <c r="G1579" i="1"/>
  <c r="G118" i="1"/>
  <c r="G613" i="1"/>
  <c r="G1536" i="1"/>
  <c r="D1693" i="1"/>
  <c r="B312" i="1"/>
  <c r="G1496" i="1"/>
  <c r="G1171" i="1"/>
  <c r="G1638" i="1"/>
  <c r="B144" i="1"/>
  <c r="G1261" i="1"/>
  <c r="G1177" i="1"/>
  <c r="G1048" i="1"/>
  <c r="E697" i="1"/>
  <c r="G109" i="1"/>
  <c r="G904" i="1"/>
  <c r="G965" i="1"/>
  <c r="G187" i="1"/>
  <c r="G97" i="1"/>
  <c r="B1007" i="1"/>
  <c r="G270" i="1"/>
  <c r="B250" i="1"/>
  <c r="G885" i="1"/>
  <c r="G1301" i="1"/>
  <c r="G1835" i="1"/>
  <c r="G1504" i="1"/>
  <c r="I1592" i="1"/>
  <c r="I1345" i="1"/>
  <c r="I685" i="1"/>
  <c r="I456" i="1"/>
  <c r="I223" i="1"/>
  <c r="I413" i="1"/>
  <c r="I169" i="1"/>
  <c r="I144" i="1"/>
  <c r="I13" i="1"/>
  <c r="I44" i="1"/>
  <c r="I100" i="1"/>
  <c r="F1565" i="1"/>
  <c r="G1618" i="1"/>
  <c r="C1373" i="1"/>
  <c r="G1658" i="1"/>
  <c r="G1537" i="1"/>
  <c r="F1577" i="1"/>
  <c r="G1366" i="1"/>
  <c r="B588" i="1"/>
  <c r="G1599" i="1"/>
  <c r="F1291" i="1"/>
  <c r="G40" i="1"/>
  <c r="G1119" i="1"/>
  <c r="B674" i="1"/>
  <c r="D1359" i="1"/>
  <c r="B809" i="1"/>
  <c r="G460" i="1"/>
  <c r="E1687" i="1"/>
  <c r="G1146" i="1"/>
  <c r="G1406" i="1"/>
  <c r="D1687" i="1"/>
  <c r="G1293" i="1"/>
  <c r="G857" i="1"/>
  <c r="F14" i="1"/>
  <c r="G1377" i="1"/>
  <c r="F520" i="1"/>
  <c r="G441" i="1"/>
  <c r="C665" i="1"/>
  <c r="G1001" i="1"/>
  <c r="F1727" i="1"/>
  <c r="E588" i="1"/>
  <c r="G907" i="1"/>
  <c r="D1365" i="1"/>
  <c r="G286" i="1"/>
  <c r="C1687" i="1"/>
  <c r="G1114" i="1"/>
  <c r="G557" i="1"/>
  <c r="G420" i="1"/>
  <c r="E1020" i="1"/>
  <c r="G805" i="1"/>
  <c r="G874" i="1"/>
  <c r="F282" i="1"/>
  <c r="C1484" i="1"/>
  <c r="G1143" i="1"/>
  <c r="C607" i="1"/>
  <c r="G182" i="1"/>
  <c r="D494" i="1"/>
  <c r="G1022" i="1"/>
  <c r="D513" i="1"/>
  <c r="G1038" i="1"/>
  <c r="B444" i="1"/>
  <c r="G1096" i="1"/>
  <c r="G238" i="1"/>
  <c r="G402" i="1"/>
  <c r="G338" i="1"/>
  <c r="F344" i="1"/>
  <c r="G656" i="1"/>
  <c r="D196" i="1"/>
  <c r="C1726" i="1"/>
  <c r="G35" i="1"/>
  <c r="E207" i="1"/>
  <c r="G505" i="1"/>
  <c r="G1169" i="1"/>
  <c r="E1113" i="1"/>
  <c r="B484" i="1"/>
  <c r="G968" i="1"/>
  <c r="G931" i="1"/>
  <c r="E1237" i="1"/>
  <c r="E1217" i="1"/>
  <c r="F785" i="1"/>
  <c r="D533" i="1"/>
  <c r="G438" i="1"/>
  <c r="G1053" i="1"/>
  <c r="G726" i="1"/>
  <c r="G1394" i="1"/>
  <c r="G1853" i="1"/>
  <c r="G1782" i="1"/>
  <c r="E1725" i="1"/>
  <c r="G1636" i="1"/>
  <c r="F1110" i="1"/>
  <c r="G785" i="1"/>
  <c r="B447" i="1"/>
  <c r="G1173" i="1"/>
  <c r="G1076" i="1"/>
  <c r="G662" i="1"/>
  <c r="E1518" i="1"/>
  <c r="G660" i="1"/>
  <c r="G1605" i="1"/>
  <c r="G566" i="1"/>
  <c r="G228" i="1"/>
  <c r="C1470" i="1"/>
  <c r="G1793" i="1"/>
  <c r="E1007" i="1"/>
  <c r="G299" i="1"/>
  <c r="G1269" i="1"/>
  <c r="D1604" i="1"/>
  <c r="E233" i="1"/>
  <c r="B1840" i="1"/>
  <c r="G287" i="1"/>
  <c r="G609" i="1"/>
  <c r="F164" i="1"/>
  <c r="G331" i="1"/>
  <c r="B1102" i="1"/>
  <c r="G1040" i="1"/>
  <c r="G1556" i="1"/>
  <c r="G1435" i="1"/>
  <c r="G1156" i="1"/>
  <c r="C896" i="1"/>
  <c r="G1499" i="1"/>
  <c r="G454" i="1"/>
  <c r="G639" i="1"/>
  <c r="D1518" i="1"/>
  <c r="G70" i="1"/>
  <c r="B909" i="1"/>
  <c r="G676" i="1"/>
  <c r="G274" i="1"/>
  <c r="G914" i="1"/>
  <c r="I1575" i="1"/>
  <c r="I1125" i="1"/>
  <c r="I777" i="1"/>
  <c r="I289" i="1"/>
  <c r="I368" i="1"/>
  <c r="I293" i="1"/>
  <c r="I192" i="1"/>
  <c r="I146" i="1"/>
  <c r="I27" i="1"/>
  <c r="I3" i="1"/>
  <c r="I860" i="1"/>
  <c r="D427" i="1"/>
  <c r="G1341" i="1"/>
  <c r="E915" i="1"/>
  <c r="G37" i="1"/>
  <c r="G1643" i="1"/>
  <c r="G824" i="1"/>
  <c r="F913" i="1"/>
  <c r="G456" i="1"/>
  <c r="G467" i="1"/>
  <c r="B284" i="1"/>
  <c r="D1843" i="1"/>
  <c r="G1271" i="1"/>
  <c r="D1802" i="1"/>
  <c r="G147" i="1"/>
  <c r="G1110" i="1"/>
  <c r="G107" i="1"/>
  <c r="G1484" i="1"/>
  <c r="E1652" i="1"/>
  <c r="G1650" i="1"/>
  <c r="F196" i="1"/>
  <c r="D154" i="1"/>
  <c r="D1774" i="1"/>
  <c r="G1517" i="1"/>
  <c r="D1515" i="1"/>
  <c r="C674" i="1"/>
  <c r="G1257" i="1"/>
  <c r="F219" i="1"/>
  <c r="F697" i="1"/>
  <c r="G84" i="1"/>
  <c r="G1407" i="1"/>
  <c r="G696" i="1"/>
  <c r="B697" i="1"/>
  <c r="G801" i="1"/>
  <c r="F533" i="1"/>
  <c r="C1630" i="1"/>
  <c r="G64" i="1"/>
  <c r="G1850" i="1"/>
  <c r="C494" i="1"/>
  <c r="G722" i="1"/>
  <c r="F278" i="1"/>
  <c r="E1574" i="1"/>
  <c r="G470" i="1"/>
  <c r="G665" i="1"/>
  <c r="G860" i="1"/>
  <c r="G792" i="1"/>
  <c r="F435" i="1"/>
  <c r="G425" i="1"/>
  <c r="C1554" i="1"/>
  <c r="G1036" i="1"/>
  <c r="G1362" i="1"/>
  <c r="G738" i="1"/>
  <c r="G1490" i="1"/>
  <c r="G397" i="1"/>
  <c r="G1532" i="1"/>
  <c r="E357" i="1"/>
  <c r="B1558" i="1"/>
  <c r="G920" i="1"/>
  <c r="G1498" i="1"/>
  <c r="B1843" i="1"/>
  <c r="E1069" i="1"/>
  <c r="C390" i="1"/>
  <c r="E624" i="1"/>
  <c r="G1231" i="1"/>
  <c r="E1347" i="1"/>
  <c r="G593" i="1"/>
  <c r="G1587" i="1"/>
  <c r="G1236" i="1"/>
  <c r="F755" i="1"/>
  <c r="G788" i="1"/>
  <c r="G978" i="1"/>
  <c r="D1085" i="1"/>
  <c r="G1486" i="1"/>
  <c r="G1729" i="1"/>
  <c r="G842" i="1"/>
  <c r="G1803" i="1"/>
  <c r="B1653" i="1"/>
  <c r="G96" i="1"/>
  <c r="G974" i="1"/>
  <c r="C411" i="1"/>
  <c r="G772" i="1"/>
  <c r="E793" i="1"/>
  <c r="G116" i="1"/>
  <c r="G865" i="1"/>
  <c r="G87" i="1"/>
  <c r="C1020" i="1"/>
  <c r="G1294" i="1"/>
  <c r="C428" i="1"/>
  <c r="E1386" i="1"/>
  <c r="B1273" i="1"/>
  <c r="C909" i="1"/>
  <c r="G1725" i="1"/>
  <c r="G1713" i="1"/>
  <c r="E1324" i="1"/>
  <c r="G897" i="1"/>
  <c r="G1346" i="1"/>
  <c r="G1762" i="1"/>
  <c r="G136" i="1"/>
  <c r="G861" i="1"/>
  <c r="G1615" i="1"/>
  <c r="G565" i="1"/>
  <c r="F349" i="1"/>
  <c r="E161" i="1"/>
  <c r="G820" i="1"/>
  <c r="G1566" i="1"/>
  <c r="G1203" i="1"/>
  <c r="G737" i="1"/>
  <c r="B734" i="1"/>
  <c r="G1100" i="1"/>
  <c r="G1307" i="1"/>
  <c r="B1367" i="1"/>
  <c r="D472" i="1"/>
  <c r="B1013" i="1"/>
  <c r="E573" i="1"/>
  <c r="G260" i="1"/>
  <c r="G1511" i="1"/>
  <c r="G703" i="1"/>
  <c r="I1577" i="1"/>
  <c r="I1149" i="1"/>
  <c r="I705" i="1"/>
  <c r="I217" i="1"/>
  <c r="I356" i="1"/>
  <c r="I281" i="1"/>
  <c r="I201" i="1"/>
  <c r="I155" i="1"/>
  <c r="I86" i="1"/>
  <c r="I62" i="1"/>
  <c r="I1185" i="1"/>
  <c r="E271" i="1"/>
  <c r="G1281" i="1"/>
  <c r="B478" i="1"/>
  <c r="D821" i="1"/>
  <c r="G779" i="1"/>
  <c r="G528" i="1"/>
  <c r="C1365" i="1"/>
  <c r="C186" i="1"/>
  <c r="F1515" i="1"/>
  <c r="G902" i="1"/>
  <c r="B282" i="1"/>
  <c r="G1086" i="1"/>
  <c r="B1546" i="1"/>
  <c r="G659" i="1"/>
  <c r="G1545" i="1"/>
  <c r="G178" i="1"/>
  <c r="F1039" i="1"/>
  <c r="G1033" i="1"/>
  <c r="F1774" i="1"/>
  <c r="G1721" i="1"/>
  <c r="D1630" i="1"/>
  <c r="E665" i="1"/>
  <c r="G1055" i="1"/>
  <c r="B104" i="1"/>
  <c r="F202" i="1"/>
  <c r="G1248" i="1"/>
  <c r="G1181" i="1"/>
  <c r="E380" i="1"/>
  <c r="G1837" i="1"/>
  <c r="G1412" i="1"/>
  <c r="G538" i="1"/>
  <c r="E1145" i="1"/>
  <c r="C821" i="1"/>
  <c r="C1577" i="1"/>
  <c r="C1471" i="1"/>
  <c r="G68" i="1"/>
  <c r="G989" i="1"/>
  <c r="C1649" i="1"/>
  <c r="G432" i="1"/>
  <c r="B846" i="1"/>
  <c r="F1292" i="1"/>
  <c r="G1674" i="1"/>
  <c r="F1743" i="1"/>
  <c r="G391" i="1"/>
  <c r="B1774" i="1"/>
  <c r="B971" i="1"/>
  <c r="G1123" i="1"/>
  <c r="B1630" i="1"/>
  <c r="F58" i="1"/>
  <c r="G1137" i="1"/>
  <c r="G547" i="1"/>
  <c r="G1766" i="1"/>
  <c r="E950" i="1"/>
  <c r="G1767" i="1"/>
  <c r="D1851" i="1"/>
  <c r="D791" i="1"/>
  <c r="G916" i="1"/>
  <c r="G339" i="1"/>
  <c r="C478" i="1"/>
  <c r="G918" i="1"/>
  <c r="G356" i="1"/>
  <c r="E1740" i="1"/>
  <c r="G1403" i="1"/>
  <c r="G44" i="1"/>
  <c r="G390" i="1"/>
  <c r="E371" i="1"/>
  <c r="G568" i="1"/>
  <c r="F747" i="1"/>
  <c r="C271" i="1"/>
  <c r="G1823" i="1"/>
  <c r="C1358" i="1"/>
  <c r="B469" i="1"/>
  <c r="G95" i="1"/>
  <c r="G744" i="1"/>
  <c r="G168" i="1"/>
  <c r="B1300" i="1"/>
  <c r="G1845" i="1"/>
  <c r="G1492" i="1"/>
  <c r="C1228" i="1"/>
  <c r="F1687" i="1"/>
  <c r="G1528" i="1"/>
  <c r="G1364" i="1"/>
  <c r="C971" i="1"/>
  <c r="C997" i="1"/>
  <c r="G789" i="1"/>
  <c r="C1669" i="1"/>
  <c r="G16" i="1"/>
  <c r="G1182" i="1"/>
  <c r="D728" i="1"/>
  <c r="E1558" i="1"/>
  <c r="G1190" i="1"/>
  <c r="B1352" i="1"/>
  <c r="G875" i="1"/>
  <c r="G1393" i="1"/>
  <c r="G1078" i="1"/>
  <c r="F369" i="1"/>
  <c r="D1816" i="1"/>
  <c r="G280" i="1"/>
  <c r="E172" i="1"/>
  <c r="C32" i="1"/>
  <c r="C419" i="1"/>
  <c r="D266" i="1"/>
  <c r="B1740" i="1"/>
  <c r="G423" i="1"/>
  <c r="E1801" i="1"/>
  <c r="G1644" i="1"/>
  <c r="G195" i="1"/>
  <c r="C1466" i="1"/>
  <c r="B691" i="1"/>
  <c r="E994" i="1"/>
  <c r="D198" i="1"/>
  <c r="G1319" i="1"/>
  <c r="E278" i="1"/>
  <c r="E682" i="1"/>
  <c r="G1707" i="1"/>
  <c r="G100" i="1"/>
  <c r="I1448" i="1"/>
  <c r="I1090" i="1"/>
  <c r="I667" i="1"/>
  <c r="I318" i="1"/>
  <c r="I344" i="1"/>
  <c r="I269" i="1"/>
  <c r="I189" i="1"/>
  <c r="I143" i="1"/>
  <c r="I26" i="1"/>
  <c r="I91" i="1"/>
  <c r="I1006" i="1"/>
  <c r="E809" i="1"/>
  <c r="E1359" i="1"/>
  <c r="G1745" i="1"/>
  <c r="D582" i="1"/>
  <c r="G345" i="1"/>
  <c r="G1254" i="1"/>
  <c r="D14" i="1"/>
  <c r="G1091" i="1"/>
  <c r="D202" i="1"/>
  <c r="G1602" i="1"/>
  <c r="E1370" i="1"/>
  <c r="G428" i="1"/>
  <c r="F1290" i="1"/>
  <c r="G1246" i="1"/>
  <c r="B869" i="1"/>
  <c r="G365" i="1"/>
  <c r="D1039" i="1"/>
  <c r="F956" i="1"/>
  <c r="G1565" i="1"/>
  <c r="F304" i="1"/>
  <c r="G567" i="1"/>
  <c r="F154" i="1"/>
  <c r="B344" i="1"/>
  <c r="E1843" i="1"/>
  <c r="G1075" i="1"/>
  <c r="G1099" i="1"/>
  <c r="G929" i="1"/>
  <c r="G1728" i="1"/>
  <c r="G1668" i="1"/>
  <c r="G330" i="1"/>
  <c r="F104" i="1"/>
  <c r="C729" i="1"/>
  <c r="D1522" i="1"/>
  <c r="C319" i="1"/>
  <c r="G141" i="1"/>
  <c r="G1533" i="1"/>
  <c r="G909" i="1"/>
  <c r="F478" i="1"/>
  <c r="D1366" i="1"/>
  <c r="F1574" i="1"/>
  <c r="G1497" i="1"/>
  <c r="G440" i="1"/>
  <c r="E1131" i="1"/>
  <c r="G901" i="1"/>
  <c r="F1284" i="1"/>
  <c r="F1020" i="1"/>
  <c r="G5" i="1"/>
  <c r="G1374" i="1"/>
  <c r="E533" i="1"/>
  <c r="G1153" i="1"/>
  <c r="G431" i="1"/>
  <c r="E1572" i="1"/>
  <c r="B1554" i="1"/>
  <c r="D1020" i="1"/>
  <c r="C1618" i="1"/>
  <c r="G1544" i="1"/>
  <c r="G1136" i="1"/>
  <c r="G1576" i="1"/>
  <c r="B1181" i="1"/>
  <c r="G650" i="1"/>
  <c r="G1158" i="1"/>
  <c r="G1751" i="1"/>
  <c r="B1782" i="1"/>
  <c r="G430" i="1"/>
  <c r="G418" i="1"/>
  <c r="G1675" i="1"/>
  <c r="G105" i="1"/>
  <c r="F1439" i="1"/>
  <c r="G1201" i="1"/>
  <c r="G932" i="1"/>
  <c r="G1578" i="1"/>
  <c r="B755" i="1"/>
  <c r="D508" i="1"/>
  <c r="D773" i="1"/>
  <c r="G643" i="1"/>
  <c r="F538" i="1"/>
  <c r="G1596" i="1"/>
  <c r="G587" i="1"/>
  <c r="G850" i="1"/>
  <c r="D1131" i="1"/>
  <c r="G1428" i="1"/>
  <c r="G1000" i="1"/>
  <c r="D1277" i="1"/>
  <c r="B159" i="1"/>
  <c r="G589" i="1"/>
  <c r="G532" i="1"/>
  <c r="G1509" i="1"/>
  <c r="D1022" i="1"/>
  <c r="B239" i="1"/>
  <c r="G57" i="1"/>
  <c r="G417" i="1"/>
  <c r="C1327" i="1"/>
  <c r="G1680" i="1"/>
  <c r="G758" i="1"/>
  <c r="G1543" i="1"/>
  <c r="G1212" i="1"/>
  <c r="C443" i="1"/>
  <c r="G991" i="1"/>
  <c r="G828" i="1"/>
  <c r="F1178" i="1"/>
  <c r="D538" i="1"/>
  <c r="G181" i="1"/>
  <c r="E1819" i="1"/>
  <c r="G667" i="1"/>
  <c r="G514" i="1"/>
  <c r="G143" i="1"/>
  <c r="G475" i="1"/>
  <c r="G59" i="1"/>
  <c r="E1744" i="1"/>
  <c r="D782" i="1"/>
  <c r="E246" i="1"/>
  <c r="G1769" i="1"/>
  <c r="C1521" i="1"/>
  <c r="G1241" i="1"/>
  <c r="E798" i="1"/>
  <c r="G60" i="1"/>
  <c r="I1469" i="1"/>
  <c r="I270" i="1"/>
  <c r="I93" i="1"/>
  <c r="F1355" i="1"/>
  <c r="B1359" i="1"/>
  <c r="G1163" i="1"/>
  <c r="G1786" i="1"/>
  <c r="B701" i="1"/>
  <c r="F791" i="1"/>
  <c r="G1744" i="1"/>
  <c r="E1743" i="1"/>
  <c r="C1558" i="1"/>
  <c r="G702" i="1"/>
  <c r="G353" i="1"/>
  <c r="B1471" i="1"/>
  <c r="G1207" i="1"/>
  <c r="G690" i="1"/>
  <c r="B381" i="1"/>
  <c r="G624" i="1"/>
  <c r="G36" i="1"/>
  <c r="C1337" i="1"/>
  <c r="C1007" i="1"/>
  <c r="B1746" i="1"/>
  <c r="F1546" i="1"/>
  <c r="G1025" i="1"/>
  <c r="G1454" i="1"/>
  <c r="C1413" i="1"/>
  <c r="G1150" i="1"/>
  <c r="G1253" i="1"/>
  <c r="G1787" i="1"/>
  <c r="E625" i="1"/>
  <c r="G27" i="1"/>
  <c r="G1009" i="1"/>
  <c r="G466" i="1"/>
  <c r="G570" i="1"/>
  <c r="G1196" i="1"/>
  <c r="B1027" i="1"/>
  <c r="E1101" i="1"/>
  <c r="G949" i="1"/>
  <c r="G786" i="1"/>
  <c r="G416" i="1"/>
  <c r="B82" i="1"/>
  <c r="G90" i="1"/>
  <c r="G1209" i="1"/>
  <c r="G120" i="1"/>
  <c r="G106" i="1"/>
  <c r="B388" i="1"/>
  <c r="G1715" i="1"/>
  <c r="C1290" i="1"/>
  <c r="G666" i="1"/>
  <c r="F346" i="1"/>
  <c r="G621" i="1"/>
  <c r="D775" i="1"/>
  <c r="G1549" i="1"/>
  <c r="G1385" i="1"/>
  <c r="E1472" i="1"/>
  <c r="G99" i="1"/>
  <c r="B1031" i="1"/>
  <c r="C1216" i="1"/>
  <c r="G1555" i="1"/>
  <c r="G795" i="1"/>
  <c r="C381" i="1"/>
  <c r="E1785" i="1"/>
  <c r="G1375" i="1"/>
  <c r="B1178" i="1"/>
  <c r="G414" i="1"/>
  <c r="C20" i="1"/>
  <c r="B58" i="1"/>
  <c r="E511" i="1"/>
  <c r="C1515" i="1"/>
  <c r="G771" i="1"/>
  <c r="G944" i="1"/>
  <c r="E896" i="1"/>
  <c r="G1061" i="1"/>
  <c r="C1343" i="1"/>
  <c r="G79" i="1"/>
  <c r="E544" i="1"/>
  <c r="G1239" i="1"/>
  <c r="D1448" i="1"/>
  <c r="G945" i="1"/>
  <c r="G1189" i="1"/>
  <c r="E1312" i="1"/>
  <c r="C1271" i="1"/>
  <c r="B1584" i="1"/>
  <c r="C1665" i="1"/>
  <c r="C143" i="1"/>
  <c r="F171" i="1"/>
  <c r="E1653" i="1"/>
  <c r="D1060" i="1"/>
  <c r="G1665" i="1"/>
  <c r="D186" i="1"/>
  <c r="G1213" i="1"/>
  <c r="B1060" i="1"/>
  <c r="G1444" i="1"/>
  <c r="F49" i="1"/>
  <c r="F1312" i="1"/>
  <c r="G535" i="1"/>
  <c r="C1013" i="1"/>
  <c r="E1439" i="1"/>
  <c r="C300" i="1"/>
  <c r="C900" i="1"/>
  <c r="G437" i="1"/>
  <c r="G1193" i="1"/>
  <c r="F1142" i="1"/>
  <c r="F1762" i="1"/>
  <c r="D1510" i="1"/>
  <c r="G108" i="1"/>
  <c r="D293" i="1"/>
  <c r="E662" i="1"/>
  <c r="G595" i="1"/>
  <c r="D1414" i="1"/>
  <c r="B1083" i="1"/>
  <c r="D1655" i="1"/>
  <c r="C1634" i="1"/>
  <c r="D862" i="1"/>
  <c r="E1277" i="1"/>
  <c r="E306" i="1"/>
  <c r="C755" i="1"/>
  <c r="I1456" i="1"/>
  <c r="I351" i="1"/>
  <c r="I69" i="1"/>
  <c r="G344" i="1"/>
  <c r="F90" i="1"/>
  <c r="G1356" i="1"/>
  <c r="D1369" i="1"/>
  <c r="G1014" i="1"/>
  <c r="G1006" i="1"/>
  <c r="G1188" i="1"/>
  <c r="D528" i="1"/>
  <c r="G491" i="1"/>
  <c r="G1214" i="1"/>
  <c r="G807" i="1"/>
  <c r="C90" i="1"/>
  <c r="G10" i="1"/>
  <c r="C809" i="1"/>
  <c r="G465" i="1"/>
  <c r="G544" i="1"/>
  <c r="G132" i="1"/>
  <c r="G1417" i="1"/>
  <c r="G1671" i="1"/>
  <c r="G216" i="1"/>
  <c r="G684" i="1"/>
  <c r="C274" i="1"/>
  <c r="G764" i="1"/>
  <c r="B449" i="1"/>
  <c r="G1749" i="1"/>
  <c r="G88" i="1"/>
  <c r="G1211" i="1"/>
  <c r="E230" i="1"/>
  <c r="G678" i="1"/>
  <c r="E469" i="1"/>
  <c r="B1827" i="1"/>
  <c r="G78" i="1"/>
  <c r="G1624" i="1"/>
  <c r="F376" i="1"/>
  <c r="G1062" i="1"/>
  <c r="G157" i="1"/>
  <c r="G7" i="1"/>
  <c r="G1308" i="1"/>
  <c r="D520" i="1"/>
  <c r="G1130" i="1"/>
  <c r="B1801" i="1"/>
  <c r="G150" i="1"/>
  <c r="G1255" i="1"/>
  <c r="C1753" i="1"/>
  <c r="C384" i="1"/>
  <c r="G1263" i="1"/>
  <c r="G800" i="1"/>
  <c r="G1796" i="1"/>
  <c r="C1546" i="1"/>
  <c r="G439" i="1"/>
  <c r="G1448" i="1"/>
  <c r="B1310" i="1"/>
  <c r="G548" i="1"/>
  <c r="G683" i="1"/>
  <c r="F1150" i="1"/>
  <c r="G605" i="1"/>
  <c r="G1519" i="1"/>
  <c r="G812" i="1"/>
  <c r="G450" i="1"/>
  <c r="C1241" i="1"/>
  <c r="C157" i="1"/>
  <c r="G546" i="1"/>
  <c r="G342" i="1"/>
  <c r="G1434" i="1"/>
  <c r="G707" i="1"/>
  <c r="D76" i="1"/>
  <c r="G1710" i="1"/>
  <c r="G211" i="1"/>
  <c r="G908" i="1"/>
  <c r="G721" i="1"/>
  <c r="C282" i="1"/>
  <c r="G1590" i="1"/>
  <c r="G1409" i="1"/>
  <c r="G1408" i="1"/>
  <c r="G1750" i="1"/>
  <c r="C1089" i="1"/>
  <c r="E1089" i="1"/>
  <c r="E1110" i="1"/>
  <c r="F1289" i="1"/>
  <c r="E1098" i="1"/>
  <c r="C1590" i="1"/>
  <c r="D972" i="1"/>
  <c r="F524" i="1"/>
  <c r="C1751" i="1"/>
  <c r="F1598" i="1"/>
  <c r="C296" i="1"/>
  <c r="G262" i="1"/>
  <c r="B1821" i="1"/>
  <c r="G1551" i="1"/>
  <c r="C77" i="1"/>
  <c r="G2" i="1"/>
  <c r="D383" i="1"/>
  <c r="G194" i="1"/>
  <c r="E891" i="1"/>
  <c r="D443" i="1"/>
  <c r="G1101" i="1"/>
  <c r="G1051" i="1"/>
  <c r="B220" i="1"/>
  <c r="G512" i="1"/>
  <c r="G829" i="1"/>
  <c r="E1273" i="1"/>
  <c r="F1413" i="1"/>
  <c r="G378" i="1"/>
  <c r="B619" i="1"/>
  <c r="B1646" i="1"/>
  <c r="G214" i="1"/>
  <c r="D274" i="1"/>
  <c r="B1751" i="1"/>
  <c r="G38" i="1"/>
  <c r="G352" i="1"/>
  <c r="C1252" i="1"/>
  <c r="F1402" i="1"/>
  <c r="F1101" i="1"/>
  <c r="E210" i="1"/>
  <c r="G1299" i="1"/>
  <c r="G351" i="1"/>
  <c r="E411" i="1"/>
  <c r="F1584" i="1"/>
  <c r="D1773" i="1"/>
  <c r="D967" i="1"/>
  <c r="G1194" i="1"/>
  <c r="D1150" i="1"/>
  <c r="D1069" i="1"/>
  <c r="G823" i="1"/>
  <c r="D771" i="1"/>
  <c r="I1404" i="1"/>
  <c r="I427" i="1"/>
  <c r="I45" i="1"/>
  <c r="B1330" i="1"/>
  <c r="D588" i="1"/>
  <c r="B915" i="1"/>
  <c r="D1743" i="1"/>
  <c r="B325" i="1"/>
  <c r="G832" i="1"/>
  <c r="G723" i="1"/>
  <c r="D971" i="1"/>
  <c r="G1275" i="1"/>
  <c r="G692" i="1"/>
  <c r="E720" i="1"/>
  <c r="F971" i="1"/>
  <c r="G52" i="1"/>
  <c r="D304" i="1"/>
  <c r="G1359" i="1"/>
  <c r="G739" i="1"/>
  <c r="G1773" i="1"/>
  <c r="D384" i="1"/>
  <c r="G1129" i="1"/>
  <c r="G28" i="1"/>
  <c r="G1192" i="1"/>
  <c r="C1414" i="1"/>
  <c r="F190" i="1"/>
  <c r="B793" i="1"/>
  <c r="G1115" i="1"/>
  <c r="G122" i="1"/>
  <c r="G1561" i="1"/>
  <c r="B113" i="1"/>
  <c r="G1347" i="1"/>
  <c r="G668" i="1"/>
  <c r="G1834" i="1"/>
  <c r="D1268" i="1"/>
  <c r="G645" i="1"/>
  <c r="G1285" i="1"/>
  <c r="D956" i="1"/>
  <c r="G718" i="1"/>
  <c r="D1323" i="1"/>
  <c r="G685" i="1"/>
  <c r="G229" i="1"/>
  <c r="G297" i="1"/>
  <c r="E388" i="1"/>
  <c r="D442" i="1"/>
  <c r="G321" i="1"/>
  <c r="C293" i="1"/>
  <c r="D406" i="1"/>
  <c r="E1802" i="1"/>
  <c r="G695" i="1"/>
  <c r="D484" i="1"/>
  <c r="G294" i="1"/>
  <c r="G905" i="1"/>
  <c r="D753" i="1"/>
  <c r="G1798" i="1"/>
  <c r="B1006" i="1"/>
  <c r="G612" i="1"/>
  <c r="D1808" i="1"/>
  <c r="G1478" i="1"/>
  <c r="G1017" i="1"/>
  <c r="G583" i="1"/>
  <c r="G1328" i="1"/>
  <c r="G359" i="1"/>
  <c r="G867" i="1"/>
  <c r="D1289" i="1"/>
  <c r="G193" i="1"/>
  <c r="G1215" i="1"/>
  <c r="B1521" i="1"/>
  <c r="F562" i="1"/>
  <c r="D261" i="1"/>
  <c r="D1840" i="1"/>
  <c r="G706" i="1"/>
  <c r="G1277" i="1"/>
  <c r="G990" i="1"/>
  <c r="B1560" i="1"/>
  <c r="G17" i="1"/>
  <c r="G230" i="1"/>
  <c r="G140" i="1"/>
  <c r="D541" i="1"/>
  <c r="F1471" i="1"/>
  <c r="G1801" i="1"/>
  <c r="G144" i="1"/>
  <c r="C1375" i="1"/>
  <c r="C1273" i="1"/>
  <c r="D1667" i="1"/>
  <c r="F82" i="1"/>
  <c r="D1310" i="1"/>
  <c r="C861" i="1"/>
  <c r="F136" i="1"/>
  <c r="C1233" i="1"/>
  <c r="G747" i="1"/>
  <c r="G80" i="1"/>
  <c r="B881" i="1"/>
  <c r="E1754" i="1"/>
  <c r="C1268" i="1"/>
  <c r="D1785" i="1"/>
  <c r="D1408" i="1"/>
  <c r="D161" i="1"/>
  <c r="C1623" i="1"/>
  <c r="G1581" i="1"/>
  <c r="G782" i="1"/>
  <c r="G1647" i="1"/>
  <c r="D1680" i="1"/>
  <c r="C823" i="1"/>
  <c r="B1229" i="1"/>
  <c r="C1440" i="1"/>
  <c r="E254" i="1"/>
  <c r="B502" i="1"/>
  <c r="F490" i="1"/>
  <c r="C1150" i="1"/>
  <c r="G1797" i="1"/>
  <c r="D38" i="1"/>
  <c r="D1386" i="1"/>
  <c r="F1680" i="1"/>
  <c r="G309" i="1"/>
  <c r="B511" i="1"/>
  <c r="F1242" i="1"/>
  <c r="G209" i="1"/>
  <c r="B1655" i="1"/>
  <c r="G1660" i="1"/>
  <c r="F473" i="1"/>
  <c r="D1144" i="1"/>
  <c r="D1103" i="1"/>
  <c r="G515" i="1"/>
  <c r="B1527" i="1"/>
  <c r="F159" i="1"/>
  <c r="D1367" i="1"/>
  <c r="B1172" i="1"/>
  <c r="I1049" i="1"/>
  <c r="I388" i="1"/>
  <c r="I29" i="1"/>
  <c r="G58" i="1"/>
  <c r="G452" i="1"/>
  <c r="G577" i="1"/>
  <c r="G1727" i="1"/>
  <c r="C346" i="1"/>
  <c r="G1020" i="1"/>
  <c r="G780" i="1"/>
  <c r="F819" i="1"/>
  <c r="G310" i="1"/>
  <c r="D1572" i="1"/>
  <c r="C1175" i="1"/>
  <c r="C1802" i="1"/>
  <c r="G618" i="1"/>
  <c r="G967" i="1"/>
  <c r="F1114" i="1"/>
  <c r="G1564" i="1"/>
  <c r="G831" i="1"/>
  <c r="G298" i="1"/>
  <c r="D1034" i="1"/>
  <c r="G586" i="1"/>
  <c r="G1472" i="1"/>
  <c r="G1453" i="1"/>
  <c r="D1473" i="1"/>
  <c r="G1358" i="1"/>
  <c r="C128" i="1"/>
  <c r="E1155" i="1"/>
  <c r="G1445" i="1"/>
  <c r="G1553" i="1"/>
  <c r="G180" i="1"/>
  <c r="G1344" i="1"/>
  <c r="G1516" i="1"/>
  <c r="C8" i="1"/>
  <c r="D115" i="1"/>
  <c r="C1194" i="1"/>
  <c r="D357" i="1"/>
  <c r="G1378" i="1"/>
  <c r="D1377" i="1"/>
  <c r="G1688" i="1"/>
  <c r="G486" i="1"/>
  <c r="G822" i="1"/>
  <c r="E913" i="1"/>
  <c r="B406" i="1"/>
  <c r="G31" i="1"/>
  <c r="B1350" i="1"/>
  <c r="B1127" i="1"/>
  <c r="G833" i="1"/>
  <c r="G1500" i="1"/>
  <c r="G172" i="1"/>
  <c r="G883" i="1"/>
  <c r="G457" i="1"/>
  <c r="C1338" i="1"/>
  <c r="G381" i="1"/>
  <c r="D624" i="1"/>
  <c r="E1855" i="1"/>
  <c r="B1804" i="1"/>
  <c r="C190" i="1"/>
  <c r="G1741" i="1"/>
  <c r="G1437" i="1"/>
  <c r="G267" i="1"/>
  <c r="G555" i="1"/>
  <c r="C1727" i="1"/>
  <c r="B647" i="1"/>
  <c r="G127" i="1"/>
  <c r="G980" i="1"/>
  <c r="B1688" i="1"/>
  <c r="F1086" i="1"/>
  <c r="G1574" i="1"/>
  <c r="D1665" i="1"/>
  <c r="D320" i="1"/>
  <c r="B1216" i="1"/>
  <c r="G305" i="1"/>
  <c r="D348" i="1"/>
  <c r="G669" i="1"/>
  <c r="G174" i="1"/>
  <c r="G1810" i="1"/>
  <c r="E1176" i="1"/>
  <c r="G1826" i="1"/>
  <c r="G504" i="1"/>
  <c r="F1102" i="1"/>
  <c r="F172" i="1"/>
  <c r="D545" i="1"/>
  <c r="D32" i="1"/>
  <c r="F233" i="1"/>
  <c r="E972" i="1"/>
  <c r="C254" i="1"/>
  <c r="B1103" i="1"/>
  <c r="C1059" i="1"/>
  <c r="G1794" i="1"/>
  <c r="G62" i="1"/>
  <c r="E59" i="1"/>
  <c r="E390" i="1"/>
  <c r="E182" i="1"/>
  <c r="E508" i="1"/>
  <c r="C147" i="1"/>
  <c r="G247" i="1"/>
  <c r="E905" i="1"/>
  <c r="D1031" i="1"/>
  <c r="C277" i="1"/>
  <c r="G125" i="1"/>
  <c r="F793" i="1"/>
  <c r="F1091" i="1"/>
  <c r="G1071" i="1"/>
  <c r="D1237" i="1"/>
  <c r="B1085" i="1"/>
  <c r="C680" i="1"/>
  <c r="G1200" i="1"/>
  <c r="G1627" i="1"/>
  <c r="E1688" i="1"/>
  <c r="G686" i="1"/>
  <c r="G1780" i="1"/>
  <c r="E203" i="1"/>
  <c r="G922" i="1"/>
  <c r="G198" i="1"/>
  <c r="F753" i="1"/>
  <c r="G151" i="1"/>
  <c r="C502" i="1"/>
  <c r="C82" i="1"/>
  <c r="D446" i="1"/>
  <c r="D1091" i="1"/>
  <c r="B927" i="1"/>
  <c r="E160" i="1"/>
  <c r="B296" i="1"/>
  <c r="D825" i="1"/>
  <c r="C782" i="1"/>
  <c r="I980" i="1"/>
  <c r="I376" i="1"/>
  <c r="I64" i="1"/>
  <c r="D1151" i="1"/>
  <c r="G1529" i="1"/>
  <c r="G173" i="1"/>
  <c r="C219" i="1"/>
  <c r="G114" i="1"/>
  <c r="G1376" i="1"/>
  <c r="C605" i="1"/>
  <c r="G1546" i="1"/>
  <c r="G1126" i="1"/>
  <c r="B1131" i="1"/>
  <c r="B889" i="1"/>
  <c r="E1150" i="1"/>
  <c r="D1376" i="1"/>
  <c r="G951" i="1"/>
  <c r="G1569" i="1"/>
  <c r="G1288" i="1"/>
  <c r="G1818" i="1"/>
  <c r="G564" i="1"/>
  <c r="C1688" i="1"/>
  <c r="E312" i="1"/>
  <c r="G700" i="1"/>
  <c r="G559" i="1"/>
  <c r="C1741" i="1"/>
  <c r="G1227" i="1"/>
  <c r="C568" i="1"/>
  <c r="G1405" i="1"/>
  <c r="G1234" i="1"/>
  <c r="G1330" i="1"/>
  <c r="G1147" i="1"/>
  <c r="G1080" i="1"/>
  <c r="C81" i="1"/>
  <c r="C932" i="1"/>
  <c r="B1086" i="1"/>
  <c r="C161" i="1"/>
  <c r="G1632" i="1"/>
  <c r="G888" i="1"/>
  <c r="B49" i="1"/>
  <c r="G121" i="1"/>
  <c r="D1590" i="1"/>
  <c r="G1343" i="1"/>
  <c r="G627" i="1"/>
  <c r="E549" i="1"/>
  <c r="C924" i="1"/>
  <c r="E257" i="1"/>
  <c r="E381" i="1"/>
  <c r="G1414" i="1"/>
  <c r="F1181" i="1"/>
  <c r="G1270" i="1"/>
  <c r="G1440" i="1"/>
  <c r="G1349" i="1"/>
  <c r="E1036" i="1"/>
  <c r="G1348" i="1"/>
  <c r="E1494" i="1"/>
  <c r="G1334" i="1"/>
  <c r="C1310" i="1"/>
  <c r="F1330" i="1"/>
  <c r="G1399" i="1"/>
  <c r="B477" i="1"/>
  <c r="E1038" i="1"/>
  <c r="G386" i="1"/>
  <c r="G462" i="1"/>
  <c r="G996" i="1"/>
  <c r="D1402" i="1"/>
  <c r="C549" i="1"/>
  <c r="C923" i="1"/>
  <c r="E1323" i="1"/>
  <c r="B782" i="1"/>
  <c r="G459" i="1"/>
  <c r="C1324" i="1"/>
  <c r="D182" i="1"/>
  <c r="G409" i="1"/>
  <c r="G911" i="1"/>
  <c r="G755" i="1"/>
  <c r="B1785" i="1"/>
  <c r="G1634" i="1"/>
  <c r="D616" i="1"/>
  <c r="B1218" i="1"/>
  <c r="G1220" i="1"/>
  <c r="E895" i="1"/>
  <c r="E1085" i="1"/>
  <c r="D1609" i="1"/>
  <c r="C705" i="1"/>
  <c r="G50" i="1"/>
  <c r="F207" i="1"/>
  <c r="E249" i="1"/>
  <c r="F1742" i="1"/>
  <c r="D1740" i="1"/>
  <c r="G489" i="1"/>
  <c r="G1731" i="1"/>
  <c r="D1725" i="1"/>
  <c r="E221" i="1"/>
  <c r="E8" i="1"/>
  <c r="G1604" i="1"/>
  <c r="G970" i="1"/>
  <c r="E297" i="1"/>
  <c r="F1120" i="1"/>
  <c r="I908" i="1"/>
  <c r="I364" i="1"/>
  <c r="I87" i="1"/>
  <c r="C1525" i="1"/>
  <c r="G341" i="1"/>
  <c r="F528" i="1"/>
  <c r="G1034" i="1"/>
  <c r="G1268" i="1"/>
  <c r="E674" i="1"/>
  <c r="G674" i="1"/>
  <c r="D1113" i="1"/>
  <c r="G1455" i="1"/>
  <c r="E971" i="1"/>
  <c r="G1732" i="1"/>
  <c r="C1330" i="1"/>
  <c r="B1020" i="1"/>
  <c r="G354" i="1"/>
  <c r="F623" i="1"/>
  <c r="G1702" i="1"/>
  <c r="G562" i="1"/>
  <c r="G1432" i="1"/>
  <c r="B1520" i="1"/>
  <c r="D682" i="1"/>
  <c r="G957" i="1"/>
  <c r="G128" i="1"/>
  <c r="G1218" i="1"/>
  <c r="G1379" i="1"/>
  <c r="C257" i="1"/>
  <c r="G619" i="1"/>
  <c r="B1470" i="1"/>
  <c r="G1057" i="1"/>
  <c r="G1541" i="1"/>
  <c r="D578" i="1"/>
  <c r="G393" i="1"/>
  <c r="G492" i="1"/>
  <c r="B514" i="1"/>
  <c r="E595" i="1"/>
  <c r="F1683" i="1"/>
  <c r="G622" i="1"/>
  <c r="E1846" i="1"/>
  <c r="E484" i="1"/>
  <c r="G328" i="1"/>
  <c r="G541" i="1"/>
  <c r="G1626" i="1"/>
  <c r="E1716" i="1"/>
  <c r="F1376" i="1"/>
  <c r="D637" i="1"/>
  <c r="C1792" i="1"/>
  <c r="G1439" i="1"/>
  <c r="G1289" i="1"/>
  <c r="C97" i="1"/>
  <c r="G942" i="1"/>
  <c r="B949" i="1"/>
  <c r="G1045" i="1"/>
  <c r="D219" i="1"/>
  <c r="D1006" i="1"/>
  <c r="G249" i="1"/>
  <c r="G797" i="1"/>
  <c r="G1571" i="1"/>
  <c r="G1089" i="1"/>
  <c r="E1440" i="1"/>
  <c r="G873" i="1"/>
  <c r="G451" i="1"/>
  <c r="G225" i="1"/>
  <c r="G455" i="1"/>
  <c r="C1336" i="1"/>
  <c r="G435" i="1"/>
  <c r="E1008" i="1"/>
  <c r="E1655" i="1"/>
  <c r="E1426" i="1"/>
  <c r="C304" i="1"/>
  <c r="D1255" i="1"/>
  <c r="D1782" i="1"/>
  <c r="G1716" i="1"/>
  <c r="G1629" i="1"/>
  <c r="G284" i="1"/>
  <c r="D785" i="1"/>
  <c r="G1520" i="1"/>
  <c r="D1810" i="1"/>
  <c r="G507" i="1"/>
  <c r="G208" i="1"/>
  <c r="F680" i="1"/>
  <c r="C59" i="1"/>
  <c r="C1262" i="1"/>
  <c r="D144" i="1"/>
  <c r="F249" i="1"/>
  <c r="B1725" i="1"/>
  <c r="G556" i="1"/>
  <c r="B775" i="1"/>
  <c r="B1716" i="1"/>
  <c r="G1685" i="1"/>
  <c r="G1107" i="1"/>
  <c r="B157" i="1"/>
  <c r="B1597" i="1"/>
  <c r="C1304" i="1"/>
  <c r="G1689" i="1"/>
  <c r="B473" i="1"/>
  <c r="C1422" i="1"/>
  <c r="D1769" i="1"/>
  <c r="D891" i="1"/>
  <c r="F526" i="1"/>
  <c r="D573" i="1"/>
  <c r="E1045" i="1"/>
  <c r="F1773" i="1"/>
  <c r="D335" i="1"/>
  <c r="B625" i="1"/>
  <c r="F573" i="1"/>
  <c r="G76" i="1"/>
  <c r="C105" i="1"/>
  <c r="D904" i="1"/>
  <c r="F157" i="1"/>
  <c r="B1815" i="1"/>
  <c r="G1093" i="1"/>
  <c r="B747" i="1"/>
  <c r="E1194" i="1"/>
  <c r="D1252" i="1"/>
  <c r="F1751" i="1"/>
  <c r="E77" i="1"/>
  <c r="G1140" i="1"/>
  <c r="B114" i="1"/>
  <c r="F1769" i="1"/>
  <c r="E1337" i="1"/>
  <c r="G1087" i="1"/>
  <c r="B160" i="1"/>
  <c r="D167" i="1"/>
  <c r="F1008" i="1"/>
  <c r="G199" i="1"/>
  <c r="I582" i="1"/>
  <c r="I188" i="1"/>
  <c r="I1497" i="1"/>
  <c r="B716" i="1"/>
  <c r="B369" i="1"/>
  <c r="G186" i="1"/>
  <c r="C320" i="1"/>
  <c r="E154" i="1"/>
  <c r="D1361" i="1"/>
  <c r="E1618" i="1"/>
  <c r="F361" i="1"/>
  <c r="G1383" i="1"/>
  <c r="D848" i="1"/>
  <c r="C846" i="1"/>
  <c r="G1586" i="1"/>
  <c r="C528" i="1"/>
  <c r="G1844" i="1"/>
  <c r="B1069" i="1"/>
  <c r="G973" i="1"/>
  <c r="D246" i="1"/>
  <c r="C538" i="1"/>
  <c r="G1340" i="1"/>
  <c r="G395" i="1"/>
  <c r="G269" i="1"/>
  <c r="B544" i="1"/>
  <c r="G986" i="1"/>
  <c r="G742" i="1"/>
  <c r="G1007" i="1"/>
  <c r="D1292" i="1"/>
  <c r="G734" i="1"/>
  <c r="G9" i="1"/>
  <c r="G910" i="1"/>
  <c r="G75" i="1"/>
  <c r="G1276" i="1"/>
  <c r="G940" i="1"/>
  <c r="B678" i="1"/>
  <c r="C1347" i="1"/>
  <c r="G839" i="1"/>
  <c r="G521" i="1"/>
  <c r="G866" i="1"/>
  <c r="D1847" i="1"/>
  <c r="E108" i="1"/>
  <c r="B293" i="1"/>
  <c r="G85" i="1"/>
  <c r="E1114" i="1"/>
  <c r="G327" i="1"/>
  <c r="C171" i="1"/>
  <c r="G1847" i="1"/>
  <c r="G574" i="1"/>
  <c r="G206" i="1"/>
  <c r="F1618" i="1"/>
  <c r="G1410" i="1"/>
  <c r="G382" i="1"/>
  <c r="B593" i="1"/>
  <c r="G103" i="1"/>
  <c r="G1183" i="1"/>
  <c r="G496" i="1"/>
  <c r="C1066" i="1"/>
  <c r="B278" i="1"/>
  <c r="G1530" i="1"/>
  <c r="E1804" i="1"/>
  <c r="C1382" i="1"/>
  <c r="E279" i="1"/>
  <c r="G953" i="1"/>
  <c r="G276" i="1"/>
  <c r="B108" i="1"/>
  <c r="G1138" i="1"/>
  <c r="C562" i="1"/>
  <c r="G1828" i="1"/>
  <c r="G520" i="1"/>
  <c r="G906" i="1"/>
  <c r="G474" i="1"/>
  <c r="D1497" i="1"/>
  <c r="G1695" i="1"/>
  <c r="F887" i="1"/>
  <c r="I581" i="1"/>
  <c r="I176" i="1"/>
  <c r="I1644" i="1"/>
  <c r="G915" i="1"/>
  <c r="D1370" i="1"/>
  <c r="E349" i="1"/>
  <c r="G697" i="1"/>
  <c r="G1505" i="1"/>
  <c r="D674" i="1"/>
  <c r="G543" i="1"/>
  <c r="G1325" i="1"/>
  <c r="G1320" i="1"/>
  <c r="G1148" i="1"/>
  <c r="D104" i="1"/>
  <c r="G495" i="1"/>
  <c r="D20" i="1"/>
  <c r="G374" i="1"/>
  <c r="G1245" i="1"/>
  <c r="G1386" i="1"/>
  <c r="B599" i="1"/>
  <c r="G745" i="1"/>
  <c r="G73" i="1"/>
  <c r="G22" i="1"/>
  <c r="D143" i="1"/>
  <c r="G1396" i="1"/>
  <c r="G1594" i="1"/>
  <c r="G1380" i="1"/>
  <c r="B98" i="1"/>
  <c r="E190" i="1"/>
  <c r="G162" i="1"/>
  <c r="G1616" i="1"/>
  <c r="E159" i="1"/>
  <c r="G1327" i="1"/>
  <c r="G283" i="1"/>
  <c r="G1462" i="1"/>
  <c r="G602" i="1"/>
  <c r="F161" i="1"/>
  <c r="G1608" i="1"/>
  <c r="G1305" i="1"/>
  <c r="E887" i="1"/>
  <c r="G498" i="1"/>
  <c r="C1075" i="1"/>
  <c r="G469" i="1"/>
  <c r="G1855" i="1"/>
  <c r="G1646" i="1"/>
  <c r="G872" i="1"/>
  <c r="E128" i="1"/>
  <c r="G569" i="1"/>
  <c r="B1327" i="1"/>
  <c r="G163" i="1"/>
  <c r="G943" i="1"/>
  <c r="G620" i="1"/>
  <c r="G1733" i="1"/>
  <c r="G42" i="1"/>
  <c r="G1312" i="1"/>
  <c r="G315" i="1"/>
  <c r="E1554" i="1"/>
  <c r="B466" i="1"/>
  <c r="G135" i="1"/>
  <c r="C383" i="1"/>
  <c r="G937" i="1"/>
  <c r="E1013" i="1"/>
  <c r="G1763" i="1"/>
  <c r="B1206" i="1"/>
  <c r="G794" i="1"/>
  <c r="G563" i="1"/>
  <c r="G642" i="1"/>
  <c r="F78" i="1"/>
  <c r="F1426" i="1"/>
  <c r="G1077" i="1"/>
  <c r="G590" i="1"/>
  <c r="G693" i="1"/>
  <c r="D809" i="1"/>
  <c r="G862" i="1"/>
  <c r="G1030" i="1"/>
  <c r="G18" i="1"/>
  <c r="G1313" i="1"/>
  <c r="G243" i="1"/>
  <c r="C982" i="1"/>
  <c r="G1098" i="1"/>
  <c r="G213" i="1"/>
  <c r="F762" i="1"/>
  <c r="F1218" i="1"/>
  <c r="E1810" i="1"/>
  <c r="F1094" i="1"/>
  <c r="G1623" i="1"/>
  <c r="G1097" i="1"/>
  <c r="C743" i="1"/>
  <c r="C994" i="1"/>
  <c r="C640" i="1"/>
  <c r="G601" i="1"/>
  <c r="E157" i="1"/>
  <c r="G1614" i="1"/>
  <c r="D1027" i="1"/>
  <c r="E466" i="1"/>
  <c r="D264" i="1"/>
  <c r="C1377" i="1"/>
  <c r="B1842" i="1"/>
  <c r="G159" i="1"/>
  <c r="G825" i="1"/>
  <c r="C1036" i="1"/>
  <c r="B103" i="1"/>
  <c r="D905" i="1"/>
  <c r="C1807" i="1"/>
  <c r="E1534" i="1"/>
  <c r="E1289" i="1"/>
  <c r="B1472" i="1"/>
  <c r="E376" i="1"/>
  <c r="F411" i="1"/>
  <c r="B78" i="1"/>
  <c r="F1795" i="1"/>
  <c r="G1047" i="1"/>
  <c r="G1195" i="1"/>
  <c r="F113" i="1"/>
  <c r="C1006" i="1"/>
  <c r="D1302" i="1"/>
  <c r="E496" i="1"/>
  <c r="F297" i="1"/>
  <c r="D1534" i="1"/>
  <c r="C1560" i="1"/>
  <c r="F1655" i="1"/>
  <c r="D524" i="1"/>
  <c r="B1525" i="1"/>
  <c r="C264" i="1"/>
  <c r="C1846" i="1"/>
  <c r="B143" i="1"/>
  <c r="E997" i="1"/>
  <c r="I529" i="1"/>
  <c r="I163" i="1"/>
  <c r="B1369" i="1"/>
  <c r="C284" i="1"/>
  <c r="G1332" i="1"/>
  <c r="C697" i="1"/>
  <c r="G889" i="1"/>
  <c r="G654" i="1"/>
  <c r="E607" i="1"/>
  <c r="G1485" i="1"/>
  <c r="G592" i="1"/>
  <c r="G1260" i="1"/>
  <c r="G551" i="1"/>
  <c r="D1114" i="1"/>
  <c r="G635" i="1"/>
  <c r="F271" i="1"/>
  <c r="E528" i="1"/>
  <c r="G236" i="1"/>
  <c r="G815" i="1"/>
  <c r="D247" i="1"/>
  <c r="G1139" i="1"/>
  <c r="G139" i="1"/>
  <c r="B1773" i="1"/>
  <c r="E1851" i="1"/>
  <c r="G1012" i="1"/>
  <c r="G1031" i="1"/>
  <c r="E1094" i="1"/>
  <c r="F1172" i="1"/>
  <c r="G1298" i="1"/>
  <c r="G1788" i="1"/>
  <c r="G1162" i="1"/>
  <c r="G1742" i="1"/>
  <c r="G1642" i="1"/>
  <c r="D1120" i="1"/>
  <c r="G1205" i="1"/>
  <c r="C1778" i="1"/>
  <c r="F1820" i="1"/>
  <c r="G510" i="1"/>
  <c r="D502" i="1"/>
  <c r="G1295" i="1"/>
  <c r="G640" i="1"/>
  <c r="G1427" i="1"/>
  <c r="G1357" i="1"/>
  <c r="B1497" i="1"/>
  <c r="D239" i="1"/>
  <c r="G1221" i="1"/>
  <c r="G1575" i="1"/>
  <c r="C1572" i="1"/>
  <c r="B1381" i="1"/>
  <c r="D8" i="1"/>
  <c r="G130" i="1"/>
  <c r="G171" i="1"/>
  <c r="B1440" i="1"/>
  <c r="G1723" i="1"/>
  <c r="G1013" i="1"/>
  <c r="G242" i="1"/>
  <c r="B136" i="1"/>
  <c r="B905" i="1"/>
  <c r="G277" i="1"/>
  <c r="G1447" i="1"/>
  <c r="G1592" i="1"/>
  <c r="G43" i="1"/>
  <c r="G766" i="1"/>
  <c r="G1815" i="1"/>
  <c r="G1830" i="1"/>
  <c r="G308" i="1"/>
  <c r="G1431" i="1"/>
  <c r="C1288" i="1"/>
  <c r="B1652" i="1"/>
  <c r="C424" i="1"/>
  <c r="G545" i="1"/>
  <c r="G928" i="1"/>
  <c r="G988" i="1"/>
  <c r="G1539" i="1"/>
  <c r="B1769" i="1"/>
  <c r="E1742" i="1"/>
  <c r="G1651" i="1"/>
  <c r="G153" i="1"/>
  <c r="C541" i="1"/>
  <c r="G682" i="1"/>
  <c r="G445" i="1"/>
  <c r="C203" i="1"/>
  <c r="G148" i="1"/>
  <c r="C1129" i="1"/>
  <c r="B1669" i="1"/>
  <c r="B743" i="1"/>
  <c r="G549" i="1"/>
  <c r="C1694" i="1"/>
  <c r="E1396" i="1"/>
  <c r="C353" i="1"/>
  <c r="D1284" i="1"/>
  <c r="E861" i="1"/>
  <c r="G1833" i="1"/>
  <c r="F1013" i="1"/>
  <c r="G478" i="1"/>
  <c r="E143" i="1"/>
  <c r="G1531" i="1"/>
  <c r="D157" i="1"/>
  <c r="F698" i="1"/>
  <c r="D1801" i="1"/>
  <c r="G1851" i="1"/>
  <c r="G433" i="1"/>
  <c r="D172" i="1"/>
  <c r="E1367" i="1"/>
  <c r="G877" i="1"/>
  <c r="D1778" i="1"/>
  <c r="G1771" i="1"/>
  <c r="F1038" i="1"/>
  <c r="E733" i="1"/>
  <c r="E1030" i="1"/>
  <c r="F851" i="1"/>
  <c r="G1262" i="1"/>
  <c r="C773" i="1"/>
  <c r="E761" i="1"/>
  <c r="D1344" i="1"/>
  <c r="G1464" i="1"/>
  <c r="E982" i="1"/>
  <c r="F1653" i="1"/>
  <c r="E1066" i="1"/>
  <c r="C49" i="1"/>
  <c r="G92" i="1"/>
  <c r="D25" i="1"/>
  <c r="G1601" i="1"/>
  <c r="B1094" i="1"/>
  <c r="B1422" i="1"/>
  <c r="F167" i="1"/>
  <c r="D982" i="1"/>
  <c r="I250" i="1"/>
  <c r="F716" i="1"/>
  <c r="E361" i="1"/>
  <c r="G854" i="1"/>
  <c r="D1169" i="1"/>
  <c r="C828" i="1"/>
  <c r="C159" i="1"/>
  <c r="C1069" i="1"/>
  <c r="G719" i="1"/>
  <c r="F909" i="1"/>
  <c r="G1199" i="1"/>
  <c r="G323" i="1"/>
  <c r="E494" i="1"/>
  <c r="G863" i="1"/>
  <c r="E427" i="1"/>
  <c r="B97" i="1"/>
  <c r="D1704" i="1"/>
  <c r="C1631" i="1"/>
  <c r="G1559" i="1"/>
  <c r="G449" i="1"/>
  <c r="C1255" i="1"/>
  <c r="G924" i="1"/>
  <c r="F1518" i="1"/>
  <c r="G725" i="1"/>
  <c r="D1472" i="1"/>
  <c r="F1609" i="1"/>
  <c r="E473" i="1"/>
  <c r="C1564" i="1"/>
  <c r="C1742" i="1"/>
  <c r="G1060" i="1"/>
  <c r="E881" i="1"/>
  <c r="D1327" i="1"/>
  <c r="G608" i="1"/>
  <c r="E1358" i="1"/>
  <c r="F743" i="1"/>
  <c r="B1693" i="1"/>
  <c r="C1103" i="1"/>
  <c r="B900" i="1"/>
  <c r="C1176" i="1"/>
  <c r="D949" i="1"/>
  <c r="B27" i="1"/>
  <c r="C793" i="1"/>
  <c r="F876" i="1"/>
  <c r="E1252" i="1"/>
  <c r="F1127" i="1"/>
  <c r="G1676" i="1"/>
  <c r="F682" i="1"/>
  <c r="F1165" i="1"/>
  <c r="B384" i="1"/>
  <c r="D870" i="1"/>
  <c r="F27" i="1"/>
  <c r="C1808" i="1"/>
  <c r="G152" i="1"/>
  <c r="B306" i="1"/>
  <c r="C891" i="1"/>
  <c r="G1800" i="1"/>
  <c r="E862" i="1"/>
  <c r="C753" i="1"/>
  <c r="D747" i="1"/>
  <c r="F1066" i="1"/>
  <c r="G882" i="1"/>
  <c r="G183" i="1"/>
  <c r="C1746" i="1"/>
  <c r="F381" i="1"/>
  <c r="E1060" i="1"/>
  <c r="C136" i="1"/>
  <c r="E449" i="1"/>
  <c r="B254" i="1"/>
  <c r="F323" i="1"/>
  <c r="F447" i="1"/>
  <c r="D1233" i="1"/>
  <c r="F406" i="1"/>
  <c r="E1808" i="1"/>
  <c r="F1007" i="1"/>
  <c r="C1140" i="1"/>
  <c r="F1337" i="1"/>
  <c r="C720" i="1"/>
  <c r="G843" i="1"/>
  <c r="B1034" i="1"/>
  <c r="D1422" i="1"/>
  <c r="E565" i="1"/>
  <c r="F825" i="1"/>
  <c r="C1003" i="1"/>
  <c r="G1635" i="1"/>
  <c r="E1377" i="1"/>
  <c r="F733" i="1"/>
  <c r="D1338" i="1"/>
  <c r="G1714" i="1"/>
  <c r="E538" i="1"/>
  <c r="D27" i="1"/>
  <c r="B1534" i="1"/>
  <c r="B1598" i="1"/>
  <c r="G1217" i="1"/>
  <c r="B1382" i="1"/>
  <c r="B912" i="1"/>
  <c r="G552" i="1"/>
  <c r="G1591" i="1"/>
  <c r="F1268" i="1"/>
  <c r="B718" i="1"/>
  <c r="C761" i="1"/>
  <c r="F1753" i="1"/>
  <c r="B462" i="1"/>
  <c r="C29" i="1"/>
  <c r="C609" i="1"/>
  <c r="C199" i="1"/>
  <c r="C1776" i="1"/>
  <c r="D1389" i="1"/>
  <c r="C1610" i="1"/>
  <c r="G1242" i="1"/>
  <c r="D1045" i="1"/>
  <c r="C574" i="1"/>
  <c r="C988" i="1"/>
  <c r="F830" i="1"/>
  <c r="F933" i="1"/>
  <c r="E93" i="1"/>
  <c r="C764" i="1"/>
  <c r="C475" i="1"/>
  <c r="C187" i="1"/>
  <c r="C1189" i="1"/>
  <c r="C1527" i="1"/>
  <c r="F1176" i="1"/>
  <c r="F1698" i="1"/>
  <c r="C1173" i="1"/>
  <c r="C1401" i="1"/>
  <c r="F87" i="1"/>
  <c r="C121" i="1"/>
  <c r="G192" i="1"/>
  <c r="D1527" i="1"/>
  <c r="F1030" i="1"/>
  <c r="E1595" i="1"/>
  <c r="B1066" i="1"/>
  <c r="E1491" i="1"/>
  <c r="C512" i="1"/>
  <c r="C575" i="1"/>
  <c r="E1423" i="1"/>
  <c r="F1479" i="1"/>
  <c r="F1815" i="1"/>
  <c r="C1793" i="1"/>
  <c r="F466" i="1"/>
  <c r="C1540" i="1"/>
  <c r="C172" i="1"/>
  <c r="I236" i="1"/>
  <c r="C1843" i="1"/>
  <c r="B1114" i="1"/>
  <c r="G201" i="1"/>
  <c r="E561" i="1"/>
  <c r="B161" i="1"/>
  <c r="F469" i="1"/>
  <c r="B1819" i="1"/>
  <c r="G761" i="1"/>
  <c r="F1047" i="1"/>
  <c r="G710" i="1"/>
  <c r="C1820" i="1"/>
  <c r="G585" i="1"/>
  <c r="G746" i="1"/>
  <c r="F1807" i="1"/>
  <c r="B573" i="1"/>
  <c r="C76" i="1"/>
  <c r="B271" i="1"/>
  <c r="G1250" i="1"/>
  <c r="G300" i="1"/>
  <c r="E1827" i="1"/>
  <c r="C1693" i="1"/>
  <c r="E1301" i="1"/>
  <c r="B249" i="1"/>
  <c r="B524" i="1"/>
  <c r="B1242" i="1"/>
  <c r="D1754" i="1"/>
  <c r="E1597" i="1"/>
  <c r="G1421" i="1"/>
  <c r="C1842" i="1"/>
  <c r="B76" i="1"/>
  <c r="G1820" i="1"/>
  <c r="B729" i="1"/>
  <c r="D1230" i="1"/>
  <c r="F599" i="1"/>
  <c r="G1679" i="1"/>
  <c r="C1220" i="1"/>
  <c r="G632" i="1"/>
  <c r="B1001" i="1"/>
  <c r="E1310" i="1"/>
  <c r="B1301" i="1"/>
  <c r="F76" i="1"/>
  <c r="D1833" i="1"/>
  <c r="B172" i="1"/>
  <c r="B825" i="1"/>
  <c r="G134" i="1"/>
  <c r="E1492" i="1"/>
  <c r="E274" i="1"/>
  <c r="C1762" i="1"/>
  <c r="C708" i="1"/>
  <c r="E1006" i="1"/>
  <c r="F514" i="1"/>
  <c r="E1584" i="1"/>
  <c r="F405" i="1"/>
  <c r="E1598" i="1"/>
  <c r="G1832" i="1"/>
  <c r="G1413" i="1"/>
  <c r="C1172" i="1"/>
  <c r="C1027" i="1"/>
  <c r="F1527" i="1"/>
  <c r="G1523" i="1"/>
  <c r="D1831" i="1"/>
  <c r="B1667" i="1"/>
  <c r="D733" i="1"/>
  <c r="B311" i="1"/>
  <c r="F264" i="1"/>
  <c r="B1237" i="1"/>
  <c r="D1128" i="1"/>
  <c r="E1694" i="1"/>
  <c r="G343" i="1"/>
  <c r="D388" i="1"/>
  <c r="D81" i="1"/>
  <c r="E1242" i="1"/>
  <c r="G1807" i="1"/>
  <c r="B1347" i="1"/>
  <c r="F1273" i="1"/>
  <c r="G1589" i="1"/>
  <c r="G404" i="1"/>
  <c r="B443" i="1"/>
  <c r="C1795" i="1"/>
  <c r="B972" i="1"/>
  <c r="D912" i="1"/>
  <c r="D1013" i="1"/>
  <c r="E1381" i="1"/>
  <c r="B170" i="1"/>
  <c r="G363" i="1"/>
  <c r="C1740" i="1"/>
  <c r="B472" i="1"/>
  <c r="B1698" i="1"/>
  <c r="F761" i="1"/>
  <c r="F1785" i="1"/>
  <c r="C1797" i="1"/>
  <c r="E1088" i="1"/>
  <c r="G1776" i="1"/>
  <c r="F1560" i="1"/>
  <c r="E1233" i="1"/>
  <c r="C711" i="1"/>
  <c r="C736" i="1"/>
  <c r="D323" i="1"/>
  <c r="C1333" i="1"/>
  <c r="C1817" i="1"/>
  <c r="F508" i="1"/>
  <c r="F1354" i="1"/>
  <c r="C1420" i="1"/>
  <c r="F432" i="1"/>
  <c r="D1301" i="1"/>
  <c r="E1009" i="1"/>
  <c r="D994" i="1"/>
  <c r="E1327" i="1"/>
  <c r="B203" i="1"/>
  <c r="C1200" i="1"/>
  <c r="C484" i="1"/>
  <c r="C1068" i="1"/>
  <c r="B860" i="1"/>
  <c r="C1736" i="1"/>
  <c r="C299" i="1"/>
  <c r="C226" i="1"/>
  <c r="F1615" i="1"/>
  <c r="C1611" i="1"/>
  <c r="G322" i="1"/>
  <c r="E27" i="1"/>
  <c r="C1528" i="1"/>
  <c r="C117" i="1"/>
  <c r="C189" i="1"/>
  <c r="E76" i="1"/>
  <c r="C407" i="1"/>
  <c r="G1661" i="1"/>
  <c r="B1005" i="1"/>
  <c r="C1217" i="1"/>
  <c r="C1506" i="1"/>
  <c r="G1846" i="1"/>
  <c r="C48" i="1"/>
  <c r="F584" i="1"/>
  <c r="C193" i="1"/>
  <c r="B598" i="1"/>
  <c r="C231" i="1"/>
  <c r="C9" i="1"/>
  <c r="E507" i="1"/>
  <c r="C543" i="1"/>
  <c r="C805" i="1"/>
  <c r="D1130" i="1"/>
  <c r="I418" i="1"/>
  <c r="C1652" i="1"/>
  <c r="G1165" i="1"/>
  <c r="G1094" i="1"/>
  <c r="G1032" i="1"/>
  <c r="G1159" i="1"/>
  <c r="G447" i="1"/>
  <c r="G133" i="1"/>
  <c r="G1259" i="1"/>
  <c r="G599" i="1"/>
  <c r="C246" i="1"/>
  <c r="C1653" i="1"/>
  <c r="G892" i="1"/>
  <c r="G1416" i="1"/>
  <c r="C1386" i="1"/>
  <c r="C98" i="1"/>
  <c r="G223" i="1"/>
  <c r="G808" i="1"/>
  <c r="G1510" i="1"/>
  <c r="E1646" i="1"/>
  <c r="D218" i="1"/>
  <c r="F1241" i="1"/>
  <c r="D1451" i="1"/>
  <c r="G1758" i="1"/>
  <c r="D927" i="1"/>
  <c r="G1079" i="1"/>
  <c r="C210" i="1"/>
  <c r="C1676" i="1"/>
  <c r="F1804" i="1"/>
  <c r="D296" i="1"/>
  <c r="G1170" i="1"/>
  <c r="B1792" i="1"/>
  <c r="C1754" i="1"/>
  <c r="D1129" i="1"/>
  <c r="E949" i="1"/>
  <c r="D924" i="1"/>
  <c r="C160" i="1"/>
  <c r="C1302" i="1"/>
  <c r="C1352" i="1"/>
  <c r="G1083" i="1"/>
  <c r="E32" i="1"/>
  <c r="F144" i="1"/>
  <c r="F182" i="1"/>
  <c r="B348" i="1"/>
  <c r="C1576" i="1"/>
  <c r="G47" i="1"/>
  <c r="G129" i="1"/>
  <c r="G1365" i="1"/>
  <c r="E1680" i="1"/>
  <c r="F1140" i="1"/>
  <c r="C1038" i="1"/>
  <c r="F388" i="1"/>
  <c r="D1822" i="1"/>
  <c r="F1089" i="1"/>
  <c r="D1846" i="1"/>
  <c r="G571" i="1"/>
  <c r="G113" i="1"/>
  <c r="B616" i="1"/>
  <c r="E218" i="1"/>
  <c r="F1381" i="1"/>
  <c r="E1133" i="1"/>
  <c r="C1065" i="1"/>
  <c r="B1312" i="1"/>
  <c r="F312" i="1"/>
  <c r="D647" i="1"/>
  <c r="F1510" i="1"/>
  <c r="G1422" i="1"/>
  <c r="F1310" i="1"/>
  <c r="F496" i="1"/>
  <c r="B218" i="1"/>
  <c r="C1086" i="1"/>
  <c r="G15" i="1"/>
  <c r="E1128" i="1"/>
  <c r="G1117" i="1"/>
  <c r="E1604" i="1"/>
  <c r="F625" i="1"/>
  <c r="G946" i="1"/>
  <c r="E435" i="1"/>
  <c r="C62" i="1"/>
  <c r="E1448" i="1"/>
  <c r="E1402" i="1"/>
  <c r="D1614" i="1"/>
  <c r="D207" i="1"/>
  <c r="D755" i="1"/>
  <c r="D490" i="1"/>
  <c r="F905" i="1"/>
  <c r="B8" i="1"/>
  <c r="D662" i="1"/>
  <c r="D798" i="1"/>
  <c r="D1218" i="1"/>
  <c r="E1571" i="1"/>
  <c r="E296" i="1"/>
  <c r="C115" i="1"/>
  <c r="C851" i="1"/>
  <c r="C1584" i="1"/>
  <c r="B1375" i="1"/>
  <c r="D211" i="1"/>
  <c r="C279" i="1"/>
  <c r="F270" i="1"/>
  <c r="C310" i="1"/>
  <c r="C236" i="1"/>
  <c r="C388" i="1"/>
  <c r="D1467" i="1"/>
  <c r="C1362" i="1"/>
  <c r="C616" i="1"/>
  <c r="F1854" i="1"/>
  <c r="E578" i="1"/>
  <c r="F964" i="1"/>
  <c r="B142" i="1"/>
  <c r="F348" i="1"/>
  <c r="F318" i="1"/>
  <c r="C1380" i="1"/>
  <c r="C1514" i="1"/>
  <c r="C786" i="1"/>
  <c r="F1060" i="1"/>
  <c r="C1052" i="1"/>
  <c r="B1409" i="1"/>
  <c r="C482" i="1"/>
  <c r="D1434" i="1"/>
  <c r="D1241" i="1"/>
  <c r="D1133" i="1"/>
  <c r="C1183" i="1"/>
  <c r="C415" i="1"/>
  <c r="C1763" i="1"/>
  <c r="C238" i="1"/>
  <c r="C1004" i="1"/>
  <c r="F1601" i="1"/>
  <c r="C1406" i="1"/>
  <c r="C1226" i="1"/>
  <c r="F419" i="1"/>
  <c r="I154" i="1"/>
  <c r="G748" i="1"/>
  <c r="G1219" i="1"/>
  <c r="G525" i="1"/>
  <c r="G1816" i="1"/>
  <c r="G845" i="1"/>
  <c r="G881" i="1"/>
  <c r="G1852" i="1"/>
  <c r="G921" i="1"/>
  <c r="D1762" i="1"/>
  <c r="G13" i="1"/>
  <c r="G598" i="1"/>
  <c r="C1769" i="1"/>
  <c r="G1166" i="1"/>
  <c r="B700" i="1"/>
  <c r="G1360" i="1"/>
  <c r="B1358" i="1"/>
  <c r="G1316" i="1"/>
  <c r="G493" i="1"/>
  <c r="D1055" i="1"/>
  <c r="G1664" i="1"/>
  <c r="G311" i="1"/>
  <c r="E851" i="1"/>
  <c r="D170" i="1"/>
  <c r="B1518" i="1"/>
  <c r="F1472" i="1"/>
  <c r="D59" i="1"/>
  <c r="F320" i="1"/>
  <c r="D496" i="1"/>
  <c r="G12" i="1"/>
  <c r="F541" i="1"/>
  <c r="D997" i="1"/>
  <c r="G1337" i="1"/>
  <c r="B1295" i="1"/>
  <c r="E1623" i="1"/>
  <c r="B1233" i="1"/>
  <c r="G1058" i="1"/>
  <c r="D1140" i="1"/>
  <c r="C305" i="1"/>
  <c r="C103" i="1"/>
  <c r="D1375" i="1"/>
  <c r="E239" i="1"/>
  <c r="F924" i="1"/>
  <c r="G1799" i="1"/>
  <c r="G1145" i="1"/>
  <c r="G1696" i="1"/>
  <c r="B1023" i="1"/>
  <c r="B1008" i="1"/>
  <c r="G480" i="1"/>
  <c r="B115" i="1"/>
  <c r="B1831" i="1"/>
  <c r="E1344" i="1"/>
  <c r="G1700" i="1"/>
  <c r="C718" i="1"/>
  <c r="B620" i="1"/>
  <c r="G509" i="1"/>
  <c r="G1164" i="1"/>
  <c r="G472" i="1"/>
  <c r="D1827" i="1"/>
  <c r="G32" i="1"/>
  <c r="B921" i="1"/>
  <c r="E1815" i="1"/>
  <c r="C1785" i="1"/>
  <c r="E1590" i="1"/>
  <c r="C1312" i="1"/>
  <c r="F578" i="1"/>
  <c r="G258" i="1"/>
  <c r="E447" i="1"/>
  <c r="G1703" i="1"/>
  <c r="G803" i="1"/>
  <c r="E968" i="1"/>
  <c r="E705" i="1"/>
  <c r="D411" i="1"/>
  <c r="G584" i="1"/>
  <c r="B1338" i="1"/>
  <c r="D1220" i="1"/>
  <c r="G844" i="1"/>
  <c r="G1085" i="1"/>
  <c r="G6" i="1"/>
  <c r="C1408" i="1"/>
  <c r="F904" i="1"/>
  <c r="F1302" i="1"/>
  <c r="F1230" i="1"/>
  <c r="C1094" i="1"/>
  <c r="B851" i="1"/>
  <c r="G203" i="1"/>
  <c r="D108" i="1"/>
  <c r="E734" i="1"/>
  <c r="G413" i="1"/>
  <c r="F1367" i="1"/>
  <c r="E198" i="1"/>
  <c r="E1350" i="1"/>
  <c r="G376" i="1"/>
  <c r="B1268" i="1"/>
  <c r="F484" i="1"/>
  <c r="G895" i="1"/>
  <c r="F1194" i="1"/>
  <c r="B264" i="1"/>
  <c r="B970" i="1"/>
  <c r="C1331" i="1"/>
  <c r="C93" i="1"/>
  <c r="E1379" i="1"/>
  <c r="F142" i="1"/>
  <c r="C1594" i="1"/>
  <c r="C1417" i="1"/>
  <c r="B1495" i="1"/>
  <c r="F93" i="1"/>
  <c r="C1532" i="1"/>
  <c r="B1662" i="1"/>
  <c r="B982" i="1"/>
  <c r="F418" i="1"/>
  <c r="C2" i="1"/>
  <c r="E403" i="1"/>
  <c r="D1627" i="1"/>
  <c r="C1654" i="1"/>
  <c r="D1092" i="1"/>
  <c r="F383" i="1"/>
  <c r="F1844" i="1"/>
  <c r="F428" i="1"/>
  <c r="C649" i="1"/>
  <c r="B828" i="1"/>
  <c r="C118" i="1"/>
  <c r="F775" i="1"/>
  <c r="C294" i="1"/>
  <c r="C1447" i="1"/>
  <c r="G542" i="1"/>
  <c r="F1634" i="1"/>
  <c r="C148" i="1"/>
  <c r="C1073" i="1"/>
  <c r="G1106" i="1"/>
  <c r="B167" i="1"/>
  <c r="C521" i="1"/>
  <c r="C645" i="1"/>
  <c r="C465" i="1"/>
  <c r="B631" i="1"/>
  <c r="I116" i="1"/>
  <c r="G306" i="1"/>
  <c r="G817" i="1"/>
  <c r="B819" i="1"/>
  <c r="G1278" i="1"/>
  <c r="G958" i="1"/>
  <c r="G318" i="1"/>
  <c r="G1678" i="1"/>
  <c r="B637" i="1"/>
  <c r="D1101" i="1"/>
  <c r="G1124" i="1"/>
  <c r="D1842" i="1"/>
  <c r="G851" i="1"/>
  <c r="G955" i="1"/>
  <c r="C233" i="1"/>
  <c r="B1288" i="1"/>
  <c r="E1520" i="1"/>
  <c r="G604" i="1"/>
  <c r="G961" i="1"/>
  <c r="B1548" i="1"/>
  <c r="G111" i="1"/>
  <c r="B876" i="1"/>
  <c r="C904" i="1"/>
  <c r="G778" i="1"/>
  <c r="G69" i="1"/>
  <c r="G1841" i="1"/>
  <c r="E1262" i="1"/>
  <c r="G1838" i="1"/>
  <c r="F1564" i="1"/>
  <c r="E62" i="1"/>
  <c r="C747" i="1"/>
  <c r="F1808" i="1"/>
  <c r="D1470" i="1"/>
  <c r="E1741" i="1"/>
  <c r="F293" i="1"/>
  <c r="C1229" i="1"/>
  <c r="F472" i="1"/>
  <c r="D1350" i="1"/>
  <c r="F311" i="1"/>
  <c r="B994" i="1"/>
  <c r="B728" i="1"/>
  <c r="D1373" i="1"/>
  <c r="B403" i="1"/>
  <c r="B662" i="1"/>
  <c r="F284" i="1"/>
  <c r="F720" i="1"/>
  <c r="B753" i="1"/>
  <c r="F1841" i="1"/>
  <c r="D142" i="1"/>
  <c r="F927" i="1"/>
  <c r="F1344" i="1"/>
  <c r="C613" i="1"/>
  <c r="C218" i="1"/>
  <c r="B1807" i="1"/>
  <c r="G1691" i="1"/>
  <c r="B40" i="1"/>
  <c r="F1119" i="1"/>
  <c r="D1494" i="1"/>
  <c r="G539" i="1"/>
  <c r="F98" i="1"/>
  <c r="C1732" i="1"/>
  <c r="D477" i="1"/>
  <c r="C573" i="1"/>
  <c r="B147" i="1"/>
  <c r="E490" i="1"/>
  <c r="F781" i="1"/>
  <c r="G1441" i="1"/>
  <c r="F1561" i="1"/>
  <c r="D1561" i="1"/>
  <c r="G1717" i="1"/>
  <c r="D1653" i="1"/>
  <c r="F1614" i="1"/>
  <c r="E462" i="1"/>
  <c r="G1436" i="1"/>
  <c r="C1030" i="1"/>
  <c r="F335" i="1"/>
  <c r="G540" i="1"/>
  <c r="G1290" i="1"/>
  <c r="G964" i="1"/>
  <c r="B1323" i="1"/>
  <c r="E753" i="1"/>
  <c r="E762" i="1"/>
  <c r="F1288" i="1"/>
  <c r="C1316" i="1"/>
  <c r="D620" i="1"/>
  <c r="C511" i="1"/>
  <c r="C637" i="1"/>
  <c r="C1655" i="1"/>
  <c r="C1819" i="1"/>
  <c r="D1509" i="1"/>
  <c r="G638" i="1"/>
  <c r="D1176" i="1"/>
  <c r="D1744" i="1"/>
  <c r="B891" i="1"/>
  <c r="F1069" i="1"/>
  <c r="C170" i="1"/>
  <c r="I137" i="1"/>
  <c r="B1855" i="1"/>
  <c r="D760" i="1"/>
  <c r="G561" i="1"/>
  <c r="G1387" i="1"/>
  <c r="C335" i="1"/>
  <c r="G1315" i="1"/>
  <c r="G1526" i="1"/>
  <c r="E1822" i="1"/>
  <c r="G275" i="1"/>
  <c r="G19" i="1"/>
  <c r="C323" i="1"/>
  <c r="G1474" i="1"/>
  <c r="G197" i="1"/>
  <c r="F1255" i="1"/>
  <c r="G167" i="1"/>
  <c r="G647" i="1"/>
  <c r="G1286" i="1"/>
  <c r="G1488" i="1"/>
  <c r="G1282" i="1"/>
  <c r="G1317" i="1"/>
  <c r="G424" i="1"/>
  <c r="C1777" i="1"/>
  <c r="F1005" i="1"/>
  <c r="G1476" i="1"/>
  <c r="C442" i="1"/>
  <c r="E1220" i="1"/>
  <c r="G281" i="1"/>
  <c r="G1682" i="1"/>
  <c r="B1816" i="1"/>
  <c r="B1448" i="1"/>
  <c r="F1534" i="1"/>
  <c r="E309" i="1"/>
  <c r="C895" i="1"/>
  <c r="E281" i="1"/>
  <c r="C281" i="1"/>
  <c r="F1113" i="1"/>
  <c r="D1688" i="1"/>
  <c r="B1741" i="1"/>
  <c r="D1819" i="1"/>
  <c r="G1118" i="1"/>
  <c r="F1027" i="1"/>
  <c r="F549" i="1"/>
  <c r="E1295" i="1"/>
  <c r="G296" i="1"/>
  <c r="G1206" i="1"/>
  <c r="D1741" i="1"/>
  <c r="F568" i="1"/>
  <c r="B1571" i="1"/>
  <c r="C1494" i="1"/>
  <c r="C970" i="1"/>
  <c r="G1323" i="1"/>
  <c r="C775" i="1"/>
  <c r="D1288" i="1"/>
  <c r="G870" i="1"/>
  <c r="G1584" i="1"/>
  <c r="G1304" i="1"/>
  <c r="B182" i="1"/>
  <c r="B1623" i="1"/>
  <c r="G923" i="1"/>
  <c r="C1816" i="1"/>
  <c r="F1704" i="1"/>
  <c r="D861" i="1"/>
  <c r="D1273" i="1"/>
  <c r="C1605" i="1"/>
  <c r="G657" i="1"/>
  <c r="G576" i="1"/>
  <c r="D1300" i="1"/>
  <c r="E428" i="1"/>
  <c r="C508" i="1"/>
  <c r="B1704" i="1"/>
  <c r="F1347" i="1"/>
  <c r="G481" i="1"/>
  <c r="G1600" i="1"/>
  <c r="D466" i="1"/>
  <c r="G799" i="1"/>
  <c r="B492" i="1"/>
  <c r="G1244" i="1"/>
  <c r="B733" i="1"/>
  <c r="G335" i="1"/>
  <c r="B1396" i="1"/>
  <c r="G1501" i="1"/>
  <c r="E843" i="1"/>
  <c r="D734" i="1"/>
  <c r="G952" i="1"/>
  <c r="B1169" i="1"/>
  <c r="D1186" i="1"/>
  <c r="C211" i="1"/>
  <c r="D1746" i="1"/>
  <c r="D1088" i="1"/>
  <c r="G1512" i="1"/>
  <c r="B1140" i="1"/>
  <c r="B1262" i="1"/>
  <c r="E105" i="1"/>
  <c r="G1157" i="1"/>
  <c r="G959" i="1"/>
  <c r="D625" i="1"/>
  <c r="F1681" i="1"/>
  <c r="G204" i="1"/>
  <c r="E118" i="1"/>
  <c r="E1241" i="1"/>
  <c r="F174" i="1"/>
  <c r="C826" i="1"/>
  <c r="C850" i="1"/>
  <c r="C1340" i="1"/>
  <c r="C272" i="1"/>
  <c r="F765" i="1"/>
  <c r="C675" i="1"/>
  <c r="D1030" i="1"/>
  <c r="F674" i="1"/>
  <c r="C668" i="1"/>
  <c r="C1370" i="1"/>
  <c r="G25" i="1"/>
  <c r="F217" i="1"/>
  <c r="G1113" i="1"/>
  <c r="D1466" i="1"/>
  <c r="G1049" i="1"/>
  <c r="G1789" i="1"/>
  <c r="D1290" i="1"/>
  <c r="B1147" i="1"/>
  <c r="C38" i="1"/>
  <c r="G1144" i="1"/>
  <c r="G257" i="1"/>
  <c r="G1384" i="1"/>
  <c r="C1680" i="1"/>
  <c r="D217" i="1"/>
  <c r="G1672" i="1"/>
  <c r="G617" i="1"/>
  <c r="D77" i="1"/>
  <c r="E1181" i="1"/>
  <c r="C239" i="1"/>
  <c r="D1546" i="1"/>
  <c r="G524" i="1"/>
  <c r="B798" i="1"/>
  <c r="E194" i="1"/>
  <c r="E1509" i="1"/>
  <c r="E1300" i="1"/>
  <c r="D1229" i="1"/>
  <c r="G1667" i="1"/>
  <c r="F691" i="1"/>
  <c r="E1304" i="1"/>
  <c r="E477" i="1"/>
  <c r="G347" i="1"/>
  <c r="E970" i="1"/>
  <c r="F700" i="1"/>
  <c r="F1740" i="1"/>
  <c r="F1217" i="1"/>
  <c r="G384" i="1"/>
  <c r="E1681" i="1"/>
  <c r="G1690" i="1"/>
  <c r="B323" i="1"/>
  <c r="G1373" i="1"/>
  <c r="G1748" i="1"/>
  <c r="C1662" i="1"/>
  <c r="F854" i="1"/>
  <c r="G1857" i="1"/>
  <c r="F1151" i="1"/>
  <c r="F210" i="1"/>
  <c r="E1343" i="1"/>
  <c r="B796" i="1"/>
  <c r="G1072" i="1"/>
  <c r="D1038" i="1"/>
  <c r="G705" i="1"/>
  <c r="C972" i="1"/>
  <c r="C691" i="1"/>
  <c r="D895" i="1"/>
  <c r="D718" i="1"/>
  <c r="F1590" i="1"/>
  <c r="B1119" i="1"/>
  <c r="G626" i="1"/>
  <c r="B1509" i="1"/>
  <c r="E1414" i="1"/>
  <c r="D1343" i="1"/>
  <c r="D473" i="1"/>
  <c r="G1023" i="1"/>
  <c r="D549" i="1"/>
  <c r="G572" i="1"/>
  <c r="G1363" i="1"/>
  <c r="F593" i="1"/>
  <c r="F1316" i="1"/>
  <c r="D1347" i="1"/>
  <c r="E1302" i="1"/>
  <c r="B1473" i="1"/>
  <c r="E708" i="1"/>
  <c r="B1150" i="1"/>
  <c r="C1242" i="1"/>
  <c r="G453" i="1"/>
  <c r="E647" i="1"/>
  <c r="F1605" i="1"/>
  <c r="C1704" i="1"/>
  <c r="B549" i="1"/>
  <c r="D961" i="1"/>
  <c r="B1110" i="1"/>
  <c r="C918" i="1"/>
  <c r="C1561" i="1"/>
  <c r="B708" i="1"/>
  <c r="F972" i="1"/>
  <c r="C1214" i="1"/>
  <c r="G1172" i="1"/>
  <c r="C968" i="1"/>
  <c r="B210" i="1"/>
  <c r="G479" i="1"/>
  <c r="D1242" i="1"/>
  <c r="C312" i="1"/>
  <c r="C1091" i="1"/>
  <c r="B1316" i="1"/>
  <c r="B211" i="1"/>
  <c r="B1120" i="1"/>
  <c r="B1155" i="1"/>
  <c r="B496" i="1"/>
  <c r="C1185" i="1"/>
  <c r="C408" i="1"/>
  <c r="F165" i="1"/>
  <c r="C1677" i="1"/>
  <c r="C777" i="1"/>
  <c r="C1164" i="1"/>
  <c r="C1357" i="1"/>
  <c r="C596" i="1"/>
  <c r="C635" i="1"/>
  <c r="G763" i="1"/>
  <c r="G661" i="1"/>
  <c r="C967" i="1"/>
  <c r="B1439" i="1"/>
  <c r="G730" i="1"/>
  <c r="B207" i="1"/>
  <c r="G295" i="1"/>
  <c r="G773" i="1"/>
  <c r="G484" i="1"/>
  <c r="C349" i="1"/>
  <c r="D1571" i="1"/>
  <c r="G1736" i="1"/>
  <c r="C1060" i="1"/>
  <c r="B274" i="1"/>
  <c r="G1473" i="1"/>
  <c r="G1507" i="1"/>
  <c r="C1350" i="1"/>
  <c r="G1329" i="1"/>
  <c r="G1208" i="1"/>
  <c r="D1855" i="1"/>
  <c r="F1133" i="1"/>
  <c r="D1413" i="1"/>
  <c r="E1147" i="1"/>
  <c r="G1712" i="1"/>
  <c r="E167" i="1"/>
  <c r="C462" i="1"/>
  <c r="E1854" i="1"/>
  <c r="B1515" i="1"/>
  <c r="D1605" i="1"/>
  <c r="F1846" i="1"/>
  <c r="C167" i="1"/>
  <c r="G383" i="1"/>
  <c r="C1739" i="1"/>
  <c r="F143" i="1"/>
  <c r="G765" i="1"/>
  <c r="E113" i="1"/>
  <c r="G207" i="1"/>
  <c r="D1358" i="1"/>
  <c r="E1470" i="1"/>
  <c r="G288" i="1"/>
  <c r="B297" i="1"/>
  <c r="F1840" i="1"/>
  <c r="B390" i="1"/>
  <c r="E1511" i="1"/>
  <c r="B1609" i="1"/>
  <c r="B198" i="1"/>
  <c r="C1034" i="1"/>
  <c r="F994" i="1"/>
  <c r="C1840" i="1"/>
  <c r="C881" i="1"/>
  <c r="F718" i="1"/>
  <c r="D1206" i="1"/>
  <c r="B1451" i="1"/>
  <c r="F403" i="1"/>
  <c r="D909" i="1"/>
  <c r="B81" i="1"/>
  <c r="E142" i="1"/>
  <c r="E1140" i="1"/>
  <c r="C447" i="1"/>
  <c r="F1220" i="1"/>
  <c r="C620" i="1"/>
  <c r="E1564" i="1"/>
  <c r="C1838" i="1"/>
  <c r="C1128" i="1"/>
  <c r="B1289" i="1"/>
  <c r="G177" i="1"/>
  <c r="G443" i="1"/>
  <c r="F1593" i="1"/>
  <c r="E649" i="1"/>
  <c r="C912" i="1"/>
  <c r="G1562" i="1"/>
  <c r="C27" i="1"/>
  <c r="F970" i="1"/>
  <c r="C452" i="1"/>
  <c r="C524" i="1"/>
  <c r="E909" i="1"/>
  <c r="C144" i="1"/>
  <c r="E1169" i="1"/>
  <c r="B1142" i="1"/>
  <c r="B1753" i="1"/>
  <c r="B1091" i="1"/>
  <c r="C33" i="1"/>
  <c r="G1648" i="1"/>
  <c r="G142" i="1"/>
  <c r="B1343" i="1"/>
  <c r="B1022" i="1"/>
  <c r="G1442" i="1"/>
  <c r="G264" i="1"/>
  <c r="F1782" i="1"/>
  <c r="F895" i="1"/>
  <c r="B1467" i="1"/>
  <c r="G677" i="1"/>
  <c r="B1402" i="1"/>
  <c r="D1681" i="1"/>
  <c r="E115" i="1"/>
  <c r="E1795" i="1"/>
  <c r="B1045" i="1"/>
  <c r="F647" i="1"/>
  <c r="C1593" i="1"/>
  <c r="C188" i="1"/>
  <c r="B1823" i="1"/>
  <c r="F54" i="1"/>
  <c r="E1748" i="1"/>
  <c r="C1305" i="1"/>
  <c r="C343" i="1"/>
  <c r="C433" i="1"/>
  <c r="C1002" i="1"/>
  <c r="F1262" i="1"/>
  <c r="C600" i="1"/>
  <c r="F209" i="1"/>
  <c r="F565" i="1"/>
  <c r="G1640" i="1"/>
  <c r="D459" i="1"/>
  <c r="C1825" i="1"/>
  <c r="F66" i="1"/>
  <c r="C292" i="1"/>
  <c r="C695" i="1"/>
  <c r="B1059" i="1"/>
  <c r="D230" i="1"/>
  <c r="F1744" i="1"/>
  <c r="B758" i="1"/>
  <c r="C1224" i="1"/>
  <c r="F1192" i="1"/>
  <c r="C126" i="1"/>
  <c r="C1096" i="1"/>
  <c r="C1008" i="1"/>
  <c r="F1079" i="1"/>
  <c r="G1557" i="1"/>
  <c r="G553" i="1"/>
  <c r="C444" i="1"/>
  <c r="G368" i="1"/>
  <c r="E747" i="1"/>
  <c r="G293" i="1"/>
  <c r="G1287" i="1"/>
  <c r="G1418" i="1"/>
  <c r="C623" i="1"/>
  <c r="G1829" i="1"/>
  <c r="G1698" i="1"/>
  <c r="G1229" i="1"/>
  <c r="G1258" i="1"/>
  <c r="E1533" i="1"/>
  <c r="E264" i="1"/>
  <c r="G1102" i="1"/>
  <c r="B1744" i="1"/>
  <c r="G1430" i="1"/>
  <c r="G522" i="1"/>
  <c r="C1533" i="1"/>
  <c r="E1831" i="1"/>
  <c r="D98" i="1"/>
  <c r="G768" i="1"/>
  <c r="D605" i="1"/>
  <c r="C1667" i="1"/>
  <c r="G11" i="1"/>
  <c r="E545" i="1"/>
  <c r="C1147" i="1"/>
  <c r="E1338" i="1"/>
  <c r="C1497" i="1"/>
  <c r="G987" i="1"/>
  <c r="D691" i="1"/>
  <c r="D136" i="1"/>
  <c r="B233" i="1"/>
  <c r="E424" i="1"/>
  <c r="D105" i="1"/>
  <c r="G1653" i="1"/>
  <c r="B77" i="1"/>
  <c r="D595" i="1"/>
  <c r="E1665" i="1"/>
  <c r="G1772" i="1"/>
  <c r="C862" i="1"/>
  <c r="D1821" i="1"/>
  <c r="F1144" i="1"/>
  <c r="E1330" i="1"/>
  <c r="C403" i="1"/>
  <c r="G66" i="1"/>
  <c r="C1289" i="1"/>
  <c r="C1821" i="1"/>
  <c r="C316" i="1"/>
  <c r="D1155" i="1"/>
  <c r="E1726" i="1"/>
  <c r="E1833" i="1"/>
  <c r="E1521" i="1"/>
  <c r="E52" i="1"/>
  <c r="G506" i="1"/>
  <c r="E98" i="1"/>
  <c r="G1398" i="1"/>
  <c r="F728" i="1"/>
  <c r="D97" i="1"/>
  <c r="G205" i="1"/>
  <c r="C466" i="1"/>
  <c r="D171" i="1"/>
  <c r="B823" i="1"/>
  <c r="B932" i="1"/>
  <c r="D1224" i="1"/>
  <c r="G573" i="1"/>
  <c r="F477" i="1"/>
  <c r="F1838" i="1"/>
  <c r="C78" i="1"/>
  <c r="C1230" i="1"/>
  <c r="D1194" i="1"/>
  <c r="G1372" i="1"/>
  <c r="G1730" i="1"/>
  <c r="F782" i="1"/>
  <c r="G1508" i="1"/>
  <c r="D649" i="1"/>
  <c r="F1741" i="1"/>
  <c r="B781" i="1"/>
  <c r="F1467" i="1"/>
  <c r="B1217" i="1"/>
  <c r="G954" i="1"/>
  <c r="D698" i="1"/>
  <c r="D160" i="1"/>
  <c r="D968" i="1"/>
  <c r="C905" i="1"/>
  <c r="F1831" i="1"/>
  <c r="D1086" i="1"/>
  <c r="F1386" i="1"/>
  <c r="E97" i="1"/>
  <c r="F1304" i="1"/>
  <c r="D40" i="1"/>
  <c r="D159" i="1"/>
  <c r="G709" i="1"/>
  <c r="G375" i="1"/>
  <c r="G1401" i="1"/>
  <c r="C871" i="1"/>
  <c r="F881" i="1"/>
  <c r="F1451" i="1"/>
  <c r="C247" i="1"/>
  <c r="F543" i="1"/>
  <c r="C472" i="1"/>
  <c r="F1141" i="1"/>
  <c r="D1147" i="1"/>
  <c r="F1503" i="1"/>
  <c r="F1729" i="1"/>
  <c r="C1099" i="1"/>
  <c r="B428" i="1"/>
  <c r="G218" i="1"/>
  <c r="F1810" i="1"/>
  <c r="D1707" i="1"/>
  <c r="C359" i="1"/>
  <c r="C1749" i="1"/>
  <c r="F268" i="1"/>
  <c r="C1163" i="1"/>
  <c r="F8" i="1"/>
  <c r="F1363" i="1"/>
  <c r="C120" i="1"/>
  <c r="C784" i="1"/>
  <c r="C1314" i="1"/>
  <c r="C1637" i="1"/>
  <c r="E171" i="1"/>
  <c r="C1307" i="1"/>
  <c r="D1226" i="1"/>
  <c r="C1102" i="1"/>
  <c r="C662" i="1"/>
  <c r="C491" i="1"/>
  <c r="C1748" i="1"/>
  <c r="C1581" i="1"/>
  <c r="C1464" i="1"/>
  <c r="C1017" i="1"/>
  <c r="B335" i="1"/>
  <c r="E334" i="1"/>
  <c r="C1208" i="1"/>
  <c r="G1361" i="1"/>
  <c r="B1466" i="1"/>
  <c r="C1701" i="1"/>
  <c r="C999" i="1"/>
  <c r="D1178" i="1"/>
  <c r="E820" i="1"/>
  <c r="F1827" i="1"/>
  <c r="C430" i="1"/>
  <c r="F1206" i="1"/>
  <c r="C1629" i="1"/>
  <c r="E1186" i="1"/>
  <c r="G1654" i="1"/>
  <c r="F861" i="1"/>
  <c r="C156" i="1"/>
  <c r="E442" i="1"/>
  <c r="C1083" i="1"/>
  <c r="C268" i="1"/>
  <c r="C1297" i="1"/>
  <c r="F149" i="1"/>
  <c r="F126" i="1"/>
  <c r="C1411" i="1"/>
  <c r="D820" i="1"/>
  <c r="C52" i="1"/>
  <c r="F375" i="1"/>
  <c r="E667" i="1"/>
  <c r="C1811" i="1"/>
  <c r="F1501" i="1"/>
  <c r="F1834" i="1"/>
  <c r="C555" i="1"/>
  <c r="G1133" i="1"/>
  <c r="C237" i="1"/>
  <c r="C1728" i="1"/>
  <c r="G1795" i="1"/>
  <c r="G1310" i="1"/>
  <c r="C801" i="1"/>
  <c r="G316" i="1"/>
  <c r="C852" i="1"/>
  <c r="E1119" i="1"/>
  <c r="D194" i="1"/>
  <c r="C1697" i="1"/>
  <c r="C345" i="1"/>
  <c r="C180" i="1"/>
  <c r="E1601" i="1"/>
  <c r="D1742" i="1"/>
  <c r="D188" i="1"/>
  <c r="C1303" i="1"/>
  <c r="E1707" i="1"/>
  <c r="C840" i="1"/>
  <c r="D1593" i="1"/>
  <c r="B1028" i="1"/>
  <c r="B1130" i="1"/>
  <c r="F1294" i="1"/>
  <c r="C523" i="1"/>
  <c r="D1295" i="1"/>
  <c r="C812" i="1"/>
  <c r="C489" i="1"/>
  <c r="C1234" i="1"/>
  <c r="E807" i="1"/>
  <c r="C21" i="1"/>
  <c r="F253" i="1"/>
  <c r="F231" i="1"/>
  <c r="D908" i="1"/>
  <c r="B1544" i="1"/>
  <c r="F387" i="1"/>
  <c r="C1591" i="1"/>
  <c r="E1409" i="1"/>
  <c r="G126" i="1"/>
  <c r="G104" i="1"/>
  <c r="F828" i="1"/>
  <c r="G1005" i="1"/>
  <c r="B221" i="1"/>
  <c r="F390" i="1"/>
  <c r="F1323" i="1"/>
  <c r="B887" i="1"/>
  <c r="D1560" i="1"/>
  <c r="G835" i="1"/>
  <c r="B1604" i="1"/>
  <c r="B1386" i="1"/>
  <c r="C1463" i="1"/>
  <c r="G1481" i="1"/>
  <c r="E616" i="1"/>
  <c r="E211" i="1"/>
  <c r="C1510" i="1"/>
  <c r="F1821" i="1"/>
  <c r="F103" i="1"/>
  <c r="B1176" i="1"/>
  <c r="E568" i="1"/>
  <c r="G708" i="1"/>
  <c r="C497" i="1"/>
  <c r="G1593" i="1"/>
  <c r="C348" i="1"/>
  <c r="F914" i="1"/>
  <c r="F1746" i="1"/>
  <c r="D705" i="1"/>
  <c r="C459" i="1"/>
  <c r="C88" i="1"/>
  <c r="C604" i="1"/>
  <c r="F203" i="1"/>
  <c r="D1657" i="1"/>
  <c r="C4" i="1"/>
  <c r="C1721" i="1"/>
  <c r="C884" i="1"/>
  <c r="C1079" i="1"/>
  <c r="C1698" i="1"/>
  <c r="C770" i="1"/>
  <c r="B536" i="1"/>
  <c r="F256" i="1"/>
  <c r="F30" i="1"/>
  <c r="D164" i="1"/>
  <c r="C856" i="1"/>
  <c r="E1316" i="1"/>
  <c r="C930" i="1"/>
  <c r="F194" i="1"/>
  <c r="B1776" i="1"/>
  <c r="C96" i="1"/>
  <c r="E1001" i="1"/>
  <c r="C1011" i="1"/>
  <c r="F115" i="1"/>
  <c r="C1101" i="1"/>
  <c r="F147" i="1"/>
  <c r="C642" i="1"/>
  <c r="D121" i="1"/>
  <c r="C875" i="1"/>
  <c r="B1434" i="1"/>
  <c r="C1206" i="1"/>
  <c r="C532" i="1"/>
  <c r="D449" i="1"/>
  <c r="C1706" i="1"/>
  <c r="G1184" i="1"/>
  <c r="D221" i="1"/>
  <c r="E170" i="1"/>
  <c r="B978" i="1"/>
  <c r="C1023" i="1"/>
  <c r="C1294" i="1"/>
  <c r="C1752" i="1"/>
  <c r="C436" i="1"/>
  <c r="C1468" i="1"/>
  <c r="C110" i="1"/>
  <c r="C146" i="1"/>
  <c r="G473" i="1"/>
  <c r="G1781" i="1"/>
  <c r="C572" i="1"/>
  <c r="C767" i="1"/>
  <c r="C1191" i="1"/>
  <c r="C1832" i="1"/>
  <c r="C1586" i="1"/>
  <c r="F824" i="1"/>
  <c r="C1057" i="1"/>
  <c r="C516" i="1"/>
  <c r="G1778" i="1"/>
  <c r="B914" i="1"/>
  <c r="C89" i="1"/>
  <c r="C692" i="1"/>
  <c r="F985" i="1"/>
  <c r="C724" i="1"/>
  <c r="C1104" i="1"/>
  <c r="C1090" i="1"/>
  <c r="F649" i="1"/>
  <c r="C1430" i="1"/>
  <c r="C1263" i="1"/>
  <c r="G1765" i="1"/>
  <c r="E1375" i="1"/>
  <c r="C1758" i="1"/>
  <c r="C1378" i="1"/>
  <c r="C763" i="1"/>
  <c r="C681" i="1"/>
  <c r="C1856" i="1"/>
  <c r="C864" i="1"/>
  <c r="C1531" i="1"/>
  <c r="C984" i="1"/>
  <c r="D1005" i="1"/>
  <c r="D1623" i="1"/>
  <c r="G265" i="1"/>
  <c r="C1657" i="1"/>
  <c r="F32" i="1"/>
  <c r="F19" i="1"/>
  <c r="E1243" i="1"/>
  <c r="C73" i="1"/>
  <c r="C863" i="1"/>
  <c r="C168" i="1"/>
  <c r="C916" i="1"/>
  <c r="C795" i="1"/>
  <c r="C673" i="1"/>
  <c r="F1213" i="1"/>
  <c r="C23" i="1"/>
  <c r="B1539" i="1"/>
  <c r="F1806" i="1"/>
  <c r="F426" i="1"/>
  <c r="F1000" i="1"/>
  <c r="C1635" i="1"/>
  <c r="C1364" i="1"/>
  <c r="C1496" i="1"/>
  <c r="C1543" i="1"/>
  <c r="C696" i="1"/>
  <c r="F950" i="1"/>
  <c r="G712" i="1"/>
  <c r="F1327" i="1"/>
  <c r="E14" i="1"/>
  <c r="G1423" i="1"/>
  <c r="E743" i="1"/>
  <c r="C1827" i="1"/>
  <c r="C1691" i="1"/>
  <c r="G1027" i="1"/>
  <c r="G1550" i="1"/>
  <c r="E1172" i="1"/>
  <c r="G698" i="1"/>
  <c r="G1178" i="1"/>
  <c r="C1293" i="1"/>
  <c r="E1467" i="1"/>
  <c r="D1217" i="1"/>
  <c r="B1762" i="1"/>
  <c r="D565" i="1"/>
  <c r="E1027" i="1"/>
  <c r="C664" i="1"/>
  <c r="D1804" i="1"/>
  <c r="D1262" i="1"/>
  <c r="C533" i="1"/>
  <c r="G241" i="1"/>
  <c r="B1038" i="1"/>
  <c r="E1103" i="1"/>
  <c r="D1795" i="1"/>
  <c r="C141" i="1"/>
  <c r="C758" i="1"/>
  <c r="F1373" i="1"/>
  <c r="C177" i="1"/>
  <c r="C1142" i="1"/>
  <c r="B824" i="1"/>
  <c r="C571" i="1"/>
  <c r="C710" i="1"/>
  <c r="C1664" i="1"/>
  <c r="B1209" i="1"/>
  <c r="E186" i="1"/>
  <c r="D62" i="1"/>
  <c r="C1409" i="1"/>
  <c r="C1559" i="1"/>
  <c r="C166" i="1"/>
  <c r="C965" i="1"/>
  <c r="G879" i="1"/>
  <c r="F296" i="1"/>
  <c r="C531" i="1"/>
  <c r="C1121" i="1"/>
  <c r="C1250" i="1"/>
  <c r="C454" i="1"/>
  <c r="C191" i="1"/>
  <c r="C18" i="1"/>
  <c r="C1492" i="1"/>
  <c r="F108" i="1"/>
  <c r="D667" i="1"/>
  <c r="C622" i="1"/>
  <c r="C951" i="1"/>
  <c r="D1352" i="1"/>
  <c r="B1456" i="1"/>
  <c r="C100" i="1"/>
  <c r="E164" i="1"/>
  <c r="C737" i="1"/>
  <c r="F135" i="1"/>
  <c r="E1144" i="1"/>
  <c r="F511" i="1"/>
  <c r="C315" i="1"/>
  <c r="C375" i="1"/>
  <c r="C1335" i="1"/>
  <c r="F399" i="1"/>
  <c r="C1246" i="1"/>
  <c r="C690" i="1"/>
  <c r="E86" i="1"/>
  <c r="C565" i="1"/>
  <c r="C1485" i="1"/>
  <c r="D1142" i="1"/>
  <c r="E323" i="1"/>
  <c r="E456" i="1"/>
  <c r="F230" i="1"/>
  <c r="F1028" i="1"/>
  <c r="F820" i="1"/>
  <c r="F433" i="1"/>
  <c r="C65" i="1"/>
  <c r="C1643" i="1"/>
  <c r="C804" i="1"/>
  <c r="C306" i="1"/>
  <c r="D1564" i="1"/>
  <c r="F870" i="1"/>
  <c r="C163" i="1"/>
  <c r="F1571" i="1"/>
  <c r="C1596" i="1"/>
  <c r="C910" i="1"/>
  <c r="F222" i="1"/>
  <c r="C1256" i="1"/>
  <c r="C953" i="1"/>
  <c r="C1258" i="1"/>
  <c r="G1514" i="1"/>
  <c r="F637" i="1"/>
  <c r="C1033" i="1"/>
  <c r="F1129" i="1"/>
  <c r="C1478" i="1"/>
  <c r="C938" i="1"/>
  <c r="F1511" i="1"/>
  <c r="F170" i="1"/>
  <c r="C1855" i="1"/>
  <c r="F1791" i="1"/>
  <c r="G530" i="1"/>
  <c r="G1247" i="1"/>
  <c r="E1667" i="1"/>
  <c r="C1404" i="1"/>
  <c r="C1391" i="1"/>
  <c r="F63" i="1"/>
  <c r="C1318" i="1"/>
  <c r="C811" i="1"/>
  <c r="C1759" i="1"/>
  <c r="C750" i="1"/>
  <c r="F1770" i="1"/>
  <c r="C1339" i="1"/>
  <c r="C1384" i="1"/>
  <c r="D1047" i="1"/>
  <c r="D1141" i="1"/>
  <c r="F653" i="1"/>
  <c r="E765" i="1"/>
  <c r="C873" i="1"/>
  <c r="C1050" i="1"/>
  <c r="C820" i="1"/>
  <c r="F1427" i="1"/>
  <c r="F31" i="1"/>
  <c r="B1305" i="1"/>
  <c r="D1442" i="1"/>
  <c r="G1081" i="1"/>
  <c r="G1339" i="1"/>
  <c r="B1593" i="1"/>
  <c r="G406" i="1"/>
  <c r="D1792" i="1"/>
  <c r="D896" i="1"/>
  <c r="F1792" i="1"/>
  <c r="C762" i="1"/>
  <c r="E1778" i="1"/>
  <c r="B186" i="1"/>
  <c r="E136" i="1"/>
  <c r="D78" i="1"/>
  <c r="E828" i="1"/>
  <c r="F247" i="1"/>
  <c r="G1746" i="1"/>
  <c r="C1854" i="1"/>
  <c r="D344" i="1"/>
  <c r="E698" i="1"/>
  <c r="B490" i="1"/>
  <c r="E1269" i="1"/>
  <c r="C700" i="1"/>
  <c r="C1511" i="1"/>
  <c r="G1540" i="1"/>
  <c r="G233" i="1"/>
  <c r="B1092" i="1"/>
  <c r="F1819" i="1"/>
  <c r="F1300" i="1"/>
  <c r="C64" i="1"/>
  <c r="C1148" i="1"/>
  <c r="F1507" i="1"/>
  <c r="C903" i="1"/>
  <c r="G1042" i="1"/>
  <c r="C116" i="1"/>
  <c r="C204" i="1"/>
  <c r="C240" i="1"/>
  <c r="F306" i="1"/>
  <c r="C608" i="1"/>
  <c r="G1249" i="1"/>
  <c r="C412" i="1"/>
  <c r="C630" i="1"/>
  <c r="C679" i="1"/>
  <c r="B1492" i="1"/>
  <c r="F422" i="1"/>
  <c r="F449" i="1"/>
  <c r="B411" i="1"/>
  <c r="C536" i="1"/>
  <c r="C734" i="1"/>
  <c r="E1034" i="1"/>
  <c r="C355" i="1"/>
  <c r="B421" i="1"/>
  <c r="C1416" i="1"/>
  <c r="C817" i="1"/>
  <c r="B924" i="1"/>
  <c r="F1103" i="1"/>
  <c r="C621" i="1"/>
  <c r="C51" i="1"/>
  <c r="C615" i="1"/>
  <c r="C192" i="1"/>
  <c r="C1309" i="1"/>
  <c r="C688" i="1"/>
  <c r="D433" i="1"/>
  <c r="C1421" i="1"/>
  <c r="C1144" i="1"/>
  <c r="F198" i="1"/>
  <c r="D203" i="1"/>
  <c r="C1790" i="1"/>
  <c r="C85" i="1"/>
  <c r="F1712" i="1"/>
  <c r="C418" i="1"/>
  <c r="F616" i="1"/>
  <c r="F1702" i="1"/>
  <c r="C1332" i="1"/>
  <c r="D1379" i="1"/>
  <c r="F705" i="1"/>
  <c r="C1029" i="1"/>
  <c r="B409" i="1"/>
  <c r="B771" i="1"/>
  <c r="C108" i="1"/>
  <c r="C1076" i="1"/>
  <c r="C255" i="1"/>
  <c r="C127" i="1"/>
  <c r="C1328" i="1"/>
  <c r="F1788" i="1"/>
  <c r="G836" i="1"/>
  <c r="E1031" i="1"/>
  <c r="B433" i="1"/>
  <c r="F1264" i="1"/>
  <c r="C964" i="1"/>
  <c r="F245" i="1"/>
  <c r="C776" i="1"/>
  <c r="G340" i="1"/>
  <c r="C754" i="1"/>
  <c r="F1697" i="1"/>
  <c r="C1207" i="1"/>
  <c r="C578" i="1"/>
  <c r="G3" i="1"/>
  <c r="C686" i="1"/>
  <c r="C216" i="1"/>
  <c r="E619" i="1"/>
  <c r="B1447" i="1"/>
  <c r="C598" i="1"/>
  <c r="C26" i="1"/>
  <c r="E1640" i="1"/>
  <c r="B1235" i="1"/>
  <c r="G1621" i="1"/>
  <c r="E1336" i="1"/>
  <c r="C1182" i="1"/>
  <c r="C1780" i="1"/>
  <c r="E96" i="1"/>
  <c r="E1469" i="1"/>
  <c r="E1749" i="1"/>
  <c r="D1382" i="1"/>
  <c r="C1025" i="1"/>
  <c r="B1220" i="1"/>
  <c r="F15" i="1"/>
  <c r="C1058" i="1"/>
  <c r="G732" i="1"/>
  <c r="C1315" i="1"/>
  <c r="C1508" i="1"/>
  <c r="C792" i="1"/>
  <c r="F1188" i="1"/>
  <c r="F1476" i="1"/>
  <c r="C1286" i="1"/>
  <c r="C655" i="1"/>
  <c r="B135" i="1"/>
  <c r="F1257" i="1"/>
  <c r="B387" i="1"/>
  <c r="C678" i="1"/>
  <c r="G1002" i="1"/>
  <c r="G1452" i="1"/>
  <c r="E514" i="1"/>
  <c r="F993" i="1"/>
  <c r="C1381" i="1"/>
  <c r="D1698" i="1"/>
  <c r="G1395" i="1"/>
  <c r="G1309" i="1"/>
  <c r="F384" i="1"/>
  <c r="G724" i="1"/>
  <c r="F1520" i="1"/>
  <c r="B624" i="1"/>
  <c r="D1337" i="1"/>
  <c r="G405" i="1"/>
  <c r="E81" i="1"/>
  <c r="G1154" i="1"/>
  <c r="E760" i="1"/>
  <c r="C1473" i="1"/>
  <c r="B870" i="1"/>
  <c r="G1467" i="1"/>
  <c r="G1633" i="1"/>
  <c r="F1726" i="1"/>
  <c r="E1288" i="1"/>
  <c r="B281" i="1"/>
  <c r="G93" i="1"/>
  <c r="F545" i="1"/>
  <c r="G1350" i="1"/>
  <c r="C789" i="1"/>
  <c r="C1225" i="1"/>
  <c r="C991" i="1"/>
  <c r="E773" i="1"/>
  <c r="D82" i="1"/>
  <c r="F845" i="1"/>
  <c r="B416" i="1"/>
  <c r="C1238" i="1"/>
  <c r="D328" i="1"/>
  <c r="C451" i="1"/>
  <c r="E1497" i="1"/>
  <c r="C1805" i="1"/>
  <c r="F708" i="1"/>
  <c r="F262" i="1"/>
  <c r="D118" i="1"/>
  <c r="E1447" i="1"/>
  <c r="G1684" i="1"/>
  <c r="F1725" i="1"/>
  <c r="C129" i="1"/>
  <c r="F1665" i="1"/>
  <c r="D309" i="1"/>
  <c r="B1665" i="1"/>
  <c r="C1723" i="1"/>
  <c r="F1724" i="1"/>
  <c r="C1489" i="1"/>
  <c r="F798" i="1"/>
  <c r="C1768" i="1"/>
  <c r="F97" i="1"/>
  <c r="C87" i="1"/>
  <c r="C1719" i="1"/>
  <c r="F1640" i="1"/>
  <c r="C378" i="1"/>
  <c r="F795" i="1"/>
  <c r="E824" i="1"/>
  <c r="F424" i="1"/>
  <c r="C843" i="1"/>
  <c r="G324" i="1"/>
  <c r="C547" i="1"/>
  <c r="F1430" i="1"/>
  <c r="B1594" i="1"/>
  <c r="E1229" i="1"/>
  <c r="C1469" i="1"/>
  <c r="C1682" i="1"/>
  <c r="C206" i="1"/>
  <c r="F96" i="1"/>
  <c r="C653" i="1"/>
  <c r="C1801" i="1"/>
  <c r="B456" i="1"/>
  <c r="B997" i="1"/>
  <c r="D1209" i="1"/>
  <c r="C409" i="1"/>
  <c r="B953" i="1"/>
  <c r="C646" i="1"/>
  <c r="C1459" i="1"/>
  <c r="F932" i="1"/>
  <c r="B595" i="1"/>
  <c r="C1237" i="1"/>
  <c r="C927" i="1"/>
  <c r="B933" i="1"/>
  <c r="D860" i="1"/>
  <c r="C1450" i="1"/>
  <c r="G880" i="1"/>
  <c r="C712" i="1"/>
  <c r="F1823" i="1"/>
  <c r="D1269" i="1"/>
  <c r="E1753" i="1"/>
  <c r="C540" i="1"/>
  <c r="G235" i="1"/>
  <c r="D1102" i="1"/>
  <c r="F124" i="1"/>
  <c r="B1697" i="1"/>
  <c r="B1393" i="1"/>
  <c r="C911" i="1"/>
  <c r="C1202" i="1"/>
  <c r="C1105" i="1"/>
  <c r="C1495" i="1"/>
  <c r="D1520" i="1"/>
  <c r="G51" i="1"/>
  <c r="B1088" i="1"/>
  <c r="C1138" i="1"/>
  <c r="C449" i="1"/>
  <c r="F1694" i="1"/>
  <c r="E311" i="1"/>
  <c r="E335" i="1"/>
  <c r="C298" i="1"/>
  <c r="D1492" i="1"/>
  <c r="C245" i="1"/>
  <c r="C1443" i="1"/>
  <c r="C373" i="1"/>
  <c r="D716" i="1"/>
  <c r="E40" i="1"/>
  <c r="C887" i="1"/>
  <c r="G1804" i="1"/>
  <c r="B1754" i="1"/>
  <c r="B1854" i="1"/>
  <c r="C276" i="1"/>
  <c r="C1609" i="1"/>
  <c r="C757" i="1"/>
  <c r="D619" i="1"/>
  <c r="E562" i="1"/>
  <c r="B861" i="1"/>
  <c r="E599" i="1"/>
  <c r="B1324" i="1"/>
  <c r="D914" i="1"/>
  <c r="B1510" i="1"/>
  <c r="C698" i="1"/>
  <c r="E1746" i="1"/>
  <c r="E247" i="1"/>
  <c r="G1754" i="1"/>
  <c r="E147" i="1"/>
  <c r="E1510" i="1"/>
  <c r="C1472" i="1"/>
  <c r="E1527" i="1"/>
  <c r="B1833" i="1"/>
  <c r="B171" i="1"/>
  <c r="C1098" i="1"/>
  <c r="C876" i="1"/>
  <c r="C1444" i="1"/>
  <c r="C1644" i="1"/>
  <c r="C1733" i="1"/>
  <c r="B1808" i="1"/>
  <c r="F1398" i="1"/>
  <c r="D1259" i="1"/>
  <c r="C178" i="1"/>
  <c r="C947" i="1"/>
  <c r="F1223" i="1"/>
  <c r="D514" i="1"/>
  <c r="C1321" i="1"/>
  <c r="C16" i="1"/>
  <c r="B705" i="1"/>
  <c r="C842" i="1"/>
  <c r="D1606" i="1"/>
  <c r="C1520" i="1"/>
  <c r="B773" i="1"/>
  <c r="F109" i="1"/>
  <c r="C1412" i="1"/>
  <c r="C1480" i="1"/>
  <c r="C702" i="1"/>
  <c r="C1363" i="1"/>
  <c r="F244" i="1"/>
  <c r="C917" i="1"/>
  <c r="F1324" i="1"/>
  <c r="D1187" i="1"/>
  <c r="C501" i="1"/>
  <c r="D593" i="1"/>
  <c r="C1403" i="1"/>
  <c r="E17" i="1"/>
  <c r="C683" i="1"/>
  <c r="C243" i="1"/>
  <c r="C396" i="1"/>
  <c r="C1656" i="1"/>
  <c r="E728" i="1"/>
  <c r="C1031" i="1"/>
  <c r="C1231" i="1"/>
  <c r="C1760" i="1"/>
  <c r="C742" i="1"/>
  <c r="C265" i="1"/>
  <c r="C13" i="1"/>
  <c r="F128" i="1"/>
  <c r="C901" i="1"/>
  <c r="C289" i="1"/>
  <c r="F1466" i="1"/>
  <c r="F823" i="1"/>
  <c r="C1084" i="1"/>
  <c r="C164" i="1"/>
  <c r="C91" i="1"/>
  <c r="C303" i="1"/>
  <c r="C1713" i="1"/>
  <c r="C1192" i="1"/>
  <c r="F1084" i="1"/>
  <c r="F921" i="1"/>
  <c r="E932" i="1"/>
  <c r="E270" i="1"/>
  <c r="G1302" i="1"/>
  <c r="F1816" i="1"/>
  <c r="C15" i="1"/>
  <c r="C1491" i="1"/>
  <c r="C1168" i="1"/>
  <c r="C684" i="1"/>
  <c r="C1049" i="1"/>
  <c r="C1196" i="1"/>
  <c r="F1225" i="1"/>
  <c r="D743" i="1"/>
  <c r="E1268" i="1"/>
  <c r="C1476" i="1"/>
  <c r="E1816" i="1"/>
  <c r="C1239" i="1"/>
  <c r="C1021" i="1"/>
  <c r="C1108" i="1"/>
  <c r="C715" i="1"/>
  <c r="C1184" i="1"/>
  <c r="C879" i="1"/>
  <c r="C1626" i="1"/>
  <c r="C405" i="1"/>
  <c r="D678" i="1"/>
  <c r="F1627" i="1"/>
  <c r="C1568" i="1"/>
  <c r="E1698" i="1"/>
  <c r="C1269" i="1"/>
  <c r="C1159" i="1"/>
  <c r="C1771" i="1"/>
  <c r="F979" i="1"/>
  <c r="C713" i="1"/>
  <c r="E78" i="1"/>
  <c r="F750" i="1"/>
  <c r="D74" i="1"/>
  <c r="C853" i="1"/>
  <c r="F1544" i="1"/>
  <c r="E1788" i="1"/>
  <c r="B313" i="1"/>
  <c r="F1219" i="1"/>
  <c r="C650" i="1"/>
  <c r="F1136" i="1"/>
  <c r="F1328" i="1"/>
  <c r="G503" i="1"/>
  <c r="E1389" i="1"/>
  <c r="G790" i="1"/>
  <c r="D250" i="1"/>
  <c r="G740" i="1"/>
  <c r="G39" i="1"/>
  <c r="G727" i="1"/>
  <c r="G1466" i="1"/>
  <c r="B32" i="1"/>
  <c r="D511" i="1"/>
  <c r="G403" i="1"/>
  <c r="G1041" i="1"/>
  <c r="G999" i="1"/>
  <c r="G1265" i="1"/>
  <c r="C1725" i="1"/>
  <c r="B843" i="1"/>
  <c r="D311" i="1"/>
  <c r="E406" i="1"/>
  <c r="B1494" i="1"/>
  <c r="E114" i="1"/>
  <c r="F595" i="1"/>
  <c r="C825" i="1"/>
  <c r="G110" i="1"/>
  <c r="E921" i="1"/>
  <c r="B105" i="1"/>
  <c r="G1527" i="1"/>
  <c r="B1377" i="1"/>
  <c r="E912" i="1"/>
  <c r="B52" i="1"/>
  <c r="F1760" i="1"/>
  <c r="C670" i="1"/>
  <c r="D1210" i="1"/>
  <c r="C1642" i="1"/>
  <c r="D1316" i="1"/>
  <c r="C1111" i="1"/>
  <c r="G1784" i="1"/>
  <c r="C445" i="1"/>
  <c r="F1706" i="1"/>
  <c r="F1749" i="1"/>
  <c r="B424" i="1"/>
  <c r="C1658" i="1"/>
  <c r="D631" i="1"/>
  <c r="E1408" i="1"/>
  <c r="F1116" i="1"/>
  <c r="E1165" i="1"/>
  <c r="D887" i="1"/>
  <c r="D1672" i="1"/>
  <c r="C391" i="1"/>
  <c r="C601" i="1"/>
  <c r="C1153" i="1"/>
  <c r="E1747" i="1"/>
  <c r="C559" i="1"/>
  <c r="B128" i="1"/>
  <c r="B1344" i="1"/>
  <c r="B1133" i="1"/>
  <c r="F1400" i="1"/>
  <c r="D1601" i="1"/>
  <c r="F1148" i="1"/>
  <c r="C1311" i="1"/>
  <c r="D1646" i="1"/>
  <c r="D1390" i="1"/>
  <c r="C803" i="1"/>
  <c r="C1651" i="1"/>
  <c r="C638" i="1"/>
  <c r="G220" i="1"/>
  <c r="D1726" i="1"/>
  <c r="C324" i="1"/>
  <c r="C1275" i="1"/>
  <c r="F860" i="1"/>
  <c r="F114" i="1"/>
  <c r="F1226" i="1"/>
  <c r="C1606" i="1"/>
  <c r="C493" i="1"/>
  <c r="C1551" i="1"/>
  <c r="G8" i="1"/>
  <c r="F1448" i="1"/>
  <c r="F1296" i="1"/>
  <c r="C833" i="1"/>
  <c r="C1848" i="1"/>
  <c r="C998" i="1"/>
  <c r="D1841" i="1"/>
  <c r="C1212" i="1"/>
  <c r="D469" i="1"/>
  <c r="E1723" i="1"/>
  <c r="C519" i="1"/>
  <c r="F1130" i="1"/>
  <c r="G1726" i="1"/>
  <c r="C1280" i="1"/>
  <c r="D1381" i="1"/>
  <c r="C563" i="1"/>
  <c r="C636" i="1"/>
  <c r="F995" i="1"/>
  <c r="C287" i="1"/>
  <c r="C1794" i="1"/>
  <c r="F121" i="1"/>
  <c r="F624" i="1"/>
  <c r="F1375" i="1"/>
  <c r="C1040" i="1"/>
  <c r="C242" i="1"/>
  <c r="F205" i="1"/>
  <c r="C30" i="1"/>
  <c r="C1001" i="1"/>
  <c r="C661" i="1"/>
  <c r="B1269" i="1"/>
  <c r="D456" i="1"/>
  <c r="C1707" i="1"/>
  <c r="E383" i="1"/>
  <c r="C624" i="1"/>
  <c r="C1160" i="1"/>
  <c r="F1754" i="1"/>
  <c r="B1259" i="1"/>
  <c r="F1237" i="1"/>
  <c r="C194" i="1"/>
  <c r="C1187" i="1"/>
  <c r="D1440" i="1"/>
  <c r="C560" i="1"/>
  <c r="C61" i="1"/>
  <c r="E1178" i="1"/>
  <c r="C783" i="1"/>
  <c r="F536" i="1"/>
  <c r="B1137" i="1"/>
  <c r="C1475" i="1"/>
  <c r="F980" i="1"/>
  <c r="F598" i="1"/>
  <c r="F216" i="1"/>
  <c r="F368" i="1"/>
  <c r="C57" i="1"/>
  <c r="G1438" i="1"/>
  <c r="C1178" i="1"/>
  <c r="G82" i="1"/>
  <c r="D1521" i="1"/>
  <c r="C1085" i="1"/>
  <c r="D447" i="1"/>
  <c r="C1055" i="1"/>
  <c r="D708" i="1"/>
  <c r="E1820" i="1"/>
  <c r="G54" i="1"/>
  <c r="F81" i="1"/>
  <c r="F620" i="1"/>
  <c r="G415" i="1"/>
  <c r="B761" i="1"/>
  <c r="D1312" i="1"/>
  <c r="C1681" i="1"/>
  <c r="B682" i="1"/>
  <c r="E1120" i="1"/>
  <c r="G1109" i="1"/>
  <c r="D1001" i="1"/>
  <c r="C1810" i="1"/>
  <c r="G1848" i="1"/>
  <c r="B562" i="1"/>
  <c r="B896" i="1"/>
  <c r="G158" i="1"/>
  <c r="E1841" i="1"/>
  <c r="C534" i="1"/>
  <c r="C989" i="1"/>
  <c r="F1281" i="1"/>
  <c r="B1055" i="1"/>
  <c r="E1473" i="1"/>
  <c r="C1712" i="1"/>
  <c r="C1645" i="1"/>
  <c r="F1716" i="1"/>
  <c r="C719" i="1"/>
  <c r="D1225" i="1"/>
  <c r="C1169" i="1"/>
  <c r="C122" i="1"/>
  <c r="C1135" i="1"/>
  <c r="B1390" i="1"/>
  <c r="F1045" i="1"/>
  <c r="E1434" i="1"/>
  <c r="C477" i="1"/>
  <c r="F1098" i="1"/>
  <c r="C12" i="1"/>
  <c r="C1615" i="1"/>
  <c r="C693" i="1"/>
  <c r="C966" i="1"/>
  <c r="C1672" i="1"/>
  <c r="F1031" i="1"/>
  <c r="G1620" i="1"/>
  <c r="B1336" i="1"/>
  <c r="F1022" i="1"/>
  <c r="C576" i="1"/>
  <c r="F502" i="1"/>
  <c r="E631" i="1"/>
  <c r="E1763" i="1"/>
  <c r="C131" i="1"/>
  <c r="B1255" i="1"/>
  <c r="D1066" i="1"/>
  <c r="C1407" i="1"/>
  <c r="F77" i="1"/>
  <c r="E870" i="1"/>
  <c r="C557" i="1"/>
  <c r="C1588" i="1"/>
  <c r="F558" i="1"/>
  <c r="C1419" i="1"/>
  <c r="G793" i="1"/>
  <c r="C1722" i="1"/>
  <c r="B59" i="1"/>
  <c r="F831" i="1"/>
  <c r="G1459" i="1"/>
  <c r="B578" i="1"/>
  <c r="F1280" i="1"/>
  <c r="C1436" i="1"/>
  <c r="G251" i="1"/>
  <c r="B1154" i="1"/>
  <c r="C699" i="1"/>
  <c r="B1627" i="1"/>
  <c r="F1377" i="1"/>
  <c r="F1612" i="1"/>
  <c r="C441" i="1"/>
  <c r="G631" i="1"/>
  <c r="E1022" i="1"/>
  <c r="C460" i="1"/>
  <c r="C283" i="1"/>
  <c r="D1441" i="1"/>
  <c r="C1452" i="1"/>
  <c r="F706" i="1"/>
  <c r="B1723" i="1"/>
  <c r="B118" i="1"/>
  <c r="F1747" i="1"/>
  <c r="C1708" i="1"/>
  <c r="F1252" i="1"/>
  <c r="C1134" i="1"/>
  <c r="C1818" i="1"/>
  <c r="F1717" i="1"/>
  <c r="B432" i="1"/>
  <c r="C1571" i="1"/>
  <c r="C1005" i="1"/>
  <c r="F446" i="1"/>
  <c r="C422" i="1"/>
  <c r="C1342" i="1"/>
  <c r="D1127" i="1"/>
  <c r="D762" i="1"/>
  <c r="C382" i="1"/>
  <c r="F891" i="1"/>
  <c r="F530" i="1"/>
  <c r="C1141" i="1"/>
  <c r="F1595" i="1"/>
  <c r="C1479" i="1"/>
  <c r="G1753" i="1"/>
  <c r="C262" i="1"/>
  <c r="C431" i="1"/>
  <c r="F1393" i="1"/>
  <c r="F1270" i="1"/>
  <c r="C331" i="1"/>
  <c r="C845" i="1"/>
  <c r="F1550" i="1"/>
  <c r="C138" i="1"/>
  <c r="F413" i="1"/>
  <c r="B1601" i="1"/>
  <c r="D1699" i="1"/>
  <c r="C634" i="1"/>
  <c r="G497" i="1"/>
  <c r="E1842" i="1"/>
  <c r="C1717" i="1"/>
  <c r="C561" i="1"/>
  <c r="B1284" i="1"/>
  <c r="G741" i="1"/>
  <c r="B1743" i="1"/>
  <c r="G560" i="1"/>
  <c r="D49" i="1"/>
  <c r="B649" i="1"/>
  <c r="C40" i="1"/>
  <c r="E1373" i="1"/>
  <c r="C1088" i="1"/>
  <c r="E1769" i="1"/>
  <c r="E1422" i="1"/>
  <c r="D823" i="1"/>
  <c r="G927" i="1"/>
  <c r="F59" i="1"/>
  <c r="D1584" i="1"/>
  <c r="C1822" i="1"/>
  <c r="F1422" i="1"/>
  <c r="D1820" i="1"/>
  <c r="C1773" i="1"/>
  <c r="E700" i="1"/>
  <c r="E1130" i="1"/>
  <c r="G89" i="1"/>
  <c r="E502" i="1"/>
  <c r="C469" i="1"/>
  <c r="D1324" i="1"/>
  <c r="B1634" i="1"/>
  <c r="C71" i="1"/>
  <c r="F330" i="1"/>
  <c r="D249" i="1"/>
  <c r="F479" i="1"/>
  <c r="C865" i="1"/>
  <c r="B1018" i="1"/>
  <c r="C748" i="1"/>
  <c r="C740" i="1"/>
  <c r="F1095" i="1"/>
  <c r="B964" i="1"/>
  <c r="C406" i="1"/>
  <c r="C197" i="1"/>
  <c r="B1590" i="1"/>
  <c r="F1232" i="1"/>
  <c r="E1490" i="1"/>
  <c r="C818" i="1"/>
  <c r="E1047" i="1"/>
  <c r="C11" i="1"/>
  <c r="C414" i="1"/>
  <c r="D1784" i="1"/>
  <c r="C612" i="1"/>
  <c r="C366" i="1"/>
  <c r="B1271" i="1"/>
  <c r="F1473" i="1"/>
  <c r="G810" i="1"/>
  <c r="C1367" i="1"/>
  <c r="G811" i="1"/>
  <c r="B597" i="1"/>
  <c r="C185" i="1"/>
  <c r="F732" i="1"/>
  <c r="C17" i="1"/>
  <c r="C1379" i="1"/>
  <c r="F1582" i="1"/>
  <c r="E443" i="1"/>
  <c r="B1009" i="1"/>
  <c r="D843" i="1"/>
  <c r="C333" i="1"/>
  <c r="B93" i="1"/>
  <c r="D1165" i="1"/>
  <c r="B862" i="1"/>
  <c r="B1243" i="1"/>
  <c r="D1216" i="1"/>
  <c r="F1495" i="1"/>
  <c r="E1092" i="1"/>
  <c r="C577" i="1"/>
  <c r="G890" i="1"/>
  <c r="D1023" i="1"/>
  <c r="C486" i="1"/>
  <c r="F817" i="1"/>
  <c r="C54" i="1"/>
  <c r="C1048" i="1"/>
  <c r="C1000" i="1"/>
  <c r="C479" i="1"/>
  <c r="F1301" i="1"/>
  <c r="F1282" i="1"/>
  <c r="B31" i="1"/>
  <c r="E1127" i="1"/>
  <c r="G312" i="1"/>
  <c r="C1395" i="1"/>
  <c r="C1650" i="1"/>
  <c r="D507" i="1"/>
  <c r="C395" i="1"/>
  <c r="E782" i="1"/>
  <c r="C878" i="1"/>
  <c r="F1224" i="1"/>
  <c r="B1747" i="1"/>
  <c r="G1120" i="1"/>
  <c r="E1142" i="1"/>
  <c r="B247" i="1"/>
  <c r="C1582" i="1"/>
  <c r="F1732" i="1"/>
  <c r="C1613" i="1"/>
  <c r="C1137" i="1"/>
  <c r="E479" i="1"/>
  <c r="C1583" i="1"/>
  <c r="F392" i="1"/>
  <c r="F331" i="1"/>
  <c r="B442" i="1"/>
  <c r="G714" i="1"/>
  <c r="C1276" i="1"/>
  <c r="C1809" i="1"/>
  <c r="B1210" i="1"/>
  <c r="C1281" i="1"/>
  <c r="F1396" i="1"/>
  <c r="D1439" i="1"/>
  <c r="D1304" i="1"/>
  <c r="C1334" i="1"/>
  <c r="C978" i="1"/>
  <c r="C648" i="1"/>
  <c r="E1634" i="1"/>
  <c r="C769" i="1"/>
  <c r="F1024" i="1"/>
  <c r="B1531" i="1"/>
  <c r="B765" i="1"/>
  <c r="B487" i="1"/>
  <c r="B1389" i="1"/>
  <c r="B181" i="1"/>
  <c r="F1423" i="1"/>
  <c r="C220" i="1"/>
  <c r="C1385" i="1"/>
  <c r="B1426" i="1"/>
  <c r="B1414" i="1"/>
  <c r="C781" i="1"/>
  <c r="B376" i="1"/>
  <c r="G387" i="1"/>
  <c r="F968" i="1"/>
  <c r="E1216" i="1"/>
  <c r="B895" i="1"/>
  <c r="F843" i="1"/>
  <c r="F1522" i="1"/>
  <c r="C1715" i="1"/>
  <c r="B801" i="1"/>
  <c r="C1761" i="1"/>
  <c r="G164" i="1"/>
  <c r="F1429" i="1"/>
  <c r="C689" i="1"/>
  <c r="E1259" i="1"/>
  <c r="B847" i="1"/>
  <c r="G412" i="1"/>
  <c r="C39" i="1"/>
  <c r="C618" i="1"/>
  <c r="F1382" i="1"/>
  <c r="D1305" i="1"/>
  <c r="C1431" i="1"/>
  <c r="C1638" i="1"/>
  <c r="C1441" i="1"/>
  <c r="E781" i="1"/>
  <c r="F1229" i="1"/>
  <c r="C1705" i="1"/>
  <c r="C1205" i="1"/>
  <c r="F1267" i="1"/>
  <c r="F238" i="1"/>
  <c r="F1196" i="1"/>
  <c r="C550" i="1"/>
  <c r="B652" i="1"/>
  <c r="C522" i="1"/>
  <c r="C1427" i="1"/>
  <c r="D659" i="1"/>
  <c r="F871" i="1"/>
  <c r="D1721" i="1"/>
  <c r="F404" i="1"/>
  <c r="F1597" i="1"/>
  <c r="F1345" i="1"/>
  <c r="C295" i="1"/>
  <c r="C1477" i="1"/>
  <c r="B148" i="1"/>
  <c r="C751" i="1"/>
  <c r="B877" i="1"/>
  <c r="F832" i="1"/>
  <c r="F1624" i="1"/>
  <c r="E1832" i="1"/>
  <c r="F1055" i="1"/>
  <c r="C24" i="1"/>
  <c r="C827" i="1"/>
  <c r="F1269" i="1"/>
  <c r="C1354" i="1"/>
  <c r="C1829" i="1"/>
  <c r="F1335" i="1"/>
  <c r="C958" i="1"/>
  <c r="B1530" i="1"/>
  <c r="F1348" i="1"/>
  <c r="B1474" i="1"/>
  <c r="E1622" i="1"/>
  <c r="C728" i="1"/>
  <c r="F431" i="1"/>
  <c r="C931" i="1"/>
  <c r="C567" i="1"/>
  <c r="B1717" i="1"/>
  <c r="C1844" i="1"/>
  <c r="F1195" i="1"/>
  <c r="B199" i="1"/>
  <c r="F88" i="1"/>
  <c r="F810" i="1"/>
  <c r="C1245" i="1"/>
  <c r="G1709" i="1"/>
  <c r="C592" i="1"/>
  <c r="C280" i="1"/>
  <c r="B1849" i="1"/>
  <c r="F1786" i="1"/>
  <c r="F1600" i="1"/>
  <c r="B1339" i="1"/>
  <c r="F1261" i="1"/>
  <c r="F1329" i="1"/>
  <c r="F1135" i="1"/>
  <c r="C1804" i="1"/>
  <c r="C179" i="1"/>
  <c r="C1248" i="1"/>
  <c r="C1077" i="1"/>
  <c r="C1617" i="1"/>
  <c r="D1612" i="1"/>
  <c r="C962" i="1"/>
  <c r="F959" i="1"/>
  <c r="F1516" i="1"/>
  <c r="D978" i="1"/>
  <c r="F1701" i="1"/>
  <c r="B1707" i="1"/>
  <c r="C936" i="1"/>
  <c r="C1383" i="1"/>
  <c r="D1823" i="1"/>
  <c r="E724" i="1"/>
  <c r="F1104" i="1"/>
  <c r="B79" i="1"/>
  <c r="C174" i="1"/>
  <c r="C1320" i="1"/>
  <c r="F1569" i="1"/>
  <c r="B1241" i="1"/>
  <c r="F1458" i="1"/>
  <c r="G1088" i="1"/>
  <c r="F187" i="1"/>
  <c r="F1771" i="1"/>
  <c r="C1735" i="1"/>
  <c r="C1456" i="1"/>
  <c r="D1695" i="1"/>
  <c r="F768" i="1"/>
  <c r="F1587" i="1"/>
  <c r="F1714" i="1"/>
  <c r="F1015" i="1"/>
  <c r="C1388" i="1"/>
  <c r="C1853" i="1"/>
  <c r="C1215" i="1"/>
  <c r="D1021" i="1"/>
  <c r="B1764" i="1"/>
  <c r="F1613" i="1"/>
  <c r="C671" i="1"/>
  <c r="C1232" i="1"/>
  <c r="C393" i="1"/>
  <c r="F1592" i="1"/>
  <c r="F1650" i="1"/>
  <c r="G1563" i="1"/>
  <c r="B1252" i="1"/>
  <c r="G86" i="1"/>
  <c r="B1337" i="1"/>
  <c r="B1841" i="1"/>
  <c r="F1147" i="1"/>
  <c r="B1795" i="1"/>
  <c r="F662" i="1"/>
  <c r="C542" i="1"/>
  <c r="G1755" i="1"/>
  <c r="C1636" i="1"/>
  <c r="C1782" i="1"/>
  <c r="B270" i="1"/>
  <c r="F734" i="1"/>
  <c r="F1259" i="1"/>
  <c r="C394" i="1"/>
  <c r="B121" i="1"/>
  <c r="D824" i="1"/>
  <c r="G983" i="1"/>
  <c r="C644" i="1"/>
  <c r="D1468" i="1"/>
  <c r="C944" i="1"/>
  <c r="F1395" i="1"/>
  <c r="C975" i="1"/>
  <c r="F963" i="1"/>
  <c r="C1744" i="1"/>
  <c r="G292" i="1"/>
  <c r="C483" i="1"/>
  <c r="C1433" i="1"/>
  <c r="C1372" i="1"/>
  <c r="B669" i="1"/>
  <c r="F162" i="1"/>
  <c r="F1531" i="1"/>
  <c r="F62" i="1"/>
  <c r="C437" i="1"/>
  <c r="E1360" i="1"/>
  <c r="F754" i="1"/>
  <c r="C123" i="1"/>
  <c r="F295" i="1"/>
  <c r="E1759" i="1"/>
  <c r="E634" i="1"/>
  <c r="C1799" i="1"/>
  <c r="E116" i="1"/>
  <c r="B820" i="1"/>
  <c r="C10" i="1"/>
  <c r="F342" i="1"/>
  <c r="E516" i="1"/>
  <c r="B139" i="1"/>
  <c r="F1629" i="1"/>
  <c r="F939" i="1"/>
  <c r="C498" i="1"/>
  <c r="C939" i="1"/>
  <c r="B1311" i="1"/>
  <c r="F982" i="1"/>
  <c r="F1833" i="1"/>
  <c r="C1671" i="1"/>
  <c r="C149" i="1"/>
  <c r="F1488" i="1"/>
  <c r="C1193" i="1"/>
  <c r="F414" i="1"/>
  <c r="F1407" i="1"/>
  <c r="C313" i="1"/>
  <c r="B45" i="1"/>
  <c r="D1634" i="1"/>
  <c r="C1503" i="1"/>
  <c r="B1691" i="1"/>
  <c r="C1167" i="1"/>
  <c r="B709" i="1"/>
  <c r="D875" i="1"/>
  <c r="B663" i="1"/>
  <c r="C470" i="1"/>
  <c r="B1299" i="1"/>
  <c r="B555" i="1"/>
  <c r="C327" i="1"/>
  <c r="F740" i="1"/>
  <c r="C457" i="1"/>
  <c r="C892" i="1"/>
  <c r="F186" i="1"/>
  <c r="F322" i="1"/>
  <c r="C1434" i="1"/>
  <c r="B685" i="1"/>
  <c r="C527" i="1"/>
  <c r="F1667" i="1"/>
  <c r="E1441" i="1"/>
  <c r="B1304" i="1"/>
  <c r="C546" i="1"/>
  <c r="B1810" i="1"/>
  <c r="C1781" i="1"/>
  <c r="C1279" i="1"/>
  <c r="C1223" i="1"/>
  <c r="E910" i="1"/>
  <c r="B53" i="1"/>
  <c r="D474" i="1"/>
  <c r="F1216" i="1"/>
  <c r="C1087" i="1"/>
  <c r="C1061" i="1"/>
  <c r="C1598" i="1"/>
  <c r="C1490" i="1"/>
  <c r="E459" i="1"/>
  <c r="D784" i="1"/>
  <c r="F1811" i="1"/>
  <c r="C1709" i="1"/>
  <c r="F1096" i="1"/>
  <c r="C1143" i="1"/>
  <c r="B1380" i="1"/>
  <c r="G1824" i="1"/>
  <c r="C214" i="1"/>
  <c r="F688" i="1"/>
  <c r="E1059" i="1"/>
  <c r="C1755" i="1"/>
  <c r="F300" i="1"/>
  <c r="C363" i="1"/>
  <c r="F1596" i="1"/>
  <c r="D1498" i="1"/>
  <c r="E1209" i="1"/>
  <c r="F929" i="1"/>
  <c r="C1659" i="1"/>
  <c r="C461" i="1"/>
  <c r="G1580" i="1"/>
  <c r="F117" i="1"/>
  <c r="F787" i="1"/>
  <c r="F1475" i="1"/>
  <c r="F1707" i="1"/>
  <c r="D807" i="1"/>
  <c r="C920" i="1"/>
  <c r="F131" i="1"/>
  <c r="C1673" i="1"/>
  <c r="C288" i="1"/>
  <c r="G429" i="1"/>
  <c r="D1838" i="1"/>
  <c r="G1747" i="1"/>
  <c r="D1533" i="1"/>
  <c r="F1842" i="1"/>
  <c r="D270" i="1"/>
  <c r="C595" i="1"/>
  <c r="E536" i="1"/>
  <c r="B1164" i="1"/>
  <c r="G997" i="1"/>
  <c r="C1106" i="1"/>
  <c r="B1681" i="1"/>
  <c r="F40" i="1"/>
  <c r="E1451" i="1"/>
  <c r="C158" i="1"/>
  <c r="C341" i="1"/>
  <c r="D933" i="1"/>
  <c r="C1539" i="1"/>
  <c r="G21" i="1"/>
  <c r="D1447" i="1"/>
  <c r="C836" i="1"/>
  <c r="B1770" i="1"/>
  <c r="E680" i="1"/>
  <c r="F1533" i="1"/>
  <c r="C1442" i="1"/>
  <c r="F912" i="1"/>
  <c r="C1323" i="1"/>
  <c r="D149" i="1"/>
  <c r="C290" i="1"/>
  <c r="D536" i="1"/>
  <c r="B985" i="1"/>
  <c r="F707" i="1"/>
  <c r="C593" i="1"/>
  <c r="F853" i="1"/>
  <c r="F359" i="1"/>
  <c r="B24" i="1"/>
  <c r="B268" i="1"/>
  <c r="F363" i="1"/>
  <c r="F849" i="1"/>
  <c r="C68" i="1"/>
  <c r="F1298" i="1"/>
  <c r="C1745" i="1"/>
  <c r="C1482" i="1"/>
  <c r="B1504" i="1"/>
  <c r="C1493" i="1"/>
  <c r="C273" i="1"/>
  <c r="F852" i="1"/>
  <c r="B1845" i="1"/>
  <c r="F166" i="1"/>
  <c r="E593" i="1"/>
  <c r="F1817" i="1"/>
  <c r="F739" i="1"/>
  <c r="C19" i="1"/>
  <c r="D751" i="1"/>
  <c r="C1117" i="1"/>
  <c r="C31" i="1"/>
  <c r="F659" i="1"/>
  <c r="F1633" i="1"/>
  <c r="C1620" i="1"/>
  <c r="C1015" i="1"/>
  <c r="B1204" i="1"/>
  <c r="B1360" i="1"/>
  <c r="F919" i="1"/>
  <c r="D96" i="1"/>
  <c r="C368" i="1"/>
  <c r="C1299" i="1"/>
  <c r="C1488" i="1"/>
  <c r="C1536" i="1"/>
  <c r="F986" i="1"/>
  <c r="C133" i="1"/>
  <c r="E272" i="1"/>
  <c r="F771" i="1"/>
  <c r="F287" i="1"/>
  <c r="B56" i="1"/>
  <c r="C99" i="1"/>
  <c r="C722" i="1"/>
  <c r="C963" i="1"/>
  <c r="C1675" i="1"/>
  <c r="F800" i="1"/>
  <c r="C628" i="1"/>
  <c r="C1019" i="1"/>
  <c r="B1708" i="1"/>
  <c r="C145" i="1"/>
  <c r="B879" i="1"/>
  <c r="C788" i="1"/>
  <c r="F1494" i="1"/>
  <c r="F1763" i="1"/>
  <c r="C155" i="1"/>
  <c r="D1763" i="1"/>
  <c r="B173" i="1"/>
  <c r="F1186" i="1"/>
  <c r="D1125" i="1"/>
  <c r="C1523" i="1"/>
  <c r="C3" i="1"/>
  <c r="F92" i="1"/>
  <c r="C1524" i="1"/>
  <c r="B96" i="1"/>
  <c r="F900" i="1"/>
  <c r="E1028" i="1"/>
  <c r="F583" i="1"/>
  <c r="F1138" i="1"/>
  <c r="D921" i="1"/>
  <c r="F1700" i="1"/>
  <c r="C1265" i="1"/>
  <c r="C1770" i="1"/>
  <c r="D793" i="1"/>
  <c r="B1749" i="1"/>
  <c r="C941" i="1"/>
  <c r="D1154" i="1"/>
  <c r="F640" i="1"/>
  <c r="C866" i="1"/>
  <c r="C401" i="1"/>
  <c r="B1563" i="1"/>
  <c r="C1857" i="1"/>
  <c r="B162" i="1"/>
  <c r="B1714" i="1"/>
  <c r="E796" i="1"/>
  <c r="F1092" i="1"/>
  <c r="F1748" i="1"/>
  <c r="E328" i="1"/>
  <c r="F1037" i="1"/>
  <c r="C135" i="1"/>
  <c r="C1109" i="1"/>
  <c r="D1832" i="1"/>
  <c r="F1797" i="1"/>
  <c r="B327" i="1"/>
  <c r="C1646" i="1"/>
  <c r="C882" i="1"/>
  <c r="G699" i="1"/>
  <c r="G285" i="1"/>
  <c r="C682" i="1"/>
  <c r="G138" i="1"/>
  <c r="C647" i="1"/>
  <c r="D970" i="1"/>
  <c r="D1598" i="1"/>
  <c r="C317" i="1"/>
  <c r="C1507" i="1"/>
  <c r="C945" i="1"/>
  <c r="C22" i="1"/>
  <c r="F208" i="1"/>
  <c r="F1408" i="1"/>
  <c r="D93" i="1"/>
  <c r="C372" i="1"/>
  <c r="F269" i="1"/>
  <c r="C1082" i="1"/>
  <c r="B1379" i="1"/>
  <c r="B383" i="1"/>
  <c r="C205" i="1"/>
  <c r="F678" i="1"/>
  <c r="E337" i="1"/>
  <c r="C651" i="1"/>
  <c r="E1129" i="1"/>
  <c r="F1801" i="1"/>
  <c r="C807" i="1"/>
  <c r="E524" i="1"/>
  <c r="C1834" i="1"/>
  <c r="C1679" i="1"/>
  <c r="C566" i="1"/>
  <c r="C1720" i="1"/>
  <c r="E1705" i="1"/>
  <c r="C1195" i="1"/>
  <c r="F546" i="1"/>
  <c r="B1050" i="1"/>
  <c r="F1599" i="1"/>
  <c r="B288" i="1"/>
  <c r="B1400" i="1"/>
  <c r="B1165" i="1"/>
  <c r="E1442" i="1"/>
  <c r="B1231" i="1"/>
  <c r="F1557" i="1"/>
  <c r="F218" i="1"/>
  <c r="B568" i="1"/>
  <c r="E1305" i="1"/>
  <c r="B1100" i="1"/>
  <c r="F1521" i="1"/>
  <c r="C1012" i="1"/>
  <c r="D516" i="1"/>
  <c r="F225" i="1"/>
  <c r="C844" i="1"/>
  <c r="C1826" i="1"/>
  <c r="G1842" i="1"/>
  <c r="C1122" i="1"/>
  <c r="C1204" i="1"/>
  <c r="C1267" i="1"/>
  <c r="F666" i="1"/>
  <c r="C1405" i="1"/>
  <c r="F1235" i="1"/>
  <c r="F1134" i="1"/>
  <c r="C420" i="1"/>
  <c r="F302" i="1"/>
  <c r="C1734" i="1"/>
  <c r="C176" i="1"/>
  <c r="C47" i="1"/>
  <c r="C1695" i="1"/>
  <c r="F1157" i="1"/>
  <c r="C552" i="1"/>
  <c r="F897" i="1"/>
  <c r="C1072" i="1"/>
  <c r="F792" i="1"/>
  <c r="B667" i="1"/>
  <c r="C504" i="1"/>
  <c r="B589" i="1"/>
  <c r="F1233" i="1"/>
  <c r="B814" i="1"/>
  <c r="E1382" i="1"/>
  <c r="C1139" i="1"/>
  <c r="F892" i="1"/>
  <c r="F336" i="1"/>
  <c r="C1462" i="1"/>
  <c r="F677" i="1"/>
  <c r="C1093" i="1"/>
  <c r="C1398" i="1"/>
  <c r="C847" i="1"/>
  <c r="C1247" i="1"/>
  <c r="C1702" i="1"/>
  <c r="F757" i="1"/>
  <c r="C1700" i="1"/>
  <c r="F1411" i="1"/>
  <c r="F22" i="1"/>
  <c r="C270" i="1"/>
  <c r="B612" i="1"/>
  <c r="D17" i="1"/>
  <c r="F5" i="1"/>
  <c r="D1594" i="1"/>
  <c r="C28" i="1"/>
  <c r="C448" i="1"/>
  <c r="B1763" i="1"/>
  <c r="C347" i="1"/>
  <c r="E413" i="1"/>
  <c r="C1240" i="1"/>
  <c r="B1636" i="1"/>
  <c r="C556" i="1"/>
  <c r="C1356" i="1"/>
  <c r="E1657" i="1"/>
  <c r="C926" i="1"/>
  <c r="C771" i="1"/>
  <c r="F377" i="1"/>
  <c r="F1260" i="1"/>
  <c r="F437" i="1"/>
  <c r="F1207" i="1"/>
  <c r="F102" i="1"/>
  <c r="F874" i="1"/>
  <c r="C1555" i="1"/>
  <c r="B130" i="1"/>
  <c r="C1852" i="1"/>
  <c r="C1162" i="1"/>
  <c r="B546" i="1"/>
  <c r="D634" i="1"/>
  <c r="C259" i="1"/>
  <c r="C586" i="1"/>
  <c r="C1812" i="1"/>
  <c r="F1318" i="1"/>
  <c r="C72" i="1"/>
  <c r="F542" i="1"/>
  <c r="F1006" i="1"/>
  <c r="F574" i="1"/>
  <c r="G4" i="1"/>
  <c r="D462" i="1"/>
  <c r="G1761" i="1"/>
  <c r="G1449" i="1"/>
  <c r="E1693" i="1"/>
  <c r="G1612" i="1"/>
  <c r="B1277" i="1"/>
  <c r="C137" i="1"/>
  <c r="D1028" i="1"/>
  <c r="F1646" i="1"/>
  <c r="C1344" i="1"/>
  <c r="F702" i="1"/>
  <c r="C1028" i="1"/>
  <c r="F667" i="1"/>
  <c r="F1271" i="1"/>
  <c r="F232" i="1"/>
  <c r="E1141" i="1"/>
  <c r="F879" i="1"/>
  <c r="C1277" i="1"/>
  <c r="D1007" i="1"/>
  <c r="C790" i="1"/>
  <c r="E961" i="1"/>
  <c r="F1128" i="1"/>
  <c r="G1740" i="1"/>
  <c r="C253" i="1"/>
  <c r="F1447" i="1"/>
  <c r="B1694" i="1"/>
  <c r="F1061" i="1"/>
  <c r="D568" i="1"/>
  <c r="C45" i="1"/>
  <c r="C342" i="1"/>
  <c r="F1227" i="1"/>
  <c r="E31" i="1"/>
  <c r="F52" i="1"/>
  <c r="F412" i="1"/>
  <c r="F440" i="1"/>
  <c r="C507" i="1"/>
  <c r="F725" i="1"/>
  <c r="F1420" i="1"/>
  <c r="F1721" i="1"/>
  <c r="B569" i="1"/>
  <c r="C1097" i="1"/>
  <c r="C56" i="1"/>
  <c r="B508" i="1"/>
  <c r="C1368" i="1"/>
  <c r="C301" i="1"/>
  <c r="E1453" i="1"/>
  <c r="F416" i="1"/>
  <c r="B1189" i="1"/>
  <c r="C969" i="1"/>
  <c r="D1639" i="1"/>
  <c r="F1419" i="1"/>
  <c r="F1350" i="1"/>
  <c r="F1277" i="1"/>
  <c r="B149" i="1"/>
  <c r="C723" i="1"/>
  <c r="F168" i="1"/>
  <c r="D808" i="1"/>
  <c r="F751" i="1"/>
  <c r="F726" i="1"/>
  <c r="B429" i="1"/>
  <c r="F1689" i="1"/>
  <c r="C980" i="1"/>
  <c r="E1691" i="1"/>
  <c r="C952" i="1"/>
  <c r="F1604" i="1"/>
  <c r="F1829" i="1"/>
  <c r="C730" i="1"/>
  <c r="B404" i="1"/>
  <c r="F236" i="1"/>
  <c r="F276" i="1"/>
  <c r="F1643" i="1"/>
  <c r="C1621" i="1"/>
  <c r="B480" i="1"/>
  <c r="F631" i="1"/>
  <c r="B17" i="1"/>
  <c r="C1107" i="1"/>
  <c r="F655" i="1"/>
  <c r="F510" i="1"/>
  <c r="F1364" i="1"/>
  <c r="C752" i="1"/>
  <c r="B1351" i="1"/>
  <c r="B1047" i="1"/>
  <c r="C66" i="1"/>
  <c r="C768" i="1"/>
  <c r="C1437" i="1"/>
  <c r="C503" i="1"/>
  <c r="E774" i="1"/>
  <c r="F1180" i="1"/>
  <c r="F803" i="1"/>
  <c r="C685" i="1"/>
  <c r="F409" i="1"/>
  <c r="F1333" i="1"/>
  <c r="C225" i="1"/>
  <c r="C808" i="1"/>
  <c r="C112" i="1"/>
  <c r="C1766" i="1"/>
  <c r="F1691" i="1"/>
  <c r="F290" i="1"/>
  <c r="C824" i="1"/>
  <c r="F554" i="1"/>
  <c r="F1803" i="1"/>
  <c r="C106" i="1"/>
  <c r="F515" i="1"/>
  <c r="F857" i="1"/>
  <c r="C1504" i="1"/>
  <c r="C514" i="1"/>
  <c r="C626" i="1"/>
  <c r="B1488" i="1"/>
  <c r="B807" i="1"/>
  <c r="F1299" i="1"/>
  <c r="C453" i="1"/>
  <c r="D162" i="1"/>
  <c r="B618" i="1"/>
  <c r="C499" i="1"/>
  <c r="C787" i="1"/>
  <c r="C959" i="1"/>
  <c r="E847" i="1"/>
  <c r="C209" i="1"/>
  <c r="F504" i="1"/>
  <c r="C1601" i="1"/>
  <c r="B64" i="1"/>
  <c r="E1225" i="1"/>
  <c r="F1465" i="1"/>
  <c r="G63" i="1"/>
  <c r="C311" i="1"/>
  <c r="E1363" i="1"/>
  <c r="G477" i="1"/>
  <c r="C1130" i="1"/>
  <c r="C1045" i="1"/>
  <c r="D1815" i="1"/>
  <c r="C888" i="1"/>
  <c r="D1592" i="1"/>
  <c r="F773" i="1"/>
  <c r="C1689" i="1"/>
  <c r="E144" i="1"/>
  <c r="C1063" i="1"/>
  <c r="C1322" i="1"/>
  <c r="C1562" i="1"/>
  <c r="G1821" i="1"/>
  <c r="C1213" i="1"/>
  <c r="C235" i="1"/>
  <c r="E1086" i="1"/>
  <c r="C1661" i="1"/>
  <c r="C1071" i="1"/>
  <c r="F105" i="1"/>
  <c r="C181" i="1"/>
  <c r="D281" i="1"/>
  <c r="F1693" i="1"/>
  <c r="C529" i="1"/>
  <c r="C1788" i="1"/>
  <c r="E268" i="1"/>
  <c r="D116" i="1"/>
  <c r="B1672" i="1"/>
  <c r="C1351" i="1"/>
  <c r="B774" i="1"/>
  <c r="C872" i="1"/>
  <c r="D1519" i="1"/>
  <c r="F778" i="1"/>
  <c r="C703" i="1"/>
  <c r="B1632" i="1"/>
  <c r="C1542" i="1"/>
  <c r="B498" i="1"/>
  <c r="F730" i="1"/>
  <c r="C1253" i="1"/>
  <c r="F836" i="1"/>
  <c r="G649" i="1"/>
  <c r="C1116" i="1"/>
  <c r="C416" i="1"/>
  <c r="B1423" i="1"/>
  <c r="F570" i="1"/>
  <c r="C464" i="1"/>
  <c r="F509" i="1"/>
  <c r="F1083" i="1"/>
  <c r="F619" i="1"/>
  <c r="C1158" i="1"/>
  <c r="C1597" i="1"/>
  <c r="C1750" i="1"/>
  <c r="C297" i="1"/>
  <c r="F1839" i="1"/>
  <c r="B539" i="1"/>
  <c r="F1735" i="1"/>
  <c r="B731" i="1"/>
  <c r="F1283" i="1"/>
  <c r="F456" i="1"/>
  <c r="C1608" i="1"/>
  <c r="C859" i="1"/>
  <c r="C446" i="1"/>
  <c r="F73" i="1"/>
  <c r="C1550" i="1"/>
  <c r="B940" i="1"/>
  <c r="F681" i="1"/>
  <c r="F796" i="1"/>
  <c r="C267" i="1"/>
  <c r="F1009" i="1"/>
  <c r="C1849" i="1"/>
  <c r="E1138" i="1"/>
  <c r="B557" i="1"/>
  <c r="F1470" i="1"/>
  <c r="C1824" i="1"/>
  <c r="C816" i="1"/>
  <c r="F523" i="1"/>
  <c r="B194" i="1"/>
  <c r="C587" i="1"/>
  <c r="C150" i="1"/>
  <c r="B1232" i="1"/>
  <c r="F471" i="1"/>
  <c r="C339" i="1"/>
  <c r="B1778" i="1"/>
  <c r="C606" i="1"/>
  <c r="D758" i="1"/>
  <c r="F617" i="1"/>
  <c r="C1529" i="1"/>
  <c r="B995" i="1"/>
  <c r="C694" i="1"/>
  <c r="C1445" i="1"/>
  <c r="F1406" i="1"/>
  <c r="F975" i="1"/>
  <c r="C1622" i="1"/>
  <c r="F1191" i="1"/>
  <c r="C569" i="1"/>
  <c r="C835" i="1"/>
  <c r="C829" i="1"/>
  <c r="F1171" i="1"/>
  <c r="C463" i="1"/>
  <c r="F1686" i="1"/>
  <c r="F272" i="1"/>
  <c r="F1123" i="1"/>
  <c r="D351" i="1"/>
  <c r="D1504" i="1"/>
  <c r="C1410" i="1"/>
  <c r="C1046" i="1"/>
  <c r="F902" i="1"/>
  <c r="F229" i="1"/>
  <c r="F370" i="1"/>
  <c r="F275" i="1"/>
  <c r="F1720" i="1"/>
  <c r="B1729" i="1"/>
  <c r="E574" i="1"/>
  <c r="C1152" i="1"/>
  <c r="D1749" i="1"/>
  <c r="C1835" i="1"/>
  <c r="C779" i="1"/>
  <c r="B426" i="1"/>
  <c r="E1770" i="1"/>
  <c r="F1832" i="1"/>
  <c r="F974" i="1"/>
  <c r="C212" i="1"/>
  <c r="E1569" i="1"/>
  <c r="C285" i="1"/>
  <c r="C360" i="1"/>
  <c r="C848" i="1"/>
  <c r="G273" i="1"/>
  <c r="F1497" i="1"/>
  <c r="F1509" i="1"/>
  <c r="D1716" i="1"/>
  <c r="D761" i="1"/>
  <c r="B1117" i="1"/>
  <c r="C1078" i="1"/>
  <c r="C1198" i="1"/>
  <c r="E539" i="1"/>
  <c r="C1587" i="1"/>
  <c r="D877" i="1"/>
  <c r="F1099" i="1"/>
  <c r="C248" i="1"/>
  <c r="F86" i="1"/>
  <c r="B1680" i="1"/>
  <c r="C1345" i="1"/>
  <c r="C1772" i="1"/>
  <c r="F462" i="1"/>
  <c r="B459" i="1"/>
  <c r="E758" i="1"/>
  <c r="C1783" i="1"/>
  <c r="C659" i="1"/>
  <c r="F1155" i="1"/>
  <c r="C102" i="1"/>
  <c r="C860" i="1"/>
  <c r="F393" i="1"/>
  <c r="C314" i="1"/>
  <c r="G1204" i="1"/>
  <c r="F1798" i="1"/>
  <c r="F577" i="1"/>
  <c r="C553" i="1"/>
  <c r="C780" i="1"/>
  <c r="C256" i="1"/>
  <c r="F1081" i="1"/>
  <c r="C1399" i="1"/>
  <c r="B503" i="1"/>
  <c r="C130" i="1"/>
  <c r="B1072" i="1"/>
  <c r="F192" i="1"/>
  <c r="C774" i="1"/>
  <c r="F1852" i="1"/>
  <c r="C1599" i="1"/>
  <c r="C995" i="1"/>
  <c r="C1451" i="1"/>
  <c r="F797" i="1"/>
  <c r="B1251" i="1"/>
  <c r="E617" i="1"/>
  <c r="C1500" i="1"/>
  <c r="D1096" i="1"/>
  <c r="C1390" i="1"/>
  <c r="B1348" i="1"/>
  <c r="D390" i="1"/>
  <c r="C440" i="1"/>
  <c r="C1534" i="1"/>
  <c r="F540" i="1"/>
  <c r="F630" i="1"/>
  <c r="F603" i="1"/>
  <c r="C977" i="1"/>
  <c r="F1745" i="1"/>
  <c r="F43" i="1"/>
  <c r="F301" i="1"/>
  <c r="F1696" i="1"/>
  <c r="C1487" i="1"/>
  <c r="C162" i="1"/>
  <c r="F1664" i="1"/>
  <c r="C111" i="1"/>
  <c r="B1739" i="1"/>
  <c r="E1117" i="1"/>
  <c r="B596" i="1"/>
  <c r="F552" i="1"/>
  <c r="B693" i="1"/>
  <c r="F260" i="1"/>
  <c r="G1161" i="1"/>
  <c r="C1798" i="1"/>
  <c r="C1348" i="1"/>
  <c r="C942" i="1"/>
  <c r="D1453" i="1"/>
  <c r="C426" i="1"/>
  <c r="F1011" i="1"/>
  <c r="C337" i="1"/>
  <c r="E358" i="1"/>
  <c r="F585" i="1"/>
  <c r="C488" i="1"/>
  <c r="F1062" i="1"/>
  <c r="B875" i="1"/>
  <c r="F140" i="1"/>
  <c r="B754" i="1"/>
  <c r="F1648" i="1"/>
  <c r="C822" i="1"/>
  <c r="F1682" i="1"/>
  <c r="F1163" i="1"/>
  <c r="B580" i="1"/>
  <c r="C535" i="1"/>
  <c r="G1573" i="1"/>
  <c r="C1628" i="1"/>
  <c r="C874" i="1"/>
  <c r="E1672" i="1"/>
  <c r="F289" i="1"/>
  <c r="C421" i="1"/>
  <c r="C251" i="1"/>
  <c r="C928" i="1"/>
  <c r="D1332" i="1"/>
  <c r="F947" i="1"/>
  <c r="F685" i="1"/>
  <c r="F1343" i="1"/>
  <c r="C797" i="1"/>
  <c r="F277" i="1"/>
  <c r="C1517" i="1"/>
  <c r="B551" i="1"/>
  <c r="B1200" i="1"/>
  <c r="D1595" i="1"/>
  <c r="B1441" i="1"/>
  <c r="C510" i="1"/>
  <c r="E1210" i="1"/>
  <c r="B399" i="1"/>
  <c r="B1576" i="1"/>
  <c r="C429" i="1"/>
  <c r="B1225" i="1"/>
  <c r="C1177" i="1"/>
  <c r="F1800" i="1"/>
  <c r="B1706" i="1"/>
  <c r="F1082" i="1"/>
  <c r="C119" i="1"/>
  <c r="F1428" i="1"/>
  <c r="F776" i="1"/>
  <c r="C1557" i="1"/>
  <c r="G1777" i="1"/>
  <c r="E1782" i="1"/>
  <c r="D1662" i="1"/>
  <c r="E914" i="1"/>
  <c r="F862" i="1"/>
  <c r="F967" i="1"/>
  <c r="G53" i="1"/>
  <c r="D1558" i="1"/>
  <c r="C1513" i="1"/>
  <c r="C370" i="1"/>
  <c r="C365" i="1"/>
  <c r="F316" i="1"/>
  <c r="C1553" i="1"/>
  <c r="C232" i="1"/>
  <c r="E1413" i="1"/>
  <c r="C113" i="1"/>
  <c r="C1070" i="1"/>
  <c r="E1255" i="1"/>
  <c r="E293" i="1"/>
  <c r="C526" i="1"/>
  <c r="F1492" i="1"/>
  <c r="E446" i="1"/>
  <c r="D268" i="1"/>
  <c r="B1373" i="1"/>
  <c r="C1813" i="1"/>
  <c r="C943" i="1"/>
  <c r="B698" i="1"/>
  <c r="F237" i="1"/>
  <c r="C1439" i="1"/>
  <c r="B1641" i="1"/>
  <c r="F309" i="1"/>
  <c r="C813" i="1"/>
  <c r="C1690" i="1"/>
  <c r="F1389" i="1"/>
  <c r="F4" i="1"/>
  <c r="B976" i="1"/>
  <c r="D1495" i="1"/>
  <c r="B1625" i="1"/>
  <c r="C1625" i="1"/>
  <c r="C1123" i="1"/>
  <c r="C1458" i="1"/>
  <c r="G487" i="1"/>
  <c r="E220" i="1"/>
  <c r="D876" i="1"/>
  <c r="C1067" i="1"/>
  <c r="F1684" i="1"/>
  <c r="C806" i="1"/>
  <c r="F1647" i="1"/>
  <c r="F179" i="1"/>
  <c r="C1317" i="1"/>
  <c r="F965" i="1"/>
  <c r="E287" i="1"/>
  <c r="C1600" i="1"/>
  <c r="B164" i="1"/>
  <c r="C1737" i="1"/>
  <c r="F1459" i="1"/>
  <c r="C351" i="1"/>
  <c r="E1852" i="1"/>
  <c r="D1084" i="1"/>
  <c r="C1161" i="1"/>
  <c r="C893" i="1"/>
  <c r="F1778" i="1"/>
  <c r="F382" i="1"/>
  <c r="F220" i="1"/>
  <c r="C1831" i="1"/>
  <c r="C1100" i="1"/>
  <c r="C564" i="1"/>
  <c r="F1405" i="1"/>
  <c r="F1392" i="1"/>
  <c r="F42" i="1"/>
  <c r="F886" i="1"/>
  <c r="F1638" i="1"/>
  <c r="D1625" i="1"/>
  <c r="E1704" i="1"/>
  <c r="F748" i="1"/>
  <c r="C7" i="1"/>
  <c r="F94" i="1"/>
  <c r="F664" i="1"/>
  <c r="F977" i="1"/>
  <c r="F658" i="1"/>
  <c r="E1199" i="1"/>
  <c r="B283" i="1"/>
  <c r="F1166" i="1"/>
  <c r="E1383" i="1"/>
  <c r="F1199" i="1"/>
  <c r="C1580" i="1"/>
  <c r="F596" i="1"/>
  <c r="F651" i="1"/>
  <c r="C229" i="1"/>
  <c r="D1708" i="1"/>
  <c r="D80" i="1"/>
  <c r="F786" i="1"/>
  <c r="C309" i="1"/>
  <c r="D455" i="1"/>
  <c r="B1846" i="1"/>
  <c r="C1569" i="1"/>
  <c r="E1055" i="1"/>
  <c r="B1226" i="1"/>
  <c r="F1784" i="1"/>
  <c r="B1183" i="1"/>
  <c r="C1394" i="1"/>
  <c r="B1647" i="1"/>
  <c r="F1719" i="1"/>
  <c r="C1541" i="1"/>
  <c r="F503" i="1"/>
  <c r="F788" i="1"/>
  <c r="D1491" i="1"/>
  <c r="F221" i="1"/>
  <c r="E1096" i="1"/>
  <c r="E1080" i="1"/>
  <c r="F13" i="1"/>
  <c r="C1221" i="1"/>
  <c r="F566" i="1"/>
  <c r="B1658" i="1"/>
  <c r="B632" i="1"/>
  <c r="B62" i="1"/>
  <c r="D1110" i="1"/>
  <c r="E82" i="1"/>
  <c r="F211" i="1"/>
  <c r="C291" i="1"/>
  <c r="F942" i="1"/>
  <c r="F1761" i="1"/>
  <c r="B892" i="1"/>
  <c r="C455" i="1"/>
  <c r="C539" i="1"/>
  <c r="F1637" i="1"/>
  <c r="F1169" i="1"/>
  <c r="G46" i="1"/>
  <c r="B1726" i="1"/>
  <c r="C182" i="1"/>
  <c r="B479" i="1"/>
  <c r="D376" i="1"/>
  <c r="G1311" i="1"/>
  <c r="C1022" i="1"/>
  <c r="G1019" i="1"/>
  <c r="C1115" i="1"/>
  <c r="C1738" i="1"/>
  <c r="C1285" i="1"/>
  <c r="C1035" i="1"/>
  <c r="C1236" i="1"/>
  <c r="F1688" i="1"/>
  <c r="E775" i="1"/>
  <c r="D1751" i="1"/>
  <c r="F1723" i="1"/>
  <c r="C1663" i="1"/>
  <c r="C1393" i="1"/>
  <c r="C302" i="1"/>
  <c r="C1815" i="1"/>
  <c r="C1612" i="1"/>
  <c r="D651" i="1"/>
  <c r="C1301" i="1"/>
  <c r="F1414" i="1"/>
  <c r="C1133" i="1"/>
  <c r="C1563" i="1"/>
  <c r="D1083" i="1"/>
  <c r="G49" i="1"/>
  <c r="F1603" i="1"/>
  <c r="F872" i="1"/>
  <c r="C1154" i="1"/>
  <c r="C1244" i="1"/>
  <c r="E860" i="1"/>
  <c r="F727" i="1"/>
  <c r="F476" i="1"/>
  <c r="C228" i="1"/>
  <c r="C726" i="1"/>
  <c r="C374" i="1"/>
  <c r="F1339" i="1"/>
  <c r="B1784" i="1"/>
  <c r="B1128" i="1"/>
  <c r="C739" i="1"/>
  <c r="C183" i="1"/>
  <c r="F1421" i="1"/>
  <c r="F1586" i="1"/>
  <c r="C63" i="1"/>
  <c r="F448" i="1"/>
  <c r="C551" i="1"/>
  <c r="F1012" i="1"/>
  <c r="F1064" i="1"/>
  <c r="F150" i="1"/>
  <c r="B1413" i="1"/>
  <c r="C1243" i="1"/>
  <c r="F1117" i="1"/>
  <c r="F1179" i="1"/>
  <c r="C75" i="1"/>
  <c r="F1790" i="1"/>
  <c r="B291" i="1"/>
  <c r="B675" i="1"/>
  <c r="C399" i="1"/>
  <c r="F535" i="1"/>
  <c r="F152" i="1"/>
  <c r="C165" i="1"/>
  <c r="C80" i="1"/>
  <c r="B726" i="1"/>
  <c r="C838" i="1"/>
  <c r="F1660" i="1"/>
  <c r="C134" i="1"/>
  <c r="F1236" i="1"/>
  <c r="F694" i="1"/>
  <c r="F594" i="1"/>
  <c r="D255" i="1"/>
  <c r="C1841" i="1"/>
  <c r="C570" i="1"/>
  <c r="E1609" i="1"/>
  <c r="F1474" i="1"/>
  <c r="F328" i="1"/>
  <c r="F1122" i="1"/>
  <c r="C1260" i="1"/>
  <c r="D1415" i="1"/>
  <c r="C35" i="1"/>
  <c r="C458" i="1"/>
  <c r="D1294" i="1"/>
  <c r="E1697" i="1"/>
  <c r="C1547" i="1"/>
  <c r="C1627" i="1"/>
  <c r="D828" i="1"/>
  <c r="F1576" i="1"/>
  <c r="C1505" i="1"/>
  <c r="F719" i="1"/>
  <c r="D673" i="1"/>
  <c r="C1392" i="1"/>
  <c r="D7" i="1"/>
  <c r="F1034" i="1"/>
  <c r="C1197" i="1"/>
  <c r="C413" i="1"/>
  <c r="F1666" i="1"/>
  <c r="B1383" i="1"/>
  <c r="B1245" i="1"/>
  <c r="C672" i="1"/>
  <c r="F991" i="1"/>
  <c r="D574" i="1"/>
  <c r="C981" i="1"/>
  <c r="B942" i="1"/>
  <c r="C1016" i="1"/>
  <c r="C657" i="1"/>
  <c r="C356" i="1"/>
  <c r="B116" i="1"/>
  <c r="D542" i="1"/>
  <c r="F614" i="1"/>
  <c r="F305" i="1"/>
  <c r="D54" i="1"/>
  <c r="C756" i="1"/>
  <c r="C1042" i="1"/>
  <c r="E1838" i="1"/>
  <c r="C1423" i="1"/>
  <c r="D1723" i="1"/>
  <c r="F1097" i="1"/>
  <c r="C417" i="1"/>
  <c r="B930" i="1"/>
  <c r="C329" i="1"/>
  <c r="B1496" i="1"/>
  <c r="B858" i="1"/>
  <c r="C1537" i="1"/>
  <c r="B783" i="1"/>
  <c r="C1257" i="1"/>
  <c r="G1819" i="1"/>
  <c r="G1389" i="1"/>
  <c r="F949" i="1"/>
  <c r="G527" i="1"/>
  <c r="F1499" i="1"/>
  <c r="G757" i="1"/>
  <c r="D1576" i="1"/>
  <c r="B961" i="1"/>
  <c r="B86" i="1"/>
  <c r="C1647" i="1"/>
  <c r="C1282" i="1"/>
  <c r="C937" i="1"/>
  <c r="C1836" i="1"/>
  <c r="C617" i="1"/>
  <c r="C1670" i="1"/>
  <c r="F687" i="1"/>
  <c r="C1535" i="1"/>
  <c r="E808" i="1"/>
  <c r="F1737" i="1"/>
  <c r="F1579" i="1"/>
  <c r="B1134" i="1"/>
  <c r="C1585" i="1"/>
  <c r="F1443" i="1"/>
  <c r="C735" i="1"/>
  <c r="F1209" i="1"/>
  <c r="D736" i="1"/>
  <c r="F1314" i="1"/>
  <c r="D1059" i="1"/>
  <c r="D535" i="1"/>
  <c r="D334" i="1"/>
  <c r="F1285" i="1"/>
  <c r="E1154" i="1"/>
  <c r="F1628" i="1"/>
  <c r="C1092" i="1"/>
  <c r="F1641" i="1"/>
  <c r="B35" i="1"/>
  <c r="F410" i="1"/>
  <c r="B834" i="1"/>
  <c r="B174" i="1"/>
  <c r="F654" i="1"/>
  <c r="B1728" i="1"/>
  <c r="D1583" i="1"/>
  <c r="D1383" i="1"/>
  <c r="C1796" i="1"/>
  <c r="E1776" i="1"/>
  <c r="F1016" i="1"/>
  <c r="B179" i="1"/>
  <c r="B1761" i="1"/>
  <c r="B7" i="1"/>
  <c r="F350" i="1"/>
  <c r="D1245" i="1"/>
  <c r="B1334" i="1"/>
  <c r="F258" i="1"/>
  <c r="F635" i="1"/>
  <c r="C922" i="1"/>
  <c r="C727" i="1"/>
  <c r="F559" i="1"/>
  <c r="D852" i="1"/>
  <c r="E1162" i="1"/>
  <c r="D1788" i="1"/>
  <c r="F1105" i="1"/>
  <c r="B1161" i="1"/>
  <c r="F564" i="1"/>
  <c r="C585" i="1"/>
  <c r="F1048" i="1"/>
  <c r="C354" i="1"/>
  <c r="F386" i="1"/>
  <c r="G215" i="1"/>
  <c r="G98" i="1"/>
  <c r="D943" i="1"/>
  <c r="C1018" i="1"/>
  <c r="F784" i="1"/>
  <c r="C1402" i="1"/>
  <c r="D297" i="1"/>
  <c r="F1519" i="1"/>
  <c r="C1429" i="1"/>
  <c r="F1200" i="1"/>
  <c r="C907" i="1"/>
  <c r="C611" i="1"/>
  <c r="B1125" i="1"/>
  <c r="C60" i="1"/>
  <c r="F1567" i="1"/>
  <c r="B80" i="1"/>
  <c r="C987" i="1"/>
  <c r="F962" i="1"/>
  <c r="C1180" i="1"/>
  <c r="F106" i="1"/>
  <c r="C890" i="1"/>
  <c r="F807" i="1"/>
  <c r="E1495" i="1"/>
  <c r="C1765" i="1"/>
  <c r="F943" i="1"/>
  <c r="C741" i="1"/>
  <c r="F1378" i="1"/>
  <c r="D231" i="1"/>
  <c r="F764" i="1"/>
  <c r="C800" i="1"/>
  <c r="E933" i="1"/>
  <c r="C213" i="1"/>
  <c r="F736" i="1"/>
  <c r="C1674" i="1"/>
  <c r="C1118" i="1"/>
  <c r="E504" i="1"/>
  <c r="B602" i="1"/>
  <c r="F1278" i="1"/>
  <c r="D1732" i="1"/>
  <c r="B1111" i="1"/>
  <c r="F1528" i="1"/>
  <c r="F884" i="1"/>
  <c r="F1111" i="1"/>
  <c r="D1393" i="1"/>
  <c r="B362" i="1"/>
  <c r="F1112" i="1"/>
  <c r="B526" i="1"/>
  <c r="D1569" i="1"/>
  <c r="F858" i="1"/>
  <c r="B746" i="1"/>
  <c r="D567" i="1"/>
  <c r="F1124" i="1"/>
  <c r="F281" i="1"/>
  <c r="F1234" i="1"/>
  <c r="C641" i="1"/>
  <c r="F1065" i="1"/>
  <c r="F646" i="1"/>
  <c r="B805" i="1"/>
  <c r="E1791" i="1"/>
  <c r="B998" i="1"/>
  <c r="B1555" i="1"/>
  <c r="B745" i="1"/>
  <c r="F1793" i="1"/>
  <c r="C37" i="1"/>
  <c r="F901" i="1"/>
  <c r="C1227" i="1"/>
  <c r="B1528" i="1"/>
  <c r="F1619" i="1"/>
  <c r="D563" i="1"/>
  <c r="B1166" i="1"/>
  <c r="F1644" i="1"/>
  <c r="B1502" i="1"/>
  <c r="D1334" i="1"/>
  <c r="B423" i="1"/>
  <c r="F1167" i="1"/>
  <c r="F239" i="1"/>
  <c r="B812" i="1"/>
  <c r="F1173" i="1"/>
  <c r="D1401" i="1"/>
  <c r="D1212" i="1"/>
  <c r="B1536" i="1"/>
  <c r="D899" i="1"/>
  <c r="D1318" i="1"/>
  <c r="F339" i="1"/>
  <c r="E1218" i="1"/>
  <c r="F1078" i="1"/>
  <c r="F1659" i="1"/>
  <c r="F1093" i="1"/>
  <c r="C480" i="1"/>
  <c r="F815" i="1"/>
  <c r="F177" i="1"/>
  <c r="D374" i="1"/>
  <c r="D392" i="1"/>
  <c r="B1062" i="1"/>
  <c r="B227" i="1"/>
  <c r="B1163" i="1"/>
  <c r="F1825" i="1"/>
  <c r="B516" i="1"/>
  <c r="B342" i="1"/>
  <c r="D425" i="1"/>
  <c r="F434" i="1"/>
  <c r="D1285" i="1"/>
  <c r="B585" i="1"/>
  <c r="E1465" i="1"/>
  <c r="E1136" i="1"/>
  <c r="D1824" i="1"/>
  <c r="B928" i="1"/>
  <c r="B67" i="1"/>
  <c r="B1619" i="1"/>
  <c r="C633" i="1"/>
  <c r="B865" i="1"/>
  <c r="D68" i="1"/>
  <c r="E1271" i="1"/>
  <c r="F652" i="1"/>
  <c r="E1817" i="1"/>
  <c r="D855" i="1"/>
  <c r="C974" i="1"/>
  <c r="B722" i="1"/>
  <c r="F609" i="1"/>
  <c r="F864" i="1"/>
  <c r="B1099" i="1"/>
  <c r="F516" i="1"/>
  <c r="D1244" i="1"/>
  <c r="B1293" i="1"/>
  <c r="E737" i="1"/>
  <c r="D29" i="1"/>
  <c r="D946" i="1"/>
  <c r="C1526" i="1"/>
  <c r="D742" i="1"/>
  <c r="F1661" i="1"/>
  <c r="B337" i="1"/>
  <c r="F769" i="1"/>
  <c r="F327" i="1"/>
  <c r="D590" i="1"/>
  <c r="D752" i="1"/>
  <c r="D1636" i="1"/>
  <c r="G912" i="1"/>
  <c r="G468" i="1"/>
  <c r="C1325" i="1"/>
  <c r="G933" i="1"/>
  <c r="D1423" i="1"/>
  <c r="E1466" i="1"/>
  <c r="C515" i="1"/>
  <c r="C1119" i="1"/>
  <c r="F1197" i="1"/>
  <c r="D1360" i="1"/>
  <c r="F224" i="1"/>
  <c r="C1640" i="1"/>
  <c r="C509" i="1"/>
  <c r="C1259" i="1"/>
  <c r="C830" i="1"/>
  <c r="F1368" i="1"/>
  <c r="E1823" i="1"/>
  <c r="C1081" i="1"/>
  <c r="F314" i="1"/>
  <c r="F1710" i="1"/>
  <c r="C379" i="1"/>
  <c r="C286" i="1"/>
  <c r="C1619" i="1"/>
  <c r="F1189" i="1"/>
  <c r="C831" i="1"/>
  <c r="F1159" i="1"/>
  <c r="C434" i="1"/>
  <c r="B1622" i="1"/>
  <c r="C554" i="1"/>
  <c r="B1561" i="1"/>
  <c r="C1800" i="1"/>
  <c r="F539" i="1"/>
  <c r="C1053" i="1"/>
  <c r="B1506" i="1"/>
  <c r="B504" i="1"/>
  <c r="E1594" i="1"/>
  <c r="B1793" i="1"/>
  <c r="E228" i="1"/>
  <c r="B929" i="1"/>
  <c r="E759" i="1"/>
  <c r="B1420" i="1"/>
  <c r="E964" i="1"/>
  <c r="C201" i="1"/>
  <c r="B1266" i="1"/>
  <c r="F1040" i="1"/>
  <c r="C184" i="1"/>
  <c r="F191" i="1"/>
  <c r="F1568" i="1"/>
  <c r="B1550" i="1"/>
  <c r="D300" i="1"/>
  <c r="B628" i="1"/>
  <c r="B1524" i="1"/>
  <c r="C709" i="1"/>
  <c r="F738" i="1"/>
  <c r="C6" i="1"/>
  <c r="C667" i="1"/>
  <c r="B696" i="1"/>
  <c r="C802" i="1"/>
  <c r="E1501" i="1"/>
  <c r="B690" i="1"/>
  <c r="D1044" i="1"/>
  <c r="F1654" i="1"/>
  <c r="F661" i="1"/>
  <c r="D1748" i="1"/>
  <c r="F844" i="1"/>
  <c r="C275" i="1"/>
  <c r="D999" i="1"/>
  <c r="E139" i="1"/>
  <c r="B1779" i="1"/>
  <c r="F1469" i="1"/>
  <c r="B1035" i="1"/>
  <c r="B962" i="1"/>
  <c r="B260" i="1"/>
  <c r="F1431" i="1"/>
  <c r="E121" i="1"/>
  <c r="B550" i="1"/>
  <c r="C471" i="1"/>
  <c r="F332" i="1"/>
  <c r="D1532" i="1"/>
  <c r="B289" i="1"/>
  <c r="F621" i="1"/>
  <c r="F1032" i="1"/>
  <c r="D611" i="1"/>
  <c r="F690" i="1"/>
  <c r="F133" i="1"/>
  <c r="B931" i="1"/>
  <c r="C334" i="1"/>
  <c r="F1490" i="1"/>
  <c r="F1505" i="1"/>
  <c r="F1677" i="1"/>
  <c r="B713" i="1"/>
  <c r="B885" i="1"/>
  <c r="B441" i="1"/>
  <c r="D1654" i="1"/>
  <c r="B75" i="1"/>
  <c r="F592" i="1"/>
  <c r="B1839" i="1"/>
  <c r="F379" i="1"/>
  <c r="C746" i="1"/>
  <c r="B228" i="1"/>
  <c r="B1430" i="1"/>
  <c r="E1226" i="1"/>
  <c r="B973" i="1"/>
  <c r="C1607" i="1"/>
  <c r="F812" i="1"/>
  <c r="C439" i="1"/>
  <c r="F856" i="1"/>
  <c r="B565" i="1"/>
  <c r="E421" i="1"/>
  <c r="C321" i="1"/>
  <c r="F1319" i="1"/>
  <c r="F1478" i="1"/>
  <c r="B935" i="1"/>
  <c r="C1010" i="1"/>
  <c r="D953" i="1"/>
  <c r="D1307" i="1"/>
  <c r="F1243" i="1"/>
  <c r="F308" i="1"/>
  <c r="C1724" i="1"/>
  <c r="F1409" i="1"/>
  <c r="D1345" i="1"/>
  <c r="B437" i="1"/>
  <c r="B491" i="1"/>
  <c r="B1124" i="1"/>
  <c r="D206" i="1"/>
  <c r="D453" i="1"/>
  <c r="B191" i="1"/>
  <c r="C326" i="1"/>
  <c r="F814" i="1"/>
  <c r="F996" i="1"/>
  <c r="F1325" i="1"/>
  <c r="F61" i="1"/>
  <c r="C1516" i="1"/>
  <c r="B1817" i="1"/>
  <c r="B482" i="1"/>
  <c r="E1668" i="1"/>
  <c r="D1511" i="1"/>
  <c r="C798" i="1"/>
  <c r="F254" i="1"/>
  <c r="B1832" i="1"/>
  <c r="F1799" i="1"/>
  <c r="F1001" i="1"/>
  <c r="C677" i="1"/>
  <c r="F1018" i="1"/>
  <c r="B1453" i="1"/>
  <c r="B1157" i="1"/>
  <c r="E1792" i="1"/>
  <c r="F880" i="1"/>
  <c r="E515" i="1"/>
  <c r="C474" i="1"/>
  <c r="B471" i="1"/>
  <c r="E542" i="1"/>
  <c r="C1614" i="1"/>
  <c r="C1779" i="1"/>
  <c r="C308" i="1"/>
  <c r="C227" i="1"/>
  <c r="F613" i="1"/>
  <c r="C940" i="1"/>
  <c r="D387" i="1"/>
  <c r="F141" i="1"/>
  <c r="C1616" i="1"/>
  <c r="C815" i="1"/>
  <c r="C548" i="1"/>
  <c r="F55" i="1"/>
  <c r="C1264" i="1"/>
  <c r="D1271" i="1"/>
  <c r="E979" i="1"/>
  <c r="B1490" i="1"/>
  <c r="C1789" i="1"/>
  <c r="E1840" i="1"/>
  <c r="C410" i="1"/>
  <c r="D885" i="1"/>
  <c r="B684" i="1"/>
  <c r="B1664" i="1"/>
  <c r="F1545" i="1"/>
  <c r="F451" i="1"/>
  <c r="D51" i="1"/>
  <c r="B163" i="1"/>
  <c r="F608" i="1"/>
  <c r="F1508" i="1"/>
  <c r="C1278" i="1"/>
  <c r="C53" i="1"/>
  <c r="F65" i="1"/>
  <c r="F421" i="1"/>
  <c r="E429" i="1"/>
  <c r="B645" i="1"/>
  <c r="D613" i="1"/>
  <c r="D91" i="1"/>
  <c r="F783" i="1"/>
  <c r="C877" i="1"/>
  <c r="B332" i="1"/>
  <c r="C367" i="1"/>
  <c r="C1711" i="1"/>
  <c r="B810" i="1"/>
  <c r="F606" i="1"/>
  <c r="D1239" i="1"/>
  <c r="D199" i="1"/>
  <c r="B996" i="1"/>
  <c r="D923" i="1"/>
  <c r="B1755" i="1"/>
  <c r="B1468" i="1"/>
  <c r="C1806" i="1"/>
  <c r="C1575" i="1"/>
  <c r="D1622" i="1"/>
  <c r="B1603" i="1"/>
  <c r="B430" i="1"/>
  <c r="B768" i="1"/>
  <c r="E670" i="1"/>
  <c r="B386" i="1"/>
  <c r="B902" i="1"/>
  <c r="C883" i="1"/>
  <c r="B531" i="1"/>
  <c r="E1083" i="1"/>
  <c r="B1276" i="1"/>
  <c r="B639" i="1"/>
  <c r="D864" i="1"/>
  <c r="B355" i="1"/>
  <c r="F1215" i="1"/>
  <c r="F1460" i="1"/>
  <c r="D883" i="1"/>
  <c r="B1748" i="1"/>
  <c r="B315" i="1"/>
  <c r="C868" i="1"/>
  <c r="B486" i="1"/>
  <c r="E875" i="1"/>
  <c r="B1326" i="1"/>
  <c r="B1253" i="1"/>
  <c r="F1425" i="1"/>
  <c r="B1788" i="1"/>
  <c r="B543" i="1"/>
  <c r="B732" i="1"/>
  <c r="F99" i="1"/>
  <c r="C1481" i="1"/>
  <c r="B1192" i="1"/>
  <c r="C1371" i="1"/>
  <c r="B512" i="1"/>
  <c r="D1443" i="1"/>
  <c r="F240" i="1"/>
  <c r="D343" i="1"/>
  <c r="C934" i="1"/>
  <c r="F1306" i="1"/>
  <c r="G1141" i="1"/>
  <c r="C687" i="1"/>
  <c r="F148" i="1"/>
  <c r="F1779" i="1"/>
  <c r="B673" i="1"/>
  <c r="F506" i="1"/>
  <c r="F723" i="1"/>
  <c r="F981" i="1"/>
  <c r="B1371" i="1"/>
  <c r="C1474" i="1"/>
  <c r="B1126" i="1"/>
  <c r="C580" i="1"/>
  <c r="B1208" i="1"/>
  <c r="F1115" i="1"/>
  <c r="F976" i="1"/>
  <c r="D359" i="1"/>
  <c r="E1227" i="1"/>
  <c r="F1149" i="1"/>
  <c r="C385" i="1"/>
  <c r="F1555" i="1"/>
  <c r="B1203" i="1"/>
  <c r="C849" i="1"/>
  <c r="B1187" i="1"/>
  <c r="C252" i="1"/>
  <c r="F1399" i="1"/>
  <c r="C1235" i="1"/>
  <c r="B1177" i="1"/>
  <c r="B212" i="1"/>
  <c r="B410" i="1"/>
  <c r="F60" i="1"/>
  <c r="F23" i="1"/>
  <c r="G74" i="1"/>
  <c r="B446" i="1"/>
  <c r="C352" i="1"/>
  <c r="C744" i="1"/>
  <c r="C198" i="1"/>
  <c r="C1814" i="1"/>
  <c r="C1283" i="1"/>
  <c r="B704" i="1"/>
  <c r="F676" i="1"/>
  <c r="F1341" i="1"/>
  <c r="D1172" i="1"/>
  <c r="B627" i="1"/>
  <c r="C330" i="1"/>
  <c r="C1518" i="1"/>
  <c r="B1319" i="1"/>
  <c r="C1453" i="1"/>
  <c r="D337" i="1"/>
  <c r="F806" i="1"/>
  <c r="D1747" i="1"/>
  <c r="F234" i="1"/>
  <c r="F569" i="1"/>
  <c r="F116" i="1"/>
  <c r="C1803" i="1"/>
  <c r="F6" i="1"/>
  <c r="C1764" i="1"/>
  <c r="C706" i="1"/>
  <c r="C358" i="1"/>
  <c r="F500" i="1"/>
  <c r="F37" i="1"/>
  <c r="D1770" i="1"/>
  <c r="F385" i="1"/>
  <c r="F955" i="1"/>
  <c r="F1537" i="1"/>
  <c r="F642" i="1"/>
  <c r="C749" i="1"/>
  <c r="B1427" i="1"/>
  <c r="E331" i="1"/>
  <c r="D587" i="1"/>
  <c r="F1240" i="1"/>
  <c r="B1372" i="1"/>
  <c r="B231" i="1"/>
  <c r="F1848" i="1"/>
  <c r="B1767" i="1"/>
  <c r="B1583" i="1"/>
  <c r="F480" i="1"/>
  <c r="C1502" i="1"/>
  <c r="B340" i="1"/>
  <c r="B493" i="1"/>
  <c r="B314" i="1"/>
  <c r="F1462" i="1"/>
  <c r="B717" i="1"/>
  <c r="F64" i="1"/>
  <c r="F1658" i="1"/>
  <c r="F709" i="1"/>
  <c r="F789" i="1"/>
  <c r="F430" i="1"/>
  <c r="F1491" i="1"/>
  <c r="B1638" i="1"/>
  <c r="B1428" i="1"/>
  <c r="F550" i="1"/>
  <c r="D1755" i="1"/>
  <c r="B1445" i="1"/>
  <c r="F401" i="1"/>
  <c r="F1416" i="1"/>
  <c r="C1329" i="1"/>
  <c r="B818" i="1"/>
  <c r="B1106" i="1"/>
  <c r="F1309" i="1"/>
  <c r="D504" i="1"/>
  <c r="D275" i="1"/>
  <c r="E522" i="1"/>
  <c r="E1148" i="1"/>
  <c r="E931" i="1"/>
  <c r="B714" i="1"/>
  <c r="F1170" i="1"/>
  <c r="F1210" i="1"/>
  <c r="E1164" i="1"/>
  <c r="C200" i="1"/>
  <c r="D1541" i="1"/>
  <c r="E455" i="1"/>
  <c r="D1173" i="1"/>
  <c r="B1184" i="1"/>
  <c r="B920" i="1"/>
  <c r="F1856" i="1"/>
  <c r="C1666" i="1"/>
  <c r="D73" i="1"/>
  <c r="C957" i="1"/>
  <c r="B1095" i="1"/>
  <c r="C639" i="1"/>
  <c r="F341" i="1"/>
  <c r="F39" i="1"/>
  <c r="B1540" i="1"/>
  <c r="F1004" i="1"/>
  <c r="B1733" i="1"/>
  <c r="B719" i="1"/>
  <c r="C1498" i="1"/>
  <c r="F689" i="1"/>
  <c r="F67" i="1"/>
  <c r="C886" i="1"/>
  <c r="B1635" i="1"/>
  <c r="F867" i="1"/>
  <c r="D464" i="1"/>
  <c r="C1274" i="1"/>
  <c r="F468" i="1"/>
  <c r="B1811" i="1"/>
  <c r="F673" i="1"/>
  <c r="B1000" i="1"/>
  <c r="F557" i="1"/>
  <c r="F799" i="1"/>
  <c r="B566" i="1"/>
  <c r="D939" i="1"/>
  <c r="F498" i="1"/>
  <c r="F1573" i="1"/>
  <c r="F1581" i="1"/>
  <c r="B1213" i="1"/>
  <c r="C1686" i="1"/>
  <c r="B1820" i="1"/>
  <c r="B910" i="1"/>
  <c r="C74" i="1"/>
  <c r="C584" i="1"/>
  <c r="D643" i="1"/>
  <c r="F1796" i="1"/>
  <c r="C897" i="1"/>
  <c r="F1622" i="1"/>
  <c r="B412" i="1"/>
  <c r="F1636" i="1"/>
  <c r="E80" i="1"/>
  <c r="G1345" i="1"/>
  <c r="D306" i="1"/>
  <c r="C591" i="1"/>
  <c r="C778" i="1"/>
  <c r="E384" i="1"/>
  <c r="C1032" i="1"/>
  <c r="F1662" i="1"/>
  <c r="F267" i="1"/>
  <c r="D1640" i="1"/>
  <c r="C880" i="1"/>
  <c r="F118" i="1"/>
  <c r="C933" i="1"/>
  <c r="C1603" i="1"/>
  <c r="B1408" i="1"/>
  <c r="C1747" i="1"/>
  <c r="F441" i="1"/>
  <c r="D479" i="1"/>
  <c r="C485" i="1"/>
  <c r="C867" i="1"/>
  <c r="C1461" i="1"/>
  <c r="F34" i="1"/>
  <c r="C834" i="1"/>
  <c r="F1787" i="1"/>
  <c r="C1353" i="1"/>
  <c r="B395" i="1"/>
  <c r="C658" i="1"/>
  <c r="B230" i="1"/>
  <c r="F1156" i="1"/>
  <c r="F74" i="1"/>
  <c r="C83" i="1"/>
  <c r="B414" i="1"/>
  <c r="F495" i="1"/>
  <c r="F326" i="1"/>
  <c r="F69" i="1"/>
  <c r="B374" i="1"/>
  <c r="B373" i="1"/>
  <c r="D1238" i="1"/>
  <c r="E659" i="1"/>
  <c r="B111" i="1"/>
  <c r="B1167" i="1"/>
  <c r="F470" i="1"/>
  <c r="F704" i="1"/>
  <c r="C1210" i="1"/>
  <c r="F519" i="1"/>
  <c r="B1179" i="1"/>
  <c r="F978" i="1"/>
  <c r="D214" i="1"/>
  <c r="B1388" i="1"/>
  <c r="F639" i="1"/>
  <c r="B65" i="1"/>
  <c r="F1625" i="1"/>
  <c r="B535" i="1"/>
  <c r="F259" i="1"/>
  <c r="F1437" i="1"/>
  <c r="C1270" i="1"/>
  <c r="F1610" i="1"/>
  <c r="C1545" i="1"/>
  <c r="D795" i="1"/>
  <c r="B1679" i="1"/>
  <c r="F1502" i="1"/>
  <c r="F992" i="1"/>
  <c r="F1090" i="1"/>
  <c r="B224" i="1"/>
  <c r="E1531" i="1"/>
  <c r="B610" i="1"/>
  <c r="B92" i="1"/>
  <c r="C1756" i="1"/>
  <c r="E965" i="1"/>
  <c r="C1449" i="1"/>
  <c r="D635" i="1"/>
  <c r="B255" i="1"/>
  <c r="B954" i="1"/>
  <c r="F1320" i="1"/>
  <c r="C249" i="1"/>
  <c r="F1021" i="1"/>
  <c r="C602" i="1"/>
  <c r="F125" i="1"/>
  <c r="C1298" i="1"/>
  <c r="B1752" i="1"/>
  <c r="B1685" i="1"/>
  <c r="D1317" i="1"/>
  <c r="D95" i="1"/>
  <c r="D1248" i="1"/>
  <c r="F1750" i="1"/>
  <c r="F1657" i="1"/>
  <c r="F28" i="1"/>
  <c r="F178" i="1"/>
  <c r="F859" i="1"/>
  <c r="D1191" i="1"/>
  <c r="F1106" i="1"/>
  <c r="E44" i="1"/>
  <c r="D69" i="1"/>
  <c r="C985" i="1"/>
  <c r="D1076" i="1"/>
  <c r="B1264" i="1"/>
  <c r="D1531" i="1"/>
  <c r="F442" i="1"/>
  <c r="E673" i="1"/>
  <c r="F1526" i="1"/>
  <c r="E54" i="1"/>
  <c r="E829" i="1"/>
  <c r="D189" i="1"/>
  <c r="B577" i="1"/>
  <c r="B417" i="1"/>
  <c r="B394" i="1"/>
  <c r="C1438" i="1"/>
  <c r="F816" i="1"/>
  <c r="C954" i="1"/>
  <c r="C1512" i="1"/>
  <c r="F1591" i="1"/>
  <c r="B1720" i="1"/>
  <c r="B1115" i="1"/>
  <c r="F627" i="1"/>
  <c r="F91" i="1"/>
  <c r="B1274" i="1"/>
  <c r="B724" i="1"/>
  <c r="B1353" i="1"/>
  <c r="C1209" i="1"/>
  <c r="F1673" i="1"/>
  <c r="B440" i="1"/>
  <c r="E1245" i="1"/>
  <c r="D803" i="1"/>
  <c r="B122" i="1"/>
  <c r="B48" i="1"/>
  <c r="C1648" i="1"/>
  <c r="B1498" i="1"/>
  <c r="D1117" i="1"/>
  <c r="F16" i="1"/>
  <c r="B1809" i="1"/>
  <c r="F423" i="1"/>
  <c r="E1517" i="1"/>
  <c r="D992" i="1"/>
  <c r="D965" i="1"/>
  <c r="B1575" i="1"/>
  <c r="F641" i="1"/>
  <c r="F212" i="1"/>
  <c r="C545" i="1"/>
  <c r="C1641" i="1"/>
  <c r="C914" i="1"/>
  <c r="F337" i="1"/>
  <c r="C1696" i="1"/>
  <c r="C583" i="1"/>
  <c r="C1578" i="1"/>
  <c r="B844" i="1"/>
  <c r="C1400" i="1"/>
  <c r="C707" i="1"/>
  <c r="C1465" i="1"/>
  <c r="C814" i="1"/>
  <c r="C456" i="1"/>
  <c r="C386" i="1"/>
  <c r="F83" i="1"/>
  <c r="F188" i="1"/>
  <c r="F1275" i="1"/>
  <c r="F374" i="1"/>
  <c r="F200" i="1"/>
  <c r="F292" i="1"/>
  <c r="B634" i="1"/>
  <c r="F1434" i="1"/>
  <c r="C731" i="1"/>
  <c r="F842" i="1"/>
  <c r="F1153" i="1"/>
  <c r="D1164" i="1"/>
  <c r="C43" i="1"/>
  <c r="D910" i="1"/>
  <c r="F670" i="1"/>
  <c r="F123" i="1"/>
  <c r="D208" i="1"/>
  <c r="C717" i="1"/>
  <c r="F1077" i="1"/>
  <c r="B1629" i="1"/>
  <c r="C979" i="1"/>
  <c r="D1619" i="1"/>
  <c r="B1096" i="1"/>
  <c r="F10" i="1"/>
  <c r="E1207" i="1"/>
  <c r="D969" i="1"/>
  <c r="B1191" i="1"/>
  <c r="D312" i="1"/>
  <c r="C481" i="1"/>
  <c r="F1026" i="1"/>
  <c r="C1026" i="1"/>
  <c r="F193" i="1"/>
  <c r="B510" i="1"/>
  <c r="B310" i="1"/>
  <c r="D399" i="1"/>
  <c r="F29" i="1"/>
  <c r="D237" i="1"/>
  <c r="B367" i="1"/>
  <c r="F1295" i="1"/>
  <c r="F214" i="1"/>
  <c r="D926" i="1"/>
  <c r="F146" i="1"/>
  <c r="F1274" i="1"/>
  <c r="D3" i="1"/>
  <c r="F1263" i="1"/>
  <c r="F1070" i="1"/>
  <c r="F679" i="1"/>
  <c r="B1118" i="1"/>
  <c r="B89" i="1"/>
  <c r="D1799" i="1"/>
  <c r="B702" i="1"/>
  <c r="F450" i="1"/>
  <c r="C195" i="1"/>
  <c r="B1826" i="1"/>
  <c r="B131" i="1"/>
  <c r="F899" i="1"/>
  <c r="B183" i="1"/>
  <c r="F367" i="1"/>
  <c r="F1485" i="1"/>
  <c r="F1765" i="1"/>
  <c r="D262" i="1"/>
  <c r="E1213" i="1"/>
  <c r="E814" i="1"/>
  <c r="C517" i="1"/>
  <c r="D18" i="1"/>
  <c r="F1678" i="1"/>
  <c r="C1149" i="1"/>
  <c r="B855" i="1"/>
  <c r="B72" i="1"/>
  <c r="F553" i="1"/>
  <c r="F461" i="1"/>
  <c r="F137" i="1"/>
  <c r="F1214" i="1"/>
  <c r="B1633" i="1"/>
  <c r="F1824" i="1"/>
  <c r="B1263" i="1"/>
  <c r="D409" i="1"/>
  <c r="B294" i="1"/>
  <c r="F866" i="1"/>
  <c r="E242" i="1"/>
  <c r="B1848" i="1"/>
  <c r="F777" i="1"/>
  <c r="E1625" i="1"/>
  <c r="F226" i="1"/>
  <c r="B1799" i="1"/>
  <c r="F1668" i="1"/>
  <c r="E1779" i="1"/>
  <c r="B999" i="1"/>
  <c r="B366" i="1"/>
  <c r="D402" i="1"/>
  <c r="E1235" i="1"/>
  <c r="C307" i="1"/>
  <c r="F1675" i="1"/>
  <c r="B1781" i="1"/>
  <c r="C530" i="1"/>
  <c r="F1276" i="1"/>
  <c r="E140" i="1"/>
  <c r="B1437" i="1"/>
  <c r="B592" i="1"/>
  <c r="B873" i="1"/>
  <c r="B668" i="1"/>
  <c r="D1826" i="1"/>
  <c r="C990" i="1"/>
  <c r="B867" i="1"/>
  <c r="F1068" i="1"/>
  <c r="F1578" i="1"/>
  <c r="F1410" i="1"/>
  <c r="E1781" i="1"/>
  <c r="B33" i="1"/>
  <c r="B943" i="1"/>
  <c r="F1617" i="1"/>
  <c r="F571" i="1"/>
  <c r="C1389" i="1"/>
  <c r="B1614" i="1"/>
  <c r="C1632" i="1"/>
  <c r="G1609" i="1"/>
  <c r="C1549" i="1"/>
  <c r="D1199" i="1"/>
  <c r="C855" i="1"/>
  <c r="B334" i="1"/>
  <c r="E1390" i="1"/>
  <c r="C500" i="1"/>
  <c r="C1188" i="1"/>
  <c r="C224" i="1"/>
  <c r="C1668" i="1"/>
  <c r="B965" i="1"/>
  <c r="C487" i="1"/>
  <c r="F396" i="1"/>
  <c r="C902" i="1"/>
  <c r="F175" i="1"/>
  <c r="F1321" i="1"/>
  <c r="F2" i="1"/>
  <c r="B175" i="1"/>
  <c r="C139" i="1"/>
  <c r="F246" i="1"/>
  <c r="C260" i="1"/>
  <c r="C404" i="1"/>
  <c r="F537" i="1"/>
  <c r="F952" i="1"/>
  <c r="C336" i="1"/>
  <c r="B1446" i="1"/>
  <c r="D413" i="1"/>
  <c r="D1018" i="1"/>
  <c r="D1545" i="1"/>
  <c r="C1326" i="1"/>
  <c r="F805" i="1"/>
  <c r="C1684" i="1"/>
  <c r="B328" i="1"/>
  <c r="F294" i="1"/>
  <c r="B1078" i="1"/>
  <c r="E1540" i="1"/>
  <c r="E1524" i="1"/>
  <c r="D1180" i="1"/>
  <c r="B1526" i="1"/>
  <c r="C1530" i="1"/>
  <c r="C377" i="1"/>
  <c r="F840" i="1"/>
  <c r="F759" i="1"/>
  <c r="B324" i="1"/>
  <c r="E119" i="1"/>
  <c r="B630" i="1"/>
  <c r="D1223" i="1"/>
  <c r="B1573" i="1"/>
  <c r="B200" i="1"/>
  <c r="B988" i="1"/>
  <c r="F722" i="1"/>
  <c r="C1179" i="1"/>
  <c r="C992" i="1"/>
  <c r="F1182" i="1"/>
  <c r="C1171" i="1"/>
  <c r="C389" i="1"/>
  <c r="F522" i="1"/>
  <c r="B1195" i="1"/>
  <c r="C1249" i="1"/>
  <c r="F835" i="1"/>
  <c r="D714" i="1"/>
  <c r="D900" i="1"/>
  <c r="F648" i="1"/>
  <c r="F1067" i="1"/>
  <c r="F695" i="1"/>
  <c r="F770" i="1"/>
  <c r="F119" i="1"/>
  <c r="B1777" i="1"/>
  <c r="B806" i="1"/>
  <c r="E883" i="1"/>
  <c r="D974" i="1"/>
  <c r="C759" i="1"/>
  <c r="E1519" i="1"/>
  <c r="B1333" i="1"/>
  <c r="B74" i="1"/>
  <c r="C629" i="1"/>
  <c r="D1053" i="1"/>
  <c r="F1575" i="1"/>
  <c r="B863" i="1"/>
  <c r="E751" i="1"/>
  <c r="E1084" i="1"/>
  <c r="F576" i="1"/>
  <c r="F692" i="1"/>
  <c r="B655" i="1"/>
  <c r="F1139" i="1"/>
  <c r="B1852" i="1"/>
  <c r="B1461" i="1"/>
  <c r="B622" i="1"/>
  <c r="C1041" i="1"/>
  <c r="E1502" i="1"/>
  <c r="D308" i="1"/>
  <c r="F56" i="1"/>
  <c r="F1088" i="1"/>
  <c r="F265" i="1"/>
  <c r="F1205" i="1"/>
  <c r="C1418" i="1"/>
  <c r="F1818" i="1"/>
  <c r="B922" i="1"/>
  <c r="D1456" i="1"/>
  <c r="C1830" i="1"/>
  <c r="D1184" i="1"/>
  <c r="B1019" i="1"/>
  <c r="E1266" i="1"/>
  <c r="C1056" i="1"/>
  <c r="C1579" i="1"/>
  <c r="F1315" i="1"/>
  <c r="C1446" i="1"/>
  <c r="B1196" i="1"/>
  <c r="B563" i="1"/>
  <c r="B16" i="1"/>
  <c r="B1814" i="1"/>
  <c r="D43" i="1"/>
  <c r="B1750" i="1"/>
  <c r="D1391" i="1"/>
  <c r="F1251" i="1"/>
  <c r="F1642" i="1"/>
  <c r="C222" i="1"/>
  <c r="C603" i="1"/>
  <c r="F1208" i="1"/>
  <c r="F317" i="1"/>
  <c r="B794" i="1"/>
  <c r="D692" i="1"/>
  <c r="D1626" i="1"/>
  <c r="F622" i="1"/>
  <c r="F1023" i="1"/>
  <c r="C1319" i="1"/>
  <c r="F745" i="1"/>
  <c r="C631" i="1"/>
  <c r="F1244" i="1"/>
  <c r="E1158" i="1"/>
  <c r="D1057" i="1"/>
  <c r="B856" i="1"/>
  <c r="E546" i="1"/>
  <c r="B574" i="1"/>
  <c r="D1807" i="1"/>
  <c r="C558" i="1"/>
  <c r="F1623" i="1"/>
  <c r="F1857" i="1"/>
  <c r="F1836" i="1"/>
  <c r="C140" i="1"/>
  <c r="B1657" i="1"/>
  <c r="C1165" i="1"/>
  <c r="F1154" i="1"/>
  <c r="D759" i="1"/>
  <c r="C468" i="1"/>
  <c r="B507" i="1"/>
  <c r="F310" i="1"/>
  <c r="C84" i="1"/>
  <c r="F1538" i="1"/>
  <c r="G231" i="1"/>
  <c r="F454" i="1"/>
  <c r="C1592" i="1"/>
  <c r="C92" i="1"/>
  <c r="F1506" i="1"/>
  <c r="F1307" i="1"/>
  <c r="C1296" i="1"/>
  <c r="C55" i="1"/>
  <c r="F1456" i="1"/>
  <c r="F1433" i="1"/>
  <c r="F888" i="1"/>
  <c r="F1849" i="1"/>
  <c r="C837" i="1"/>
  <c r="F618" i="1"/>
  <c r="C1396" i="1"/>
  <c r="C1544" i="1"/>
  <c r="D257" i="1"/>
  <c r="C832" i="1"/>
  <c r="F916" i="1"/>
  <c r="C1272" i="1"/>
  <c r="B1545" i="1"/>
  <c r="B402" i="1"/>
  <c r="E589" i="1"/>
  <c r="F1530" i="1"/>
  <c r="D1240" i="1"/>
  <c r="F969" i="1"/>
  <c r="C669" i="1"/>
  <c r="E348" i="1"/>
  <c r="F285" i="1"/>
  <c r="B1222" i="1"/>
  <c r="D737" i="1"/>
  <c r="F600" i="1"/>
  <c r="B1588" i="1"/>
  <c r="D131" i="1"/>
  <c r="F1258" i="1"/>
  <c r="D826" i="1"/>
  <c r="D1417" i="1"/>
  <c r="D1189" i="1"/>
  <c r="C258" i="1"/>
  <c r="C714" i="1"/>
  <c r="F1313" i="1"/>
  <c r="F1371" i="1"/>
  <c r="B1211" i="1"/>
  <c r="E91" i="1"/>
  <c r="F1238" i="1"/>
  <c r="E980" i="1"/>
  <c r="B187" i="1"/>
  <c r="B641" i="1"/>
  <c r="B845" i="1"/>
  <c r="F1536" i="1"/>
  <c r="C423" i="1"/>
  <c r="E387" i="1"/>
  <c r="D422" i="1"/>
  <c r="E1783" i="1"/>
  <c r="B606" i="1"/>
  <c r="B1097" i="1"/>
  <c r="B590" i="1"/>
  <c r="B980" i="1"/>
  <c r="F1379" i="1"/>
  <c r="D1111" i="1"/>
  <c r="C1786" i="1"/>
  <c r="F703" i="1"/>
  <c r="B1695" i="1"/>
  <c r="B939" i="1"/>
  <c r="F983" i="1"/>
  <c r="B1205" i="1"/>
  <c r="C328" i="1"/>
  <c r="B1454" i="1"/>
  <c r="B1676" i="1"/>
  <c r="F80" i="1"/>
  <c r="F1776" i="1"/>
  <c r="C810" i="1"/>
  <c r="F298" i="1"/>
  <c r="F110" i="1"/>
  <c r="F1517" i="1"/>
  <c r="F1559" i="1"/>
  <c r="D1475" i="1"/>
  <c r="F1498" i="1"/>
  <c r="F1074" i="1"/>
  <c r="F283" i="1"/>
  <c r="F1247" i="1"/>
  <c r="F758" i="1"/>
  <c r="F1311" i="1"/>
  <c r="C1573" i="1"/>
  <c r="D370" i="1"/>
  <c r="B393" i="1"/>
  <c r="B206" i="1"/>
  <c r="C1556" i="1"/>
  <c r="D372" i="1"/>
  <c r="F438" i="1"/>
  <c r="C1454" i="1"/>
  <c r="C858" i="1"/>
  <c r="D481" i="1"/>
  <c r="C946" i="1"/>
  <c r="D942" i="1"/>
  <c r="C961" i="1"/>
  <c r="C1595" i="1"/>
  <c r="D1428" i="1"/>
  <c r="B1675" i="1"/>
  <c r="F50" i="1"/>
  <c r="B1236" i="1"/>
  <c r="C1261" i="1"/>
  <c r="D1080" i="1"/>
  <c r="F521" i="1"/>
  <c r="F801" i="1"/>
  <c r="C153" i="1"/>
  <c r="E1610" i="1"/>
  <c r="B1721" i="1"/>
  <c r="B640" i="1"/>
  <c r="E1433" i="1"/>
  <c r="D1146" i="1"/>
  <c r="F1331" i="1"/>
  <c r="C44" i="1"/>
  <c r="F395" i="1"/>
  <c r="C654" i="1"/>
  <c r="B145" i="1"/>
  <c r="B1159" i="1"/>
  <c r="D699" i="1"/>
  <c r="E597" i="1"/>
  <c r="F1513" i="1"/>
  <c r="B292" i="1"/>
  <c r="F160" i="1"/>
  <c r="F1085" i="1"/>
  <c r="F1504" i="1"/>
  <c r="F1767" i="1"/>
  <c r="F1250" i="1"/>
  <c r="B1156" i="1"/>
  <c r="C338" i="1"/>
  <c r="B854" i="1"/>
  <c r="C42" i="1"/>
  <c r="B840" i="1"/>
  <c r="C318" i="1"/>
  <c r="F1308" i="1"/>
  <c r="B721" i="1"/>
  <c r="E1480" i="1"/>
  <c r="B540" i="1"/>
  <c r="E668" i="1"/>
  <c r="F347" i="1"/>
  <c r="F1736" i="1"/>
  <c r="D28" i="1"/>
  <c r="B1121" i="1"/>
  <c r="C885" i="1"/>
  <c r="F291" i="1"/>
  <c r="E834" i="1"/>
  <c r="B694" i="1"/>
  <c r="D546" i="1"/>
  <c r="B1818" i="1"/>
  <c r="D1697" i="1"/>
  <c r="C340" i="1"/>
  <c r="B683" i="1"/>
  <c r="D1068" i="1"/>
  <c r="F890" i="1"/>
  <c r="B621" i="1"/>
  <c r="F1813" i="1"/>
  <c r="E1662" i="1"/>
  <c r="B28" i="1"/>
  <c r="B1345" i="1"/>
  <c r="F1835" i="1"/>
  <c r="F1185" i="1"/>
  <c r="F532" i="1"/>
  <c r="F251" i="1"/>
  <c r="B866" i="1"/>
  <c r="E1675" i="1"/>
  <c r="C976" i="1"/>
  <c r="D1115" i="1"/>
  <c r="B1002" i="1"/>
  <c r="F1814" i="1"/>
  <c r="E463" i="1"/>
  <c r="C1341" i="1"/>
  <c r="B740" i="1"/>
  <c r="E1265" i="1"/>
  <c r="E885" i="1"/>
  <c r="D816" i="1"/>
  <c r="D1635" i="1"/>
  <c r="C772" i="1"/>
  <c r="D1081" i="1"/>
  <c r="B1794" i="1"/>
  <c r="D48" i="1"/>
  <c r="F1388" i="1"/>
  <c r="B223" i="1"/>
  <c r="E362" i="1"/>
  <c r="B1227" i="1"/>
  <c r="B1443" i="1"/>
  <c r="B1705" i="1"/>
  <c r="D1551" i="1"/>
  <c r="C1828" i="1"/>
  <c r="E1592" i="1"/>
  <c r="F767" i="1"/>
  <c r="B44" i="1"/>
  <c r="F575" i="1"/>
  <c r="B553" i="1"/>
  <c r="D1544" i="1"/>
  <c r="D903" i="1"/>
  <c r="E1000" i="1"/>
  <c r="C1428" i="1"/>
  <c r="E1767" i="1"/>
  <c r="F443" i="1"/>
  <c r="F134" i="1"/>
  <c r="E868" i="1"/>
  <c r="E1526" i="1"/>
  <c r="B789" i="1"/>
  <c r="E963" i="1"/>
  <c r="D1777" i="1"/>
  <c r="D1848" i="1"/>
  <c r="B1487" i="1"/>
  <c r="D1049" i="1"/>
  <c r="F1493" i="1"/>
  <c r="D1666" i="1"/>
  <c r="D1032" i="1"/>
  <c r="D177" i="1"/>
  <c r="D663" i="1"/>
  <c r="D1342" i="1"/>
  <c r="D429" i="1"/>
  <c r="B744" i="1"/>
  <c r="F1562" i="1"/>
  <c r="E1134" i="1"/>
  <c r="B1836" i="1"/>
  <c r="F735" i="1"/>
  <c r="D174" i="1"/>
  <c r="F1418" i="1"/>
  <c r="E1535" i="1"/>
  <c r="F1639" i="1"/>
  <c r="E812" i="1"/>
  <c r="D1395" i="1"/>
  <c r="F749" i="1"/>
  <c r="B1482" i="1"/>
  <c r="E48" i="1"/>
  <c r="B1244" i="1"/>
  <c r="C86" i="1"/>
  <c r="F457" i="1"/>
  <c r="B301" i="1"/>
  <c r="F213" i="1"/>
  <c r="D628" i="1"/>
  <c r="B265" i="1"/>
  <c r="E1591" i="1"/>
  <c r="D610" i="1"/>
  <c r="E1362" i="1"/>
  <c r="E1755" i="1"/>
  <c r="B1659" i="1"/>
  <c r="B214" i="1"/>
  <c r="B295" i="1"/>
  <c r="B1617" i="1"/>
  <c r="F1809" i="1"/>
  <c r="F752" i="1"/>
  <c r="D744" i="1"/>
  <c r="D687" i="1"/>
  <c r="E901" i="1"/>
  <c r="D184" i="1"/>
  <c r="B1650" i="1"/>
  <c r="B1822" i="1"/>
  <c r="C1589" i="1"/>
  <c r="B1260" i="1"/>
  <c r="C1839" i="1"/>
  <c r="B262" i="1"/>
  <c r="E399" i="1"/>
  <c r="B1228" i="1"/>
  <c r="D881" i="1"/>
  <c r="C402" i="1"/>
  <c r="D1710" i="1"/>
  <c r="F834" i="1"/>
  <c r="C857" i="1"/>
  <c r="F356" i="1"/>
  <c r="F206" i="1"/>
  <c r="B155" i="1"/>
  <c r="F1222" i="1"/>
  <c r="F1695" i="1"/>
  <c r="B290" i="1"/>
  <c r="E1156" i="1"/>
  <c r="C1538" i="1"/>
  <c r="F1346" i="1"/>
  <c r="B11" i="1"/>
  <c r="F243" i="1"/>
  <c r="F242" i="1"/>
  <c r="B13" i="1"/>
  <c r="D140" i="1"/>
  <c r="C400" i="1"/>
  <c r="F227" i="1"/>
  <c r="B1436" i="1"/>
  <c r="C1639" i="1"/>
  <c r="F1412" i="1"/>
  <c r="F1010" i="1"/>
  <c r="D1446" i="1"/>
  <c r="F1620" i="1"/>
  <c r="C1043" i="1"/>
  <c r="F934" i="1"/>
  <c r="E6" i="1"/>
  <c r="D1156" i="1"/>
  <c r="F883" i="1"/>
  <c r="F1540" i="1"/>
  <c r="C1126" i="1"/>
  <c r="B648" i="1"/>
  <c r="F930" i="1"/>
  <c r="D1780" i="1"/>
  <c r="E1082" i="1"/>
  <c r="B156" i="1"/>
  <c r="F597" i="1"/>
  <c r="F1616" i="1"/>
  <c r="D153" i="1"/>
  <c r="D515" i="1"/>
  <c r="E531" i="1"/>
  <c r="F634" i="1"/>
  <c r="F340" i="1"/>
  <c r="F1532" i="1"/>
  <c r="F201" i="1"/>
  <c r="B1780" i="1"/>
  <c r="F1356" i="1"/>
  <c r="B1700" i="1"/>
  <c r="D395" i="1"/>
  <c r="D341" i="1"/>
  <c r="B878" i="1"/>
  <c r="E1508" i="1"/>
  <c r="E205" i="1"/>
  <c r="E908" i="1"/>
  <c r="C1287" i="1"/>
  <c r="F33" i="1"/>
  <c r="B316" i="1"/>
  <c r="F1228" i="1"/>
  <c r="B626" i="1"/>
  <c r="F1461" i="1"/>
  <c r="D1050" i="1"/>
  <c r="B1556" i="1"/>
  <c r="B1703" i="1"/>
  <c r="F1535" i="1"/>
  <c r="D1283" i="1"/>
  <c r="C244" i="1"/>
  <c r="B1123" i="1"/>
  <c r="D995" i="1"/>
  <c r="C124" i="1"/>
  <c r="E1839" i="1"/>
  <c r="E223" i="1"/>
  <c r="E60" i="1"/>
  <c r="D594" i="1"/>
  <c r="B727" i="1"/>
  <c r="E420" i="1"/>
  <c r="C1566" i="1"/>
  <c r="E777" i="1"/>
  <c r="B438" i="1"/>
  <c r="D1198" i="1"/>
  <c r="E225" i="1"/>
  <c r="C1567" i="1"/>
  <c r="B1223" i="1"/>
  <c r="E109" i="1"/>
  <c r="E1544" i="1"/>
  <c r="B871" i="1"/>
  <c r="E959" i="1"/>
  <c r="C1767" i="1"/>
  <c r="B336" i="1"/>
  <c r="B1309" i="1"/>
  <c r="B232" i="1"/>
  <c r="B1077" i="1"/>
  <c r="D835" i="1"/>
  <c r="D539" i="1"/>
  <c r="B617" i="1"/>
  <c r="D226" i="1"/>
  <c r="D1675" i="1"/>
  <c r="B1089" i="1"/>
  <c r="B1500" i="1"/>
  <c r="E1650" i="1"/>
  <c r="D748" i="1"/>
  <c r="F672" i="1"/>
  <c r="D694" i="1"/>
  <c r="F199" i="1"/>
  <c r="E1608" i="1"/>
  <c r="D829" i="1"/>
  <c r="E1542" i="1"/>
  <c r="D85" i="1"/>
  <c r="F1362" i="1"/>
  <c r="B784" i="1"/>
  <c r="D1480" i="1"/>
  <c r="E1456" i="1"/>
  <c r="F18" i="1"/>
  <c r="D102" i="1"/>
  <c r="D880" i="1"/>
  <c r="F1588" i="1"/>
  <c r="E1758" i="1"/>
  <c r="B1568" i="1"/>
  <c r="E1264" i="1"/>
  <c r="G1757" i="1"/>
  <c r="C794" i="1"/>
  <c r="B123" i="1"/>
  <c r="F482" i="1"/>
  <c r="E1005" i="1"/>
  <c r="G594" i="1"/>
  <c r="F1551" i="1"/>
  <c r="C663" i="1"/>
  <c r="F425" i="1"/>
  <c r="F926" i="1"/>
  <c r="B119" i="1"/>
  <c r="F79" i="1"/>
  <c r="F804" i="1"/>
  <c r="D223" i="1"/>
  <c r="B934" i="1"/>
  <c r="F1772" i="1"/>
  <c r="B146" i="1"/>
  <c r="F779" i="1"/>
  <c r="C223" i="1"/>
  <c r="F973" i="1"/>
  <c r="D1349" i="1"/>
  <c r="C1570" i="1"/>
  <c r="B1644" i="1"/>
  <c r="C1787" i="1"/>
  <c r="E962" i="1"/>
  <c r="F223" i="1"/>
  <c r="B1248" i="1"/>
  <c r="C1156" i="1"/>
  <c r="B1207" i="1"/>
  <c r="B906" i="1"/>
  <c r="F643" i="1"/>
  <c r="B238" i="1"/>
  <c r="F586" i="1"/>
  <c r="D1071" i="1"/>
  <c r="F486" i="1"/>
  <c r="B1012" i="1"/>
  <c r="F1332" i="1"/>
  <c r="F184" i="1"/>
  <c r="F1452" i="1"/>
  <c r="C208" i="1"/>
  <c r="D315" i="1"/>
  <c r="B1084" i="1"/>
  <c r="C676" i="1"/>
  <c r="B317" i="1"/>
  <c r="D1738" i="1"/>
  <c r="B1046" i="1"/>
  <c r="F911" i="1"/>
  <c r="B1606" i="1"/>
  <c r="F1003" i="1"/>
  <c r="B764" i="1"/>
  <c r="D1641" i="1"/>
  <c r="D1500" i="1"/>
  <c r="E640" i="1"/>
  <c r="F1759" i="1"/>
  <c r="D79" i="1"/>
  <c r="F1053" i="1"/>
  <c r="D148" i="1"/>
  <c r="D120" i="1"/>
  <c r="F684" i="1"/>
  <c r="B1048" i="1"/>
  <c r="D179" i="1"/>
  <c r="D458" i="1"/>
  <c r="B70" i="1"/>
  <c r="D267" i="1"/>
  <c r="F774" i="1"/>
  <c r="C1306" i="1"/>
  <c r="F589" i="1"/>
  <c r="E598" i="1"/>
  <c r="E1364" i="1"/>
  <c r="E276" i="1"/>
  <c r="B1278" i="1"/>
  <c r="B1648" i="1"/>
  <c r="D332" i="1"/>
  <c r="E1516" i="1"/>
  <c r="C986" i="1"/>
  <c r="D510" i="1"/>
  <c r="B1040" i="1"/>
  <c r="D92" i="1"/>
  <c r="F176" i="1"/>
  <c r="F1853" i="1"/>
  <c r="D1272" i="1"/>
  <c r="D1793" i="1"/>
  <c r="D1078" i="1"/>
  <c r="E1700" i="1"/>
  <c r="D1818" i="1"/>
  <c r="C1166" i="1"/>
  <c r="F138" i="1"/>
  <c r="F937" i="1"/>
  <c r="D491" i="1"/>
  <c r="D1407" i="1"/>
  <c r="F483" i="1"/>
  <c r="B464" i="1"/>
  <c r="D71" i="1"/>
  <c r="B1462" i="1"/>
  <c r="F548" i="1"/>
  <c r="B1709" i="1"/>
  <c r="B1425" i="1"/>
  <c r="D756" i="1"/>
  <c r="B969" i="1"/>
  <c r="B742" i="1"/>
  <c r="B960" i="1"/>
  <c r="D1465" i="1"/>
  <c r="B234" i="1"/>
  <c r="E347" i="1"/>
  <c r="E1195" i="1"/>
  <c r="D363" i="1"/>
  <c r="E1189" i="1"/>
  <c r="D1650" i="1"/>
  <c r="E106" i="1"/>
  <c r="F420" i="1"/>
  <c r="B575" i="1"/>
  <c r="B1079" i="1"/>
  <c r="D1555" i="1"/>
  <c r="B1532" i="1"/>
  <c r="D1670" i="1"/>
  <c r="E1429" i="1"/>
  <c r="E991" i="1"/>
  <c r="C362" i="1"/>
  <c r="D1234" i="1"/>
  <c r="D1322" i="1"/>
  <c r="F1563" i="1"/>
  <c r="F907" i="1"/>
  <c r="B1317" i="1"/>
  <c r="D1012" i="1"/>
  <c r="B897" i="1"/>
  <c r="F1464" i="1"/>
  <c r="D1845" i="1"/>
  <c r="D1097" i="1"/>
  <c r="C908" i="1"/>
  <c r="F1822" i="1"/>
  <c r="F400" i="1"/>
  <c r="F467" i="1"/>
  <c r="C1125" i="1"/>
  <c r="C996" i="1"/>
  <c r="C983" i="1"/>
  <c r="F1606" i="1"/>
  <c r="B495" i="1"/>
  <c r="B1850" i="1"/>
  <c r="F712" i="1"/>
  <c r="C799" i="1"/>
  <c r="F626" i="1"/>
  <c r="B1663" i="1"/>
  <c r="E70" i="1"/>
  <c r="B193" i="1"/>
  <c r="C109" i="1"/>
  <c r="B529" i="1"/>
  <c r="D1328" i="1"/>
  <c r="C766" i="1"/>
  <c r="B1349" i="1"/>
  <c r="F362" i="1"/>
  <c r="B1061" i="1"/>
  <c r="C350" i="1"/>
  <c r="B87" i="1"/>
  <c r="C1710" i="1"/>
  <c r="B309" i="1"/>
  <c r="F555" i="1"/>
  <c r="F1752" i="1"/>
  <c r="B1677" i="1"/>
  <c r="F1073" i="1"/>
  <c r="E1332" i="1"/>
  <c r="F1143" i="1"/>
  <c r="C1170" i="1"/>
  <c r="C1112" i="1"/>
  <c r="C1660" i="1"/>
  <c r="E283" i="1"/>
  <c r="B1535" i="1"/>
  <c r="D1109" i="1"/>
  <c r="E1475" i="1"/>
  <c r="E1342" i="1"/>
  <c r="B439" i="1"/>
  <c r="C589" i="1"/>
  <c r="F107" i="1"/>
  <c r="F1715" i="1"/>
  <c r="F1611" i="1"/>
  <c r="B1021" i="1"/>
  <c r="F988" i="1"/>
  <c r="B937" i="1"/>
  <c r="D253" i="1"/>
  <c r="D1303" i="1"/>
  <c r="B772" i="1"/>
  <c r="B748" i="1"/>
  <c r="C1432" i="1"/>
  <c r="E1583" i="1"/>
  <c r="D378" i="1"/>
  <c r="B559" i="1"/>
  <c r="D840" i="1"/>
  <c r="F1635" i="1"/>
  <c r="E89" i="1"/>
  <c r="D1121" i="1"/>
  <c r="D1485" i="1"/>
  <c r="D652" i="1"/>
  <c r="F1780" i="1"/>
  <c r="D358" i="1"/>
  <c r="D1364" i="1"/>
  <c r="F567" i="1"/>
  <c r="E1514" i="1"/>
  <c r="F1211" i="1"/>
  <c r="D1736" i="1"/>
  <c r="E1024" i="1"/>
  <c r="B1003" i="1"/>
  <c r="D1137" i="1"/>
  <c r="D244" i="1"/>
  <c r="F47" i="1"/>
  <c r="F999" i="1"/>
  <c r="E923" i="1"/>
  <c r="B1787" i="1"/>
  <c r="F51" i="1"/>
  <c r="D1722" i="1"/>
  <c r="E237" i="1"/>
  <c r="B831" i="1"/>
  <c r="E1761" i="1"/>
  <c r="B150" i="1"/>
  <c r="D941" i="1"/>
  <c r="F173" i="1"/>
  <c r="B987" i="1"/>
  <c r="F1253" i="1"/>
  <c r="B9" i="1"/>
  <c r="B1489" i="1"/>
  <c r="D639" i="1"/>
  <c r="D1418" i="1"/>
  <c r="E45" i="1"/>
  <c r="B1730" i="1"/>
  <c r="B780" i="1"/>
  <c r="E1387" i="1"/>
  <c r="F1496" i="1"/>
  <c r="F353" i="1"/>
  <c r="B579" i="1"/>
  <c r="D338" i="1"/>
  <c r="F517" i="1"/>
  <c r="E749" i="1"/>
  <c r="B638" i="1"/>
  <c r="E745" i="1"/>
  <c r="E1826" i="1"/>
  <c r="C1460" i="1"/>
  <c r="C1062" i="1"/>
  <c r="C738" i="1"/>
  <c r="D668" i="1"/>
  <c r="E262" i="1"/>
  <c r="F228" i="1"/>
  <c r="F987" i="1"/>
  <c r="F1109" i="1"/>
  <c r="B68" i="1"/>
  <c r="B1765" i="1"/>
  <c r="E149" i="1"/>
  <c r="F1108" i="1"/>
  <c r="B370" i="1"/>
  <c r="B769" i="1"/>
  <c r="F372" i="1"/>
  <c r="B1296" i="1"/>
  <c r="F329" i="1"/>
  <c r="B83" i="1"/>
  <c r="B1033" i="1"/>
  <c r="C960" i="1"/>
  <c r="F352" i="1"/>
  <c r="B12" i="1"/>
  <c r="F990" i="1"/>
  <c r="C1346" i="1"/>
  <c r="F766" i="1"/>
  <c r="F534" i="1"/>
  <c r="F89" i="1"/>
  <c r="C69" i="1"/>
  <c r="F1019" i="1"/>
  <c r="F693" i="1"/>
  <c r="C505" i="1"/>
  <c r="B1135" i="1"/>
  <c r="F1549" i="1"/>
  <c r="F1187" i="1"/>
  <c r="F1372" i="1"/>
  <c r="D777" i="1"/>
  <c r="B1239" i="1"/>
  <c r="F998" i="1"/>
  <c r="C1850" i="1"/>
  <c r="F875" i="1"/>
  <c r="F111" i="1"/>
  <c r="D1445" i="1"/>
  <c r="B1457" i="1"/>
  <c r="F1415" i="1"/>
  <c r="F1570" i="1"/>
  <c r="D741" i="1"/>
  <c r="F1783" i="1"/>
  <c r="B537" i="1"/>
  <c r="F657" i="1"/>
  <c r="F1449" i="1"/>
  <c r="D1702" i="1"/>
  <c r="F1042" i="1"/>
  <c r="F366" i="1"/>
  <c r="B1499" i="1"/>
  <c r="F560" i="1"/>
  <c r="B1789" i="1"/>
  <c r="D1664" i="1"/>
  <c r="B1516" i="1"/>
  <c r="F1482" i="1"/>
  <c r="B695" i="1"/>
  <c r="D1628" i="1"/>
  <c r="E29" i="1"/>
  <c r="B671" i="1"/>
  <c r="F501" i="1"/>
  <c r="F215" i="1"/>
  <c r="E551" i="1"/>
  <c r="D644" i="1"/>
  <c r="D1563" i="1"/>
  <c r="F1621" i="1"/>
  <c r="D88" i="1"/>
  <c r="B1026" i="1"/>
  <c r="E298" i="1"/>
  <c r="D1162" i="1"/>
  <c r="D770" i="1"/>
  <c r="B352" i="1"/>
  <c r="B1280" i="1"/>
  <c r="E1118" i="1"/>
  <c r="F908" i="1"/>
  <c r="D601" i="1"/>
  <c r="B1713" i="1"/>
  <c r="D799" i="1"/>
  <c r="B750" i="1"/>
  <c r="C652" i="1"/>
  <c r="D778" i="1"/>
  <c r="B519" i="1"/>
  <c r="E1784" i="1"/>
  <c r="F1204" i="1"/>
  <c r="B907" i="1"/>
  <c r="F1679" i="1"/>
  <c r="F1057" i="1"/>
  <c r="B739" i="1"/>
  <c r="D1329" i="1"/>
  <c r="B73" i="1"/>
  <c r="D633" i="1"/>
  <c r="E748" i="1"/>
  <c r="E401" i="1"/>
  <c r="B1476" i="1"/>
  <c r="B1790" i="1"/>
  <c r="F1246" i="1"/>
  <c r="F669" i="1"/>
  <c r="B379" i="1"/>
  <c r="B1197" i="1"/>
  <c r="D321" i="1"/>
  <c r="B1174" i="1"/>
  <c r="E88" i="1"/>
  <c r="D367" i="1"/>
  <c r="B1306" i="1"/>
  <c r="B497" i="1"/>
  <c r="D814" i="1"/>
  <c r="F156" i="1"/>
  <c r="C1703" i="1"/>
  <c r="F922" i="1"/>
  <c r="B1171" i="1"/>
  <c r="D307" i="1"/>
  <c r="E1536" i="1"/>
  <c r="D977" i="1"/>
  <c r="B192" i="1"/>
  <c r="E1561" i="1"/>
  <c r="F1394" i="1"/>
  <c r="B908" i="1"/>
  <c r="B350" i="1"/>
  <c r="E926" i="1"/>
  <c r="E989" i="1"/>
  <c r="B767" i="1"/>
  <c r="B1044" i="1"/>
  <c r="E833" i="1"/>
  <c r="E626" i="1"/>
  <c r="D1197" i="1"/>
  <c r="C1186" i="1"/>
  <c r="F334" i="1"/>
  <c r="C745" i="1"/>
  <c r="B354" i="1"/>
  <c r="F663" i="1"/>
  <c r="B463" i="1"/>
  <c r="F1125" i="1"/>
  <c r="C1435" i="1"/>
  <c r="F1002" i="1"/>
  <c r="B489" i="1"/>
  <c r="D1776" i="1"/>
  <c r="F1059" i="1"/>
  <c r="E1578" i="1"/>
  <c r="B1056" i="1"/>
  <c r="F1454" i="1"/>
  <c r="B457" i="1"/>
  <c r="F1029" i="1"/>
  <c r="C721" i="1"/>
  <c r="D1556" i="1"/>
  <c r="B1162" i="1"/>
  <c r="F464" i="1"/>
  <c r="E602" i="1"/>
  <c r="E924" i="1"/>
  <c r="C36" i="1"/>
  <c r="D1559" i="1"/>
  <c r="F957" i="1"/>
  <c r="D1684" i="1"/>
  <c r="B39" i="1"/>
  <c r="B1493" i="1"/>
  <c r="F1272" i="1"/>
  <c r="C1699" i="1"/>
  <c r="B1104" i="1"/>
  <c r="B1407" i="1"/>
  <c r="C1519" i="1"/>
  <c r="F1656" i="1"/>
  <c r="F1733" i="1"/>
  <c r="D671" i="1"/>
  <c r="F763" i="1"/>
  <c r="B979" i="1"/>
  <c r="E1567" i="1"/>
  <c r="B134" i="1"/>
  <c r="F1500" i="1"/>
  <c r="B1477" i="1"/>
  <c r="F1607" i="1"/>
  <c r="F675" i="1"/>
  <c r="F1071" i="1"/>
  <c r="B603" i="1"/>
  <c r="B1513" i="1"/>
  <c r="E592" i="1"/>
  <c r="B401" i="1"/>
  <c r="E1771" i="1"/>
  <c r="D112" i="1"/>
  <c r="B1701" i="1"/>
  <c r="E224" i="1"/>
  <c r="D1213" i="1"/>
  <c r="B1503" i="1"/>
  <c r="B1542" i="1"/>
  <c r="D523" i="1"/>
  <c r="B1261" i="1"/>
  <c r="D1171" i="1"/>
  <c r="D439" i="1"/>
  <c r="E333" i="1"/>
  <c r="F313" i="1"/>
  <c r="D1168" i="1"/>
  <c r="D1582" i="1"/>
  <c r="B1265" i="1"/>
  <c r="B1202" i="1"/>
  <c r="B204" i="1"/>
  <c r="B1711" i="1"/>
  <c r="F180" i="1"/>
  <c r="D1712" i="1"/>
  <c r="E1656" i="1"/>
  <c r="D1507" i="1"/>
  <c r="F742" i="1"/>
  <c r="B759" i="1"/>
  <c r="D356" i="1"/>
  <c r="F255" i="1"/>
  <c r="E1856" i="1"/>
  <c r="D61" i="1"/>
  <c r="F945" i="1"/>
  <c r="D800" i="1"/>
  <c r="D235" i="1"/>
  <c r="B140" i="1"/>
  <c r="E1809" i="1"/>
  <c r="B1562" i="1"/>
  <c r="B643" i="1"/>
  <c r="D1490" i="1"/>
  <c r="B853" i="1"/>
  <c r="B1549" i="1"/>
  <c r="E1064" i="1"/>
  <c r="E899" i="1"/>
  <c r="D527" i="1"/>
  <c r="B483" i="1"/>
  <c r="D575" i="1"/>
  <c r="E611" i="1"/>
  <c r="E1722" i="1"/>
  <c r="B1149" i="1"/>
  <c r="B963" i="1"/>
  <c r="B1501" i="1"/>
  <c r="B407" i="1"/>
  <c r="F868" i="1"/>
  <c r="D418" i="1"/>
  <c r="E487" i="1"/>
  <c r="E1553" i="1"/>
  <c r="D1286" i="1"/>
  <c r="B1824" i="1"/>
  <c r="F71" i="1"/>
  <c r="D1309" i="1"/>
  <c r="B1699" i="1"/>
  <c r="B1541" i="1"/>
  <c r="B188" i="1"/>
  <c r="B676" i="1"/>
  <c r="D858" i="1"/>
  <c r="D1015" i="1"/>
  <c r="E26" i="1"/>
  <c r="D210" i="1"/>
  <c r="C841" i="1"/>
  <c r="F158" i="1"/>
  <c r="B259" i="1"/>
  <c r="C1499" i="1"/>
  <c r="F1035" i="1"/>
  <c r="F1672" i="1"/>
  <c r="C1009" i="1"/>
  <c r="F491" i="1"/>
  <c r="F841" i="1"/>
  <c r="F235" i="1"/>
  <c r="B1267" i="1"/>
  <c r="D645" i="1"/>
  <c r="B558" i="1"/>
  <c r="B50" i="1"/>
  <c r="D1363" i="1"/>
  <c r="F604" i="1"/>
  <c r="B1168" i="1"/>
  <c r="F1334" i="1"/>
  <c r="F1417" i="1"/>
  <c r="F1401" i="1"/>
  <c r="F958" i="1"/>
  <c r="C1360" i="1"/>
  <c r="F839" i="1"/>
  <c r="B1678" i="1"/>
  <c r="F1342" i="1"/>
  <c r="C1624" i="1"/>
  <c r="B1585" i="1"/>
  <c r="F1585" i="1"/>
  <c r="B1090" i="1"/>
  <c r="C1425" i="1"/>
  <c r="B215" i="1"/>
  <c r="F185" i="1"/>
  <c r="C1222" i="1"/>
  <c r="D1543" i="1"/>
  <c r="F1580" i="1"/>
  <c r="C660" i="1"/>
  <c r="E1721" i="1"/>
  <c r="F485" i="1"/>
  <c r="F579" i="1"/>
  <c r="D591" i="1"/>
  <c r="B1112" i="1"/>
  <c r="C1251" i="1"/>
  <c r="B505" i="1"/>
  <c r="B1722" i="1"/>
  <c r="B1674" i="1"/>
  <c r="B22" i="1"/>
  <c r="D175" i="1"/>
  <c r="D1274" i="1"/>
  <c r="B883" i="1"/>
  <c r="D1469" i="1"/>
  <c r="E1293" i="1"/>
  <c r="B1421" i="1"/>
  <c r="F181" i="1"/>
  <c r="F189" i="1"/>
  <c r="F1353" i="1"/>
  <c r="B1592" i="1"/>
  <c r="D966" i="1"/>
  <c r="E1612" i="1"/>
  <c r="E432" i="1"/>
  <c r="B1579" i="1"/>
  <c r="E1777" i="1"/>
  <c r="D259" i="1"/>
  <c r="F1352" i="1"/>
  <c r="F837" i="1"/>
  <c r="F563" i="1"/>
  <c r="B382" i="1"/>
  <c r="F551" i="1"/>
  <c r="F474" i="1"/>
  <c r="F1297" i="1"/>
  <c r="E1081" i="1"/>
  <c r="D89" i="1"/>
  <c r="F1051" i="1"/>
  <c r="F1158" i="1"/>
  <c r="F1738" i="1"/>
  <c r="B941" i="1"/>
  <c r="E1789" i="1"/>
  <c r="E310" i="1"/>
  <c r="D618" i="1"/>
  <c r="B42" i="1"/>
  <c r="F920" i="1"/>
  <c r="F1739" i="1"/>
  <c r="D866" i="1"/>
  <c r="E1702" i="1"/>
  <c r="B339" i="1"/>
  <c r="F394" i="1"/>
  <c r="E1750" i="1"/>
  <c r="F518" i="1"/>
  <c r="F941" i="1"/>
  <c r="B422" i="1"/>
  <c r="B670" i="1"/>
  <c r="D600" i="1"/>
  <c r="D867" i="1"/>
  <c r="D1351" i="1"/>
  <c r="D36" i="1"/>
  <c r="G1235" i="1"/>
  <c r="D126" i="1"/>
  <c r="F917" i="1"/>
  <c r="B244" i="1"/>
  <c r="F696" i="1"/>
  <c r="B465" i="1"/>
  <c r="E1639" i="1"/>
  <c r="E1435" i="1"/>
  <c r="E1633" i="1"/>
  <c r="B1591" i="1"/>
  <c r="B286" i="1"/>
  <c r="F1468" i="1"/>
  <c r="F581" i="1"/>
  <c r="C1313" i="1"/>
  <c r="F163" i="1"/>
  <c r="F556" i="1"/>
  <c r="B795" i="1"/>
  <c r="E916" i="1"/>
  <c r="B837" i="1"/>
  <c r="E1799" i="1"/>
  <c r="B1491" i="1"/>
  <c r="E480" i="1"/>
  <c r="B1186" i="1"/>
  <c r="F850" i="1"/>
  <c r="B18" i="1"/>
  <c r="C973" i="1"/>
  <c r="D187" i="1"/>
  <c r="B786" i="1"/>
  <c r="D551" i="1"/>
  <c r="D499" i="1"/>
  <c r="F808" i="1"/>
  <c r="D934" i="1"/>
  <c r="F1338" i="1"/>
  <c r="F1632" i="1"/>
  <c r="C1784" i="1"/>
  <c r="C732" i="1"/>
  <c r="F961" i="1"/>
  <c r="B1016" i="1"/>
  <c r="C1718" i="1"/>
  <c r="D1756" i="1"/>
  <c r="B751" i="1"/>
  <c r="B633" i="1"/>
  <c r="C1199" i="1"/>
  <c r="B1081" i="1"/>
  <c r="D495" i="1"/>
  <c r="F903" i="1"/>
  <c r="F1322" i="1"/>
  <c r="E854" i="1"/>
  <c r="B817" i="1"/>
  <c r="F1340" i="1"/>
  <c r="F1768" i="1"/>
  <c r="B358" i="1"/>
  <c r="B890" i="1"/>
  <c r="D1516" i="1"/>
  <c r="F1360" i="1"/>
  <c r="F833" i="1"/>
  <c r="E518" i="1"/>
  <c r="B1813" i="1"/>
  <c r="C1845" i="1"/>
  <c r="C476" i="1"/>
  <c r="B338" i="1"/>
  <c r="E1504" i="1"/>
  <c r="F1174" i="1"/>
  <c r="D185" i="1"/>
  <c r="F1349" i="1"/>
  <c r="B1640" i="1"/>
  <c r="F756" i="1"/>
  <c r="F1317" i="1"/>
  <c r="C392" i="1"/>
  <c r="F615" i="1"/>
  <c r="F1722" i="1"/>
  <c r="B1690" i="1"/>
  <c r="D1586" i="1"/>
  <c r="B527" i="1"/>
  <c r="C919" i="1"/>
  <c r="C132" i="1"/>
  <c r="D1798" i="1"/>
  <c r="B61" i="1"/>
  <c r="B6" i="1"/>
  <c r="B343" i="1"/>
  <c r="D63" i="1"/>
  <c r="E801" i="1"/>
  <c r="F1758" i="1"/>
  <c r="B485" i="1"/>
  <c r="B884" i="1"/>
  <c r="E476" i="1"/>
  <c r="B1479" i="1"/>
  <c r="B345" i="1"/>
  <c r="D626" i="1"/>
  <c r="B1064" i="1"/>
  <c r="F1049" i="1"/>
  <c r="D1651" i="1"/>
  <c r="B650" i="1"/>
  <c r="D738" i="1"/>
  <c r="E1628" i="1"/>
  <c r="E943" i="1"/>
  <c r="F612" i="1"/>
  <c r="B137" i="1"/>
  <c r="B1170" i="1"/>
  <c r="F354" i="1"/>
  <c r="B749" i="1"/>
  <c r="D552" i="1"/>
  <c r="F906" i="1"/>
  <c r="E789" i="1"/>
  <c r="B679" i="1"/>
  <c r="E3" i="1"/>
  <c r="D1489" i="1"/>
  <c r="F21" i="1"/>
  <c r="F512" i="1"/>
  <c r="F628" i="1"/>
  <c r="F1794" i="1"/>
  <c r="D1839" i="1"/>
  <c r="E231" i="1"/>
  <c r="B1051" i="1"/>
  <c r="B1182" i="1"/>
  <c r="E1003" i="1"/>
  <c r="B944" i="1"/>
  <c r="B919" i="1"/>
  <c r="F1391" i="1"/>
  <c r="B333" i="1"/>
  <c r="D1856" i="1"/>
  <c r="F9" i="1"/>
  <c r="D1479" i="1"/>
  <c r="B1442" i="1"/>
  <c r="E1351" i="1"/>
  <c r="E1333" i="1"/>
  <c r="E209" i="1"/>
  <c r="C1424" i="1"/>
  <c r="D597" i="1"/>
  <c r="E1345" i="1"/>
  <c r="D1737" i="1"/>
  <c r="D22" i="1"/>
  <c r="D817" i="1"/>
  <c r="F44" i="1"/>
  <c r="E1644" i="1"/>
  <c r="D1051" i="1"/>
  <c r="B1737" i="1"/>
  <c r="E981" i="1"/>
  <c r="C1136" i="1"/>
  <c r="F1651" i="1"/>
  <c r="F1566" i="1"/>
  <c r="D960" i="1"/>
  <c r="B611" i="1"/>
  <c r="D980" i="1"/>
  <c r="D553" i="1"/>
  <c r="B1796" i="1"/>
  <c r="B778" i="1"/>
  <c r="D238" i="1"/>
  <c r="E1549" i="1"/>
  <c r="F1756" i="1"/>
  <c r="F794" i="1"/>
  <c r="F1487" i="1"/>
  <c r="F1812" i="1"/>
  <c r="D831" i="1"/>
  <c r="F710" i="1"/>
  <c r="E1461" i="1"/>
  <c r="D1124" i="1"/>
  <c r="B445" i="1"/>
  <c r="E985" i="1"/>
  <c r="F772" i="1"/>
  <c r="C1064" i="1"/>
  <c r="F1450" i="1"/>
  <c r="D847" i="1"/>
  <c r="C1791" i="1"/>
  <c r="F1594" i="1"/>
  <c r="C67" i="1"/>
  <c r="D964" i="1"/>
  <c r="B1071" i="1"/>
  <c r="F1703" i="1"/>
  <c r="F1777" i="1"/>
  <c r="C1080" i="1"/>
  <c r="D1536" i="1"/>
  <c r="B923" i="1"/>
  <c r="F629" i="1"/>
  <c r="B389" i="1"/>
  <c r="E942" i="1"/>
  <c r="C151" i="1"/>
  <c r="B1141" i="1"/>
  <c r="D31" i="1"/>
  <c r="F1126" i="1"/>
  <c r="F351" i="1"/>
  <c r="D739" i="1"/>
  <c r="F931" i="1"/>
  <c r="B1198" i="1"/>
  <c r="D379" i="1"/>
  <c r="F130" i="1"/>
  <c r="B1364" i="1"/>
  <c r="F1404" i="1"/>
  <c r="D765" i="1"/>
  <c r="F360" i="1"/>
  <c r="F321" i="1"/>
  <c r="B1272" i="1"/>
  <c r="C632" i="1"/>
  <c r="F1390" i="1"/>
  <c r="B1240" i="1"/>
  <c r="B1602" i="1"/>
  <c r="C152" i="1"/>
  <c r="B604" i="1"/>
  <c r="B1643" i="1"/>
  <c r="F84" i="1"/>
  <c r="B1401" i="1"/>
  <c r="F1072" i="1"/>
  <c r="D119" i="1"/>
  <c r="F1052" i="1"/>
  <c r="B816" i="1"/>
  <c r="F1287" i="1"/>
  <c r="D689" i="1"/>
  <c r="F935" i="1"/>
  <c r="D1112" i="1"/>
  <c r="D1796" i="1"/>
  <c r="B1537" i="1"/>
  <c r="E1806" i="1"/>
  <c r="E1048" i="1"/>
  <c r="D845" i="1"/>
  <c r="B975" i="1"/>
  <c r="D1589" i="1"/>
  <c r="D1411" i="1"/>
  <c r="F527" i="1"/>
  <c r="B581" i="1"/>
  <c r="D1405" i="1"/>
  <c r="D1624" i="1"/>
  <c r="E1236" i="1"/>
  <c r="B141" i="1"/>
  <c r="C1044" i="1"/>
  <c r="B1068" i="1"/>
  <c r="B1756" i="1"/>
  <c r="B1057" i="1"/>
  <c r="D805" i="1"/>
  <c r="D1709" i="1"/>
  <c r="D448" i="1"/>
  <c r="D408" i="1"/>
  <c r="D501" i="1"/>
  <c r="E872" i="1"/>
  <c r="E402" i="1"/>
  <c r="F547" i="1"/>
  <c r="F36" i="1"/>
  <c r="D598" i="1"/>
  <c r="B1429" i="1"/>
  <c r="B1153" i="1"/>
  <c r="B552" i="1"/>
  <c r="E633" i="1"/>
  <c r="B276" i="1"/>
  <c r="B1486" i="1"/>
  <c r="D151" i="1"/>
  <c r="E46" i="1"/>
  <c r="B1042" i="1"/>
  <c r="C175" i="1"/>
  <c r="B899" i="1"/>
  <c r="F855" i="1"/>
  <c r="B461" i="1"/>
  <c r="D1227" i="1"/>
  <c r="E1026" i="1"/>
  <c r="E856" i="1"/>
  <c r="B365" i="1"/>
  <c r="B178" i="1"/>
  <c r="F436" i="1"/>
  <c r="D1658" i="1"/>
  <c r="D289" i="1"/>
  <c r="B1856" i="1"/>
  <c r="B1529" i="1"/>
  <c r="C1190" i="1"/>
  <c r="E1231" i="1"/>
  <c r="B308" i="1"/>
  <c r="D1610" i="1"/>
  <c r="B672" i="1"/>
  <c r="E684" i="1"/>
  <c r="F847" i="1"/>
  <c r="E1201" i="1"/>
  <c r="B1464" i="1"/>
  <c r="B636" i="1"/>
  <c r="D706" i="1"/>
  <c r="D930" i="1"/>
  <c r="D1644" i="1"/>
  <c r="E2" i="1"/>
  <c r="D122" i="1"/>
  <c r="E314" i="1"/>
  <c r="F1305" i="1"/>
  <c r="D822" i="1"/>
  <c r="F299" i="1"/>
  <c r="B1828" i="1"/>
  <c r="F1100" i="1"/>
  <c r="D1452" i="1"/>
  <c r="D1633" i="1"/>
  <c r="D56" i="1"/>
  <c r="B790" i="1"/>
  <c r="B1570" i="1"/>
  <c r="B375" i="1"/>
  <c r="E1393" i="1"/>
  <c r="C1211" i="1"/>
  <c r="B707" i="1"/>
  <c r="E1322" i="1"/>
  <c r="F529" i="1"/>
  <c r="E1093" i="1"/>
  <c r="F1457" i="1"/>
  <c r="F70" i="1"/>
  <c r="F611" i="1"/>
  <c r="F1266" i="1"/>
  <c r="B1286" i="1"/>
  <c r="C581" i="1"/>
  <c r="B330" i="1"/>
  <c r="B1410" i="1"/>
  <c r="C1095" i="1"/>
  <c r="F1626" i="1"/>
  <c r="B1399" i="1"/>
  <c r="D833" i="1"/>
  <c r="B272" i="1"/>
  <c r="E458" i="1"/>
  <c r="F429" i="1"/>
  <c r="E1555" i="1"/>
  <c r="C1501" i="1"/>
  <c r="B1257" i="1"/>
  <c r="D180" i="1"/>
  <c r="F1063" i="1"/>
  <c r="F1056" i="1"/>
  <c r="D1673" i="1"/>
  <c r="B788" i="1"/>
  <c r="B712" i="1"/>
  <c r="E1735" i="1"/>
  <c r="D1568" i="1"/>
  <c r="F829" i="1"/>
  <c r="F711" i="1"/>
  <c r="D642" i="1"/>
  <c r="B804" i="1"/>
  <c r="F1699" i="1"/>
  <c r="B55" i="1"/>
  <c r="B237" i="1"/>
  <c r="B452" i="1"/>
  <c r="B1037" i="1"/>
  <c r="D1161" i="1"/>
  <c r="D396" i="1"/>
  <c r="E1710" i="1"/>
  <c r="E1261" i="1"/>
  <c r="D5" i="1"/>
  <c r="F1118" i="1"/>
  <c r="C173" i="1"/>
  <c r="F1212" i="1"/>
  <c r="B1058" i="1"/>
  <c r="F1663" i="1"/>
  <c r="F505" i="1"/>
  <c r="B688" i="1"/>
  <c r="E945" i="1"/>
  <c r="B1357" i="1"/>
  <c r="D1620" i="1"/>
  <c r="D107" i="1"/>
  <c r="D106" i="1"/>
  <c r="E1219" i="1"/>
  <c r="D245" i="1"/>
  <c r="D522" i="1"/>
  <c r="E324" i="1"/>
  <c r="B572" i="1"/>
  <c r="F1303" i="1"/>
  <c r="E117" i="1"/>
  <c r="E418" i="1"/>
  <c r="E763" i="1"/>
  <c r="F497" i="1"/>
  <c r="E501" i="1"/>
  <c r="B47" i="1"/>
  <c r="B1450" i="1"/>
  <c r="D285" i="1"/>
  <c r="D506" i="1"/>
  <c r="B811" i="1"/>
  <c r="B957" i="1"/>
  <c r="B213" i="1"/>
  <c r="E1015" i="1"/>
  <c r="E687" i="1"/>
  <c r="B1517" i="1"/>
  <c r="B415" i="1"/>
  <c r="C1157" i="1"/>
  <c r="E392" i="1"/>
  <c r="E1307" i="1"/>
  <c r="D1211" i="1"/>
  <c r="D1542" i="1"/>
  <c r="D554" i="1"/>
  <c r="D1767" i="1"/>
  <c r="E739" i="1"/>
  <c r="E201" i="1"/>
  <c r="F1436" i="1"/>
  <c r="E280" i="1"/>
  <c r="B1109" i="1"/>
  <c r="E630" i="1"/>
  <c r="B657" i="1"/>
  <c r="D556" i="1"/>
  <c r="E299" i="1"/>
  <c r="E1239" i="1"/>
  <c r="E1303" i="1"/>
  <c r="E1056" i="1"/>
  <c r="C921" i="1"/>
  <c r="F1293" i="1"/>
  <c r="E1109" i="1"/>
  <c r="D955" i="1"/>
  <c r="E1452" i="1"/>
  <c r="D1179" i="1"/>
  <c r="F822" i="1"/>
  <c r="D1104" i="1"/>
  <c r="D1729" i="1"/>
  <c r="D1678" i="1"/>
  <c r="E1699" i="1"/>
  <c r="F1708" i="1"/>
  <c r="B576" i="1"/>
  <c r="B1645" i="1"/>
  <c r="D1438" i="1"/>
  <c r="D1158" i="1"/>
  <c r="E863" i="1"/>
  <c r="C1074" i="1"/>
  <c r="E530" i="1"/>
  <c r="E1418" i="1"/>
  <c r="E1204" i="1"/>
  <c r="E386" i="1"/>
  <c r="F1160" i="1"/>
  <c r="D1444" i="1"/>
  <c r="E1830" i="1"/>
  <c r="D859" i="1"/>
  <c r="E146" i="1"/>
  <c r="E353" i="1"/>
  <c r="D503" i="1"/>
  <c r="D1135" i="1"/>
  <c r="D1222" i="1"/>
  <c r="D209" i="1"/>
  <c r="D681" i="1"/>
  <c r="E37" i="1"/>
  <c r="E352" i="1"/>
  <c r="D981" i="1"/>
  <c r="E1198" i="1"/>
  <c r="C1349" i="1"/>
  <c r="D1243" i="1"/>
  <c r="F1556" i="1"/>
  <c r="C725" i="1"/>
  <c r="B613" i="1"/>
  <c r="B434" i="1"/>
  <c r="F475" i="1"/>
  <c r="D1499" i="1"/>
  <c r="F1766" i="1"/>
  <c r="F1512" i="1"/>
  <c r="B267" i="1"/>
  <c r="D1409" i="1"/>
  <c r="B69" i="1"/>
  <c r="F195" i="1"/>
  <c r="F1162" i="1"/>
  <c r="D99" i="1"/>
  <c r="B1608" i="1"/>
  <c r="B1553" i="1"/>
  <c r="F12" i="1"/>
  <c r="F45" i="1"/>
  <c r="B99" i="1"/>
  <c r="B1346" i="1"/>
  <c r="F865" i="1"/>
  <c r="F402" i="1"/>
  <c r="E844" i="1"/>
  <c r="F1403" i="1"/>
  <c r="D686" i="1"/>
  <c r="F338" i="1"/>
  <c r="F1690" i="1"/>
  <c r="D690" i="1"/>
  <c r="F26" i="1"/>
  <c r="F1480" i="1"/>
  <c r="D786" i="1"/>
  <c r="B1297" i="1"/>
  <c r="D1048" i="1"/>
  <c r="F650" i="1"/>
  <c r="B1331" i="1"/>
  <c r="C518" i="1"/>
  <c r="F273" i="1"/>
  <c r="B1686" i="1"/>
  <c r="B1341" i="1"/>
  <c r="F1387" i="1"/>
  <c r="E1559" i="1"/>
  <c r="E922" i="1"/>
  <c r="F391" i="1"/>
  <c r="C955" i="1"/>
  <c r="F1326" i="1"/>
  <c r="B277" i="1"/>
  <c r="F671" i="1"/>
  <c r="D1421" i="1"/>
  <c r="F1523" i="1"/>
  <c r="E1834" i="1"/>
  <c r="B1314" i="1"/>
  <c r="C467" i="1"/>
  <c r="D1506" i="1"/>
  <c r="E318" i="1"/>
  <c r="F1177" i="1"/>
  <c r="D72" i="1"/>
  <c r="B1249" i="1"/>
  <c r="B1354" i="1"/>
  <c r="F453" i="1"/>
  <c r="E94" i="1"/>
  <c r="E1543" i="1"/>
  <c r="D735" i="1"/>
  <c r="D721" i="1"/>
  <c r="D1183" i="1"/>
  <c r="F925" i="1"/>
  <c r="B23" i="1"/>
  <c r="B248" i="1"/>
  <c r="E195" i="1"/>
  <c r="B725" i="1"/>
  <c r="E1121" i="1"/>
  <c r="E706" i="1"/>
  <c r="E303" i="1"/>
  <c r="E1232" i="1"/>
  <c r="E168" i="1"/>
  <c r="E572" i="1"/>
  <c r="D227" i="1"/>
  <c r="D1659" i="1"/>
  <c r="D1787" i="1"/>
  <c r="D715" i="1"/>
  <c r="E1712" i="1"/>
  <c r="F355" i="1"/>
  <c r="D310" i="1"/>
  <c r="D1264" i="1"/>
  <c r="D1794" i="1"/>
  <c r="D865" i="1"/>
  <c r="E946" i="1"/>
  <c r="B1661" i="1"/>
  <c r="E1760" i="1"/>
  <c r="D1596" i="1"/>
  <c r="B567" i="1"/>
  <c r="B1387" i="1"/>
  <c r="E1844" i="1"/>
  <c r="E865" i="1"/>
  <c r="B838" i="1"/>
  <c r="E1825" i="1"/>
  <c r="E73" i="1"/>
  <c r="F463" i="1"/>
  <c r="E1223" i="1"/>
  <c r="D1416" i="1"/>
  <c r="D672" i="1"/>
  <c r="D767" i="1"/>
  <c r="D874" i="1"/>
  <c r="D1380" i="1"/>
  <c r="E732" i="1"/>
  <c r="E1318" i="1"/>
  <c r="E1651" i="1"/>
  <c r="E629" i="1"/>
  <c r="B542" i="1"/>
  <c r="D134" i="1"/>
  <c r="E957" i="1"/>
  <c r="D1496" i="1"/>
  <c r="B1011" i="1"/>
  <c r="D1201" i="1"/>
  <c r="D517" i="1"/>
  <c r="E255" i="1"/>
  <c r="E1211" i="1"/>
  <c r="E841" i="1"/>
  <c r="D792" i="1"/>
  <c r="B1362" i="1"/>
  <c r="F85" i="1"/>
  <c r="B1569" i="1"/>
  <c r="B556" i="1"/>
  <c r="F345" i="1"/>
  <c r="D985" i="1"/>
  <c r="D581" i="1"/>
  <c r="E1570" i="1"/>
  <c r="D2" i="1"/>
  <c r="B1582" i="1"/>
  <c r="B54" i="1"/>
  <c r="D653" i="1"/>
  <c r="B1552" i="1"/>
  <c r="D295" i="1"/>
  <c r="D1705" i="1"/>
  <c r="B1105" i="1"/>
  <c r="C5" i="1"/>
  <c r="B1595" i="1"/>
  <c r="C495" i="1"/>
  <c r="F197" i="1"/>
  <c r="B1485" i="1"/>
  <c r="F417" i="1"/>
  <c r="F1477" i="1"/>
  <c r="D1099" i="1"/>
  <c r="D979" i="1"/>
  <c r="D353" i="1"/>
  <c r="C1602" i="1"/>
  <c r="D1431" i="1"/>
  <c r="B1736" i="1"/>
  <c r="B992" i="1"/>
  <c r="D258" i="1"/>
  <c r="B1405" i="1"/>
  <c r="F944" i="1"/>
  <c r="E440" i="1"/>
  <c r="B800" i="1"/>
  <c r="D1663" i="1"/>
  <c r="F358" i="1"/>
  <c r="E1684" i="1"/>
  <c r="D818" i="1"/>
  <c r="F731" i="1"/>
  <c r="F1146" i="1"/>
  <c r="D1493" i="1"/>
  <c r="E935" i="1"/>
  <c r="B901" i="1"/>
  <c r="D123" i="1"/>
  <c r="C906" i="1"/>
  <c r="D1357" i="1"/>
  <c r="D1852" i="1"/>
  <c r="C537" i="1"/>
  <c r="B859" i="1"/>
  <c r="B1313" i="1"/>
  <c r="B71" i="1"/>
  <c r="D711" i="1"/>
  <c r="F741" i="1"/>
  <c r="D1016" i="1"/>
  <c r="D1734" i="1"/>
  <c r="E547" i="1"/>
  <c r="D1464" i="1"/>
  <c r="D1768" i="1"/>
  <c r="D1797" i="1"/>
  <c r="F951" i="1"/>
  <c r="D958" i="1"/>
  <c r="B1325" i="1"/>
  <c r="F1245" i="1"/>
  <c r="D1346" i="1"/>
  <c r="B1684" i="1"/>
  <c r="E1052" i="1"/>
  <c r="B1416" i="1"/>
  <c r="D722" i="1"/>
  <c r="D853" i="1"/>
  <c r="D1372" i="1"/>
  <c r="F636" i="1"/>
  <c r="E587" i="1"/>
  <c r="D1540" i="1"/>
  <c r="B408" i="1"/>
  <c r="F1384" i="1"/>
  <c r="D318" i="1"/>
  <c r="E1050" i="1"/>
  <c r="F145" i="1"/>
  <c r="D1758" i="1"/>
  <c r="B488" i="1"/>
  <c r="C1037" i="1"/>
  <c r="E356" i="1"/>
  <c r="B377" i="1"/>
  <c r="D1602" i="1"/>
  <c r="E400" i="1"/>
  <c r="E1161" i="1"/>
  <c r="D614" i="1"/>
  <c r="B1294" i="1"/>
  <c r="E341" i="1"/>
  <c r="E790" i="1"/>
  <c r="E1280" i="1"/>
  <c r="E1417" i="1"/>
  <c r="B1043" i="1"/>
  <c r="E1297" i="1"/>
  <c r="D1772" i="1"/>
  <c r="D1065" i="1"/>
  <c r="D24" i="1"/>
  <c r="B1682" i="1"/>
  <c r="E439" i="1"/>
  <c r="E214" i="1"/>
  <c r="E952" i="1"/>
  <c r="E1249" i="1"/>
  <c r="F1711" i="1"/>
  <c r="F1152" i="1"/>
  <c r="E1682" i="1"/>
  <c r="B571" i="1"/>
  <c r="B736" i="1"/>
  <c r="B1143" i="1"/>
  <c r="E1281" i="1"/>
  <c r="E445" i="1"/>
  <c r="B1715" i="1"/>
  <c r="D1308" i="1"/>
  <c r="F893" i="1"/>
  <c r="D1276" i="1"/>
  <c r="D336" i="1"/>
  <c r="D487" i="1"/>
  <c r="D1392" i="1"/>
  <c r="B903" i="1"/>
  <c r="B253" i="1"/>
  <c r="E506" i="1"/>
  <c r="D1825" i="1"/>
  <c r="E738" i="1"/>
  <c r="E178" i="1"/>
  <c r="B1015" i="1"/>
  <c r="B1689" i="1"/>
  <c r="F24" i="1"/>
  <c r="E604" i="1"/>
  <c r="D1679" i="1"/>
  <c r="B256" i="1"/>
  <c r="D776" i="1"/>
  <c r="E826" i="1"/>
  <c r="D1270" i="1"/>
  <c r="D1215" i="1"/>
  <c r="B827" i="1"/>
  <c r="B882" i="1"/>
  <c r="B1438" i="1"/>
  <c r="F1087" i="1"/>
  <c r="C1415" i="1"/>
  <c r="D621" i="1"/>
  <c r="B826" i="1"/>
  <c r="E1019" i="1"/>
  <c r="E389" i="1"/>
  <c r="B1392" i="1"/>
  <c r="E338" i="1"/>
  <c r="B222" i="1"/>
  <c r="E85" i="1"/>
  <c r="B1282" i="1"/>
  <c r="E719" i="1"/>
  <c r="F1685" i="1"/>
  <c r="C215" i="1"/>
  <c r="F1676" i="1"/>
  <c r="C1486" i="1"/>
  <c r="B974" i="1"/>
  <c r="B799" i="1"/>
  <c r="F459" i="1"/>
  <c r="C1051" i="1"/>
  <c r="F715" i="1"/>
  <c r="B331" i="1"/>
  <c r="B1768" i="1"/>
  <c r="B1116" i="1"/>
  <c r="F415" i="1"/>
  <c r="C79" i="1"/>
  <c r="F780" i="1"/>
  <c r="B30" i="1"/>
  <c r="B1452" i="1"/>
  <c r="F1514" i="1"/>
  <c r="B872" i="1"/>
  <c r="B298" i="1"/>
  <c r="F938" i="1"/>
  <c r="D386" i="1"/>
  <c r="F572" i="1"/>
  <c r="B644" i="1"/>
  <c r="D1070" i="1"/>
  <c r="E853" i="1"/>
  <c r="D256" i="1"/>
  <c r="B177" i="1"/>
  <c r="E360" i="1"/>
  <c r="B966" i="1"/>
  <c r="F923" i="1"/>
  <c r="E269" i="1"/>
  <c r="F1017" i="1"/>
  <c r="B251" i="1"/>
  <c r="B1190" i="1"/>
  <c r="B1049" i="1"/>
  <c r="E483" i="1"/>
  <c r="E969" i="1"/>
  <c r="C438" i="1"/>
  <c r="B1559" i="1"/>
  <c r="E1666" i="1"/>
  <c r="E1371" i="1"/>
  <c r="E849" i="1"/>
  <c r="E332" i="1"/>
  <c r="E1539" i="1"/>
  <c r="B1356" i="1"/>
  <c r="D1513" i="1"/>
  <c r="F68" i="1"/>
  <c r="F408" i="1"/>
  <c r="F601" i="1"/>
  <c r="E155" i="1"/>
  <c r="E890" i="1"/>
  <c r="B880" i="1"/>
  <c r="E134" i="1"/>
  <c r="E1205" i="1"/>
  <c r="D382" i="1"/>
  <c r="F507" i="1"/>
  <c r="E657" i="1"/>
  <c r="D788" i="1"/>
  <c r="D454" i="1"/>
  <c r="D1260" i="1"/>
  <c r="E681" i="1"/>
  <c r="E33" i="1"/>
  <c r="E534" i="1"/>
  <c r="E622" i="1"/>
  <c r="B180" i="1"/>
  <c r="F838" i="1"/>
  <c r="E591" i="1"/>
  <c r="F151" i="1"/>
  <c r="D1341" i="1"/>
  <c r="B152" i="1"/>
  <c r="B1424" i="1"/>
  <c r="D1850" i="1"/>
  <c r="B197" i="1"/>
  <c r="D26" i="1"/>
  <c r="D176" i="1"/>
  <c r="D920" i="1"/>
  <c r="F1107" i="1"/>
  <c r="E71" i="1"/>
  <c r="D1813" i="1"/>
  <c r="D1830" i="1"/>
  <c r="E686" i="1"/>
  <c r="D1166" i="1"/>
  <c r="B451" i="1"/>
  <c r="E892" i="1"/>
  <c r="E227" i="1"/>
  <c r="E83" i="1"/>
  <c r="D15" i="1"/>
  <c r="B1308" i="1"/>
  <c r="B776" i="1"/>
  <c r="D139" i="1"/>
  <c r="B1666" i="1"/>
  <c r="E955" i="1"/>
  <c r="E609" i="1"/>
  <c r="D609" i="1"/>
  <c r="E1462" i="1"/>
  <c r="E307" i="1"/>
  <c r="D1857" i="1"/>
  <c r="F1670" i="1"/>
  <c r="D579" i="1"/>
  <c r="B347" i="1"/>
  <c r="D1378" i="1"/>
  <c r="D215" i="1"/>
  <c r="D1503" i="1"/>
  <c r="B983" i="1"/>
  <c r="D572" i="1"/>
  <c r="E461" i="1"/>
  <c r="E495" i="1"/>
  <c r="E919" i="1"/>
  <c r="D1730" i="1"/>
  <c r="D1134" i="1"/>
  <c r="B303" i="1"/>
  <c r="E784" i="1"/>
  <c r="D550" i="1"/>
  <c r="D1739" i="1"/>
  <c r="D585" i="1"/>
  <c r="E1314" i="1"/>
  <c r="E655" i="1"/>
  <c r="E1032" i="1"/>
  <c r="E1637" i="1"/>
  <c r="F1202" i="1"/>
  <c r="D83" i="1"/>
  <c r="F280" i="1"/>
  <c r="D750" i="1"/>
  <c r="D559" i="1"/>
  <c r="E675" i="1"/>
  <c r="E1427" i="1"/>
  <c r="D1160" i="1"/>
  <c r="E1696" i="1"/>
  <c r="E879" i="1"/>
  <c r="F1705" i="1"/>
  <c r="F878" i="1"/>
  <c r="B699" i="1"/>
  <c r="B518" i="1"/>
  <c r="B1738" i="1"/>
  <c r="F610" i="1"/>
  <c r="F17" i="1"/>
  <c r="B1391" i="1"/>
  <c r="D617" i="1"/>
  <c r="E21" i="1"/>
  <c r="E859" i="1"/>
  <c r="C610" i="1"/>
  <c r="C269" i="1"/>
  <c r="B554" i="1"/>
  <c r="C1633" i="1"/>
  <c r="D163" i="1"/>
  <c r="B431" i="1"/>
  <c r="E100" i="1"/>
  <c r="B189" i="1"/>
  <c r="F493" i="1"/>
  <c r="D1668" i="1"/>
  <c r="D1459" i="1"/>
  <c r="B1637" i="1"/>
  <c r="B916" i="1"/>
  <c r="E1179" i="1"/>
  <c r="D1553" i="1"/>
  <c r="C1201" i="1"/>
  <c r="E1275" i="1"/>
  <c r="E852" i="1"/>
  <c r="F122" i="1"/>
  <c r="D975" i="1"/>
  <c r="B1628" i="1"/>
  <c r="E1357" i="1"/>
  <c r="B1719" i="1"/>
  <c r="E925" i="1"/>
  <c r="B1480" i="1"/>
  <c r="B1587" i="1"/>
  <c r="B185" i="1"/>
  <c r="E677" i="1"/>
  <c r="B1786" i="1"/>
  <c r="F1589" i="1"/>
  <c r="E327" i="1"/>
  <c r="D1608" i="1"/>
  <c r="F458" i="1"/>
  <c r="B1320" i="1"/>
  <c r="E50" i="1"/>
  <c r="E1182" i="1"/>
  <c r="C1457" i="1"/>
  <c r="D1157" i="1"/>
  <c r="D331" i="1"/>
  <c r="E1695" i="1"/>
  <c r="C1203" i="1"/>
  <c r="B1508" i="1"/>
  <c r="E74" i="1"/>
  <c r="D925" i="1"/>
  <c r="B1578" i="1"/>
  <c r="B1557" i="1"/>
  <c r="E141" i="1"/>
  <c r="B521" i="1"/>
  <c r="E614" i="1"/>
  <c r="E180" i="1"/>
  <c r="D566" i="1"/>
  <c r="D675" i="1"/>
  <c r="E1004" i="1"/>
  <c r="B195" i="1"/>
  <c r="E1017" i="1"/>
  <c r="D1803" i="1"/>
  <c r="E888" i="1"/>
  <c r="E176" i="1"/>
  <c r="E1848" i="1"/>
  <c r="E1478" i="1"/>
  <c r="D47" i="1"/>
  <c r="D1236" i="1"/>
  <c r="B989" i="1"/>
  <c r="E1443" i="1"/>
  <c r="E596" i="1"/>
  <c r="E503" i="1"/>
  <c r="E1250" i="1"/>
  <c r="D1745" i="1"/>
  <c r="E570" i="1"/>
  <c r="D1761" i="1"/>
  <c r="B1432" i="1"/>
  <c r="B120" i="1"/>
  <c r="B738" i="1"/>
  <c r="E1717" i="1"/>
  <c r="D757" i="1"/>
  <c r="B841" i="1"/>
  <c r="E803" i="1"/>
  <c r="E1728" i="1"/>
  <c r="D23" i="1"/>
  <c r="E1104" i="1"/>
  <c r="B664" i="1"/>
  <c r="D1235" i="1"/>
  <c r="E1563" i="1"/>
  <c r="F1357" i="1"/>
  <c r="F1541" i="1"/>
  <c r="D1195" i="1"/>
  <c r="E238" i="1"/>
  <c r="D1297" i="1"/>
  <c r="F1231" i="1"/>
  <c r="D53" i="1"/>
  <c r="E816" i="1"/>
  <c r="E372" i="1"/>
  <c r="F286" i="1"/>
  <c r="E302" i="1"/>
  <c r="B1378" i="1"/>
  <c r="D431" i="1"/>
  <c r="E336" i="1"/>
  <c r="F1121" i="1"/>
  <c r="D1425" i="1"/>
  <c r="E960" i="1"/>
  <c r="D1528" i="1"/>
  <c r="E422" i="1"/>
  <c r="D604" i="1"/>
  <c r="B1122" i="1"/>
  <c r="D1348" i="1"/>
  <c r="B1651" i="1"/>
  <c r="E1498" i="1"/>
  <c r="D1003" i="1"/>
  <c r="D1517" i="1"/>
  <c r="D251" i="1"/>
  <c r="D1458" i="1"/>
  <c r="E1248" i="1"/>
  <c r="D430" i="1"/>
  <c r="C1730" i="1"/>
  <c r="E693" i="1"/>
  <c r="B1478" i="1"/>
  <c r="B326" i="1"/>
  <c r="D902" i="1"/>
  <c r="E1444" i="1"/>
  <c r="E1380" i="1"/>
  <c r="D324" i="1"/>
  <c r="E1845" i="1"/>
  <c r="E243" i="1"/>
  <c r="E1124" i="1"/>
  <c r="D774" i="1"/>
  <c r="E1420" i="1"/>
  <c r="D1174" i="1"/>
  <c r="E252" i="1"/>
  <c r="B245" i="1"/>
  <c r="F1435" i="1"/>
  <c r="C929" i="1"/>
  <c r="B242" i="1"/>
  <c r="E696" i="1"/>
  <c r="B1415" i="1"/>
  <c r="F1602" i="1"/>
  <c r="F1718" i="1"/>
  <c r="B460" i="1"/>
  <c r="F1845" i="1"/>
  <c r="F1826" i="1"/>
  <c r="F984" i="1"/>
  <c r="E433" i="1"/>
  <c r="E394" i="1"/>
  <c r="E1099" i="1"/>
  <c r="D1203" i="1"/>
  <c r="D1074" i="1"/>
  <c r="B1234" i="1"/>
  <c r="D212" i="1"/>
  <c r="B1214" i="1"/>
  <c r="D291" i="1"/>
  <c r="D436" i="1"/>
  <c r="B1082" i="1"/>
  <c r="B1418" i="1"/>
  <c r="E632" i="1"/>
  <c r="B1671" i="1"/>
  <c r="D804" i="1"/>
  <c r="E1505" i="1"/>
  <c r="D1834" i="1"/>
  <c r="C1757" i="1"/>
  <c r="D412" i="1"/>
  <c r="B100" i="1"/>
  <c r="E771" i="1"/>
  <c r="D30" i="1"/>
  <c r="D1100" i="1"/>
  <c r="D480" i="1"/>
  <c r="F303" i="1"/>
  <c r="B5" i="1"/>
  <c r="D987" i="1"/>
  <c r="C107" i="1"/>
  <c r="B158" i="1"/>
  <c r="B977" i="1"/>
  <c r="E294" i="1"/>
  <c r="B752" i="1"/>
  <c r="C666" i="1"/>
  <c r="F1543" i="1"/>
  <c r="B1328" i="1"/>
  <c r="D482" i="1"/>
  <c r="D863" i="1"/>
  <c r="B1340" i="1"/>
  <c r="E1074" i="1"/>
  <c r="E577" i="1"/>
  <c r="B396" i="1"/>
  <c r="D650" i="1"/>
  <c r="E208" i="1"/>
  <c r="E153" i="1"/>
  <c r="C70" i="1"/>
  <c r="D602" i="1"/>
  <c r="D749" i="1"/>
  <c r="E558" i="1"/>
  <c r="C579" i="1"/>
  <c r="D489" i="1"/>
  <c r="E746" i="1"/>
  <c r="E797" i="1"/>
  <c r="D906" i="1"/>
  <c r="E603" i="1"/>
  <c r="D434" i="1"/>
  <c r="B1215" i="1"/>
  <c r="F1728" i="1"/>
  <c r="B287" i="1"/>
  <c r="B586" i="1"/>
  <c r="D827" i="1"/>
  <c r="F204" i="1"/>
  <c r="C590" i="1"/>
  <c r="E550" i="1"/>
  <c r="D608" i="1"/>
  <c r="E559" i="1"/>
  <c r="D1696" i="1"/>
  <c r="E133" i="1"/>
  <c r="D125" i="1"/>
  <c r="E1315" i="1"/>
  <c r="E1458" i="1"/>
  <c r="B15" i="1"/>
  <c r="E1603" i="1"/>
  <c r="D461" i="1"/>
  <c r="D1152" i="1"/>
  <c r="E1445" i="1"/>
  <c r="D1106" i="1"/>
  <c r="F746" i="1"/>
  <c r="B84" i="1"/>
  <c r="B1258" i="1"/>
  <c r="B1465" i="1"/>
  <c r="E382" i="1"/>
  <c r="E124" i="1"/>
  <c r="E99" i="1"/>
  <c r="E725" i="1"/>
  <c r="B777" i="1"/>
  <c r="E1011" i="1"/>
  <c r="E1805" i="1"/>
  <c r="F153" i="1"/>
  <c r="E464" i="1"/>
  <c r="D1676" i="1"/>
  <c r="B1332" i="1"/>
  <c r="D1588" i="1"/>
  <c r="D16" i="1"/>
  <c r="D1067" i="1"/>
  <c r="D1017" i="1"/>
  <c r="E704" i="1"/>
  <c r="E874" i="1"/>
  <c r="E653" i="1"/>
  <c r="D1674" i="1"/>
  <c r="E519" i="1"/>
  <c r="B1158" i="1"/>
  <c r="B500" i="1"/>
  <c r="B710" i="1"/>
  <c r="B687" i="1"/>
  <c r="B43" i="1"/>
  <c r="D302" i="1"/>
  <c r="E366" i="1"/>
  <c r="E1072" i="1"/>
  <c r="E345" i="1"/>
  <c r="F960" i="1"/>
  <c r="D1514" i="1"/>
  <c r="D890" i="1"/>
  <c r="D1063" i="1"/>
  <c r="B1270" i="1"/>
  <c r="D298" i="1"/>
  <c r="E66" i="1"/>
  <c r="D763" i="1"/>
  <c r="E552" i="1"/>
  <c r="D884" i="1"/>
  <c r="B936" i="1"/>
  <c r="D19" i="1"/>
  <c r="F95" i="1"/>
  <c r="D117" i="1"/>
  <c r="D1724" i="1"/>
  <c r="F1248" i="1"/>
  <c r="B21" i="1"/>
  <c r="D1287" i="1"/>
  <c r="F966" i="1"/>
  <c r="C1266" i="1"/>
  <c r="B1459" i="1"/>
  <c r="F818" i="1"/>
  <c r="B677" i="1"/>
  <c r="B886" i="1"/>
  <c r="B926" i="1"/>
  <c r="F1608" i="1"/>
  <c r="B209" i="1"/>
  <c r="D1430" i="1"/>
  <c r="B1805" i="1"/>
  <c r="E415" i="1"/>
  <c r="F75" i="1"/>
  <c r="F1438" i="1"/>
  <c r="E1575" i="1"/>
  <c r="C332" i="1"/>
  <c r="B1791" i="1"/>
  <c r="E643" i="1"/>
  <c r="E173" i="1"/>
  <c r="B1735" i="1"/>
  <c r="E340" i="1"/>
  <c r="F590" i="1"/>
  <c r="B1065" i="1"/>
  <c r="C1678" i="1"/>
  <c r="B651" i="1"/>
  <c r="F591" i="1"/>
  <c r="F1198" i="1"/>
  <c r="B470" i="1"/>
  <c r="B1656" i="1"/>
  <c r="E1547" i="1"/>
  <c r="F324" i="1"/>
  <c r="C432" i="1"/>
  <c r="D537" i="1"/>
  <c r="B703" i="1"/>
  <c r="B779" i="1"/>
  <c r="E199" i="1"/>
  <c r="B1615" i="1"/>
  <c r="F183" i="1"/>
  <c r="E757" i="1"/>
  <c r="D707" i="1"/>
  <c r="B1731" i="1"/>
  <c r="B1067" i="1"/>
  <c r="F365" i="1"/>
  <c r="E131" i="1"/>
  <c r="D1481" i="1"/>
  <c r="D39" i="1"/>
  <c r="B1029" i="1"/>
  <c r="E277" i="1"/>
  <c r="F645" i="1"/>
  <c r="D366" i="1"/>
  <c r="E1087" i="1"/>
  <c r="B398" i="1"/>
  <c r="F1351" i="1"/>
  <c r="D1733" i="1"/>
  <c r="D465" i="1"/>
  <c r="D1616" i="1"/>
  <c r="E1090" i="1"/>
  <c r="E608" i="1"/>
  <c r="D1603" i="1"/>
  <c r="B787" i="1"/>
  <c r="B1475" i="1"/>
  <c r="E285" i="1"/>
  <c r="E736" i="1"/>
  <c r="D288" i="1"/>
  <c r="F100" i="1"/>
  <c r="E660" i="1"/>
  <c r="F1239" i="1"/>
  <c r="B385" i="1"/>
  <c r="F638" i="1"/>
  <c r="B216" i="1"/>
  <c r="E1551" i="1"/>
  <c r="E1062" i="1"/>
  <c r="E197" i="1"/>
  <c r="D589" i="1"/>
  <c r="E1468" i="1"/>
  <c r="E676" i="1"/>
  <c r="E24" i="1"/>
  <c r="E601" i="1"/>
  <c r="D1599" i="1"/>
  <c r="D1427" i="1"/>
  <c r="B1514" i="1"/>
  <c r="E1719" i="1"/>
  <c r="D452" i="1"/>
  <c r="F1542" i="1"/>
  <c r="F1044" i="1"/>
  <c r="E672" i="1"/>
  <c r="E486" i="1"/>
  <c r="E1818" i="1"/>
  <c r="E1424" i="1"/>
  <c r="F1830" i="1"/>
  <c r="E688" i="1"/>
  <c r="D355" i="1"/>
  <c r="E1180" i="1"/>
  <c r="D1387" i="1"/>
  <c r="B285" i="1"/>
  <c r="F940" i="1"/>
  <c r="F1046" i="1"/>
  <c r="C506" i="1"/>
  <c r="B258" i="1"/>
  <c r="B1199" i="1"/>
  <c r="D1449" i="1"/>
  <c r="B1702" i="1"/>
  <c r="E1645" i="1"/>
  <c r="D243" i="1"/>
  <c r="D636" i="1"/>
  <c r="D340" i="1"/>
  <c r="B208" i="1"/>
  <c r="B1010" i="1"/>
  <c r="B1431" i="1"/>
  <c r="F668" i="1"/>
  <c r="D769" i="1"/>
  <c r="E613" i="1"/>
  <c r="D292" i="1"/>
  <c r="D1580" i="1"/>
  <c r="E902" i="1"/>
  <c r="E1037" i="1"/>
  <c r="F373" i="1"/>
  <c r="D1671" i="1"/>
  <c r="D509" i="1"/>
  <c r="E343" i="1"/>
  <c r="F481" i="1"/>
  <c r="D1340" i="1"/>
  <c r="E474" i="1"/>
  <c r="D423" i="1"/>
  <c r="D638" i="1"/>
  <c r="D156" i="1"/>
  <c r="D1253" i="1"/>
  <c r="D1462" i="1"/>
  <c r="B629" i="1"/>
  <c r="D719" i="1"/>
  <c r="D1701" i="1"/>
  <c r="D394" i="1"/>
  <c r="C925" i="1"/>
  <c r="E162" i="1"/>
  <c r="B1469" i="1"/>
  <c r="B1238" i="1"/>
  <c r="E1627" i="1"/>
  <c r="D1009" i="1"/>
  <c r="B868" i="1"/>
  <c r="B1654" i="1"/>
  <c r="F139" i="1"/>
  <c r="F699" i="1"/>
  <c r="F1446" i="1"/>
  <c r="E651" i="1"/>
  <c r="E498" i="1"/>
  <c r="F1168" i="1"/>
  <c r="B2" i="1"/>
  <c r="B1449" i="1"/>
  <c r="D1629" i="1"/>
  <c r="E1368" i="1"/>
  <c r="C643" i="1"/>
  <c r="F1547" i="1"/>
  <c r="F1441" i="1"/>
  <c r="E858" i="1"/>
  <c r="F1764" i="1"/>
  <c r="E1619" i="1"/>
  <c r="D1677" i="1"/>
  <c r="B353" i="1"/>
  <c r="F1201" i="1"/>
  <c r="F72" i="1"/>
  <c r="B46" i="1"/>
  <c r="B91" i="1"/>
  <c r="D839" i="1"/>
  <c r="D201" i="1"/>
  <c r="B363" i="1"/>
  <c r="F1265" i="1"/>
  <c r="C241" i="1"/>
  <c r="F1221" i="1"/>
  <c r="C1552" i="1"/>
  <c r="F936" i="1"/>
  <c r="B681" i="1"/>
  <c r="F307" i="1"/>
  <c r="E1733" i="1"/>
  <c r="B1298" i="1"/>
  <c r="B125" i="1"/>
  <c r="D1207" i="1"/>
  <c r="B730" i="1"/>
  <c r="B1611" i="1"/>
  <c r="F1730" i="1"/>
  <c r="C95" i="1"/>
  <c r="F1553" i="1"/>
  <c r="C94" i="1"/>
  <c r="D100" i="1"/>
  <c r="E1051" i="1"/>
  <c r="B453" i="1"/>
  <c r="D204" i="1"/>
  <c r="E1853" i="1"/>
  <c r="F744" i="1"/>
  <c r="B3" i="1"/>
  <c r="B1275" i="1"/>
  <c r="D1806" i="1"/>
  <c r="E1703" i="1"/>
  <c r="E1398" i="1"/>
  <c r="E308" i="1"/>
  <c r="D936" i="1"/>
  <c r="E1097" i="1"/>
  <c r="D1410" i="1"/>
  <c r="E1506" i="1"/>
  <c r="E1606" i="1"/>
  <c r="D1062" i="1"/>
  <c r="C704" i="1"/>
  <c r="F717" i="1"/>
  <c r="C899" i="1"/>
  <c r="E370" i="1"/>
  <c r="E1202" i="1"/>
  <c r="C1731" i="1"/>
  <c r="B236" i="1"/>
  <c r="B425" i="1"/>
  <c r="B1412" i="1"/>
  <c r="F248" i="1"/>
  <c r="F1445" i="1"/>
  <c r="D947" i="1"/>
  <c r="B392" i="1"/>
  <c r="D584" i="1"/>
  <c r="F487" i="1"/>
  <c r="E1756" i="1"/>
  <c r="B1523" i="1"/>
  <c r="F1380" i="1"/>
  <c r="B1581" i="1"/>
  <c r="B850" i="1"/>
  <c r="E137" i="1"/>
  <c r="D962" i="1"/>
  <c r="D1331" i="1"/>
  <c r="C1387" i="1"/>
  <c r="B1797" i="1"/>
  <c r="B1798" i="1"/>
  <c r="F1193" i="1"/>
  <c r="B1247" i="1"/>
  <c r="D1476" i="1"/>
  <c r="E410" i="1"/>
  <c r="C1174" i="1"/>
  <c r="B1080" i="1"/>
  <c r="F737" i="1"/>
  <c r="D252" i="1"/>
  <c r="D1753" i="1"/>
  <c r="D316" i="1"/>
  <c r="D1384" i="1"/>
  <c r="B1760" i="1"/>
  <c r="F885" i="1"/>
  <c r="F790" i="1"/>
  <c r="F1256" i="1"/>
  <c r="E977" i="1"/>
  <c r="E69" i="1"/>
  <c r="D1231" i="1"/>
  <c r="E1636" i="1"/>
  <c r="B1070" i="1"/>
  <c r="E313" i="1"/>
  <c r="B946" i="1"/>
  <c r="E351" i="1"/>
  <c r="F1054" i="1"/>
  <c r="D990" i="1"/>
  <c r="B1433" i="1"/>
  <c r="E940" i="1"/>
  <c r="B481" i="1"/>
  <c r="E23" i="1"/>
  <c r="B1138" i="1"/>
  <c r="E1765" i="1"/>
  <c r="D1502" i="1"/>
  <c r="E526" i="1"/>
  <c r="E1766" i="1"/>
  <c r="E377" i="1"/>
  <c r="D772" i="1"/>
  <c r="E499" i="1"/>
  <c r="D1715" i="1"/>
  <c r="E1528" i="1"/>
  <c r="E1016" i="1"/>
  <c r="B1063" i="1"/>
  <c r="B1783" i="1"/>
  <c r="B436" i="1"/>
  <c r="D684" i="1"/>
  <c r="E941" i="1"/>
  <c r="D1800" i="1"/>
  <c r="E1731" i="1"/>
  <c r="E1813" i="1"/>
  <c r="B802" i="1"/>
  <c r="D1759" i="1"/>
  <c r="F1279" i="1"/>
  <c r="B1146" i="1"/>
  <c r="B1732" i="1"/>
  <c r="E978" i="1"/>
  <c r="F1184" i="1"/>
  <c r="D1567" i="1"/>
  <c r="B1696" i="1"/>
  <c r="B1718" i="1"/>
  <c r="E509" i="1"/>
  <c r="E368" i="1"/>
  <c r="E1599" i="1"/>
  <c r="F1539" i="1"/>
  <c r="D145" i="1"/>
  <c r="E585" i="1"/>
  <c r="E1738" i="1"/>
  <c r="D1501" i="1"/>
  <c r="E1529" i="1"/>
  <c r="B959" i="1"/>
  <c r="D878" i="1"/>
  <c r="D1557" i="1"/>
  <c r="D463" i="1"/>
  <c r="E1285" i="1"/>
  <c r="F1481" i="1"/>
  <c r="D1335" i="1"/>
  <c r="D879" i="1"/>
  <c r="E721" i="1"/>
  <c r="D612" i="1"/>
  <c r="E1238" i="1"/>
  <c r="D724" i="1"/>
  <c r="F48" i="1"/>
  <c r="D421" i="1"/>
  <c r="D86" i="1"/>
  <c r="B168" i="1"/>
  <c r="F644" i="1"/>
  <c r="F389" i="1"/>
  <c r="F882" i="1"/>
  <c r="D317" i="1"/>
  <c r="F11" i="1"/>
  <c r="B225" i="1"/>
  <c r="E839" i="1"/>
  <c r="B420" i="1"/>
  <c r="B322" i="1"/>
  <c r="D1530" i="1"/>
  <c r="B1519" i="1"/>
  <c r="D1082" i="1"/>
  <c r="D1339" i="1"/>
  <c r="D483" i="1"/>
  <c r="B29" i="1"/>
  <c r="E1764" i="1"/>
  <c r="D1138" i="1"/>
  <c r="E1123" i="1"/>
  <c r="C1823" i="1"/>
  <c r="B1053" i="1"/>
  <c r="B792" i="1"/>
  <c r="B418" i="1"/>
  <c r="B756" i="1"/>
  <c r="E543" i="1"/>
  <c r="C597" i="1"/>
  <c r="B151" i="1"/>
  <c r="D1353" i="1"/>
  <c r="D468" i="1"/>
  <c r="D1436" i="1"/>
  <c r="F802" i="1"/>
  <c r="D486" i="1"/>
  <c r="B984" i="1"/>
  <c r="B609" i="1"/>
  <c r="F1489" i="1"/>
  <c r="D137" i="1"/>
  <c r="E1068" i="1"/>
  <c r="B241" i="1"/>
  <c r="D1461" i="1"/>
  <c r="D450" i="1"/>
  <c r="E1403" i="1"/>
  <c r="B1642" i="1"/>
  <c r="B1607" i="1"/>
  <c r="B517" i="1"/>
  <c r="D1202" i="1"/>
  <c r="B1624" i="1"/>
  <c r="B307" i="1"/>
  <c r="E1850" i="1"/>
  <c r="D518" i="1"/>
  <c r="E811" i="1"/>
  <c r="D1306" i="1"/>
  <c r="B1543" i="1"/>
  <c r="E1260" i="1"/>
  <c r="E727" i="1"/>
  <c r="E1436" i="1"/>
  <c r="D150" i="1"/>
  <c r="D988" i="1"/>
  <c r="D1388" i="1"/>
  <c r="E1611" i="1"/>
  <c r="B1547" i="1"/>
  <c r="D938" i="1"/>
  <c r="E1321" i="1"/>
  <c r="E1421" i="1"/>
  <c r="B642" i="1"/>
  <c r="B1613" i="1"/>
  <c r="D445" i="1"/>
  <c r="B1283" i="1"/>
  <c r="B1385" i="1"/>
  <c r="D658" i="1"/>
  <c r="E951" i="1"/>
  <c r="E265" i="1"/>
  <c r="E929" i="1"/>
  <c r="F686" i="1"/>
  <c r="E330" i="1"/>
  <c r="E1415" i="1"/>
  <c r="D1817" i="1"/>
  <c r="E973" i="1"/>
  <c r="E151" i="1"/>
  <c r="F1286" i="1"/>
  <c r="D280" i="1"/>
  <c r="B1600" i="1"/>
  <c r="D1257" i="1"/>
  <c r="B458" i="1"/>
  <c r="B686" i="1"/>
  <c r="E709" i="1"/>
  <c r="E711" i="1"/>
  <c r="F1755" i="1"/>
  <c r="E717" i="1"/>
  <c r="D441" i="1"/>
  <c r="D951" i="1"/>
  <c r="C1729" i="1"/>
  <c r="E1729" i="1"/>
  <c r="E1115" i="1"/>
  <c r="D1281" i="1"/>
  <c r="D745" i="1"/>
  <c r="E827" i="1"/>
  <c r="D641" i="1"/>
  <c r="B1024" i="1"/>
  <c r="B757" i="1"/>
  <c r="B653" i="1"/>
  <c r="E1286" i="1"/>
  <c r="D94" i="1"/>
  <c r="E111" i="1"/>
  <c r="B1139" i="1"/>
  <c r="F7" i="1"/>
  <c r="D1591" i="1"/>
  <c r="B1342" i="1"/>
  <c r="F1583" i="1"/>
  <c r="E1246" i="1"/>
  <c r="E1503" i="1"/>
  <c r="E64" i="1"/>
  <c r="E689" i="1"/>
  <c r="D911" i="1"/>
  <c r="D1126" i="1"/>
  <c r="D1552" i="1"/>
  <c r="B1435" i="1"/>
  <c r="D676" i="1"/>
  <c r="B60" i="1"/>
  <c r="E1108" i="1"/>
  <c r="B110" i="1"/>
  <c r="E1580" i="1"/>
  <c r="D529" i="1"/>
  <c r="D1526" i="1"/>
  <c r="C322" i="1"/>
  <c r="B506" i="1"/>
  <c r="E426" i="1"/>
  <c r="C1146" i="1"/>
  <c r="D1263" i="1"/>
  <c r="F910" i="1"/>
  <c r="F1385" i="1"/>
  <c r="D973" i="1"/>
  <c r="B201" i="1"/>
  <c r="E842" i="1"/>
  <c r="B26" i="1"/>
  <c r="C627" i="1"/>
  <c r="D787" i="1"/>
  <c r="E30" i="1"/>
  <c r="E944" i="1"/>
  <c r="D615" i="1"/>
  <c r="E837" i="1"/>
  <c r="E67" i="1"/>
  <c r="E1331" i="1"/>
  <c r="E125" i="1"/>
  <c r="D1052" i="1"/>
  <c r="E1621" i="1"/>
  <c r="F452" i="1"/>
  <c r="E1678" i="1"/>
  <c r="E1532" i="1"/>
  <c r="D1296" i="1"/>
  <c r="E1671" i="1"/>
  <c r="D327" i="1"/>
  <c r="B522" i="1"/>
  <c r="B849" i="1"/>
  <c r="D1385" i="1"/>
  <c r="E1122" i="1"/>
  <c r="B124" i="1"/>
  <c r="B509" i="1"/>
  <c r="D1828" i="1"/>
  <c r="D813" i="1"/>
  <c r="B1107" i="1"/>
  <c r="B658" i="1"/>
  <c r="E928" i="1"/>
  <c r="D560" i="1"/>
  <c r="B1279" i="1"/>
  <c r="E723" i="1"/>
  <c r="D1632" i="1"/>
  <c r="E1537" i="1"/>
  <c r="B450" i="1"/>
  <c r="E1464" i="1"/>
  <c r="D669" i="1"/>
  <c r="E379" i="1"/>
  <c r="D1638" i="1"/>
  <c r="B925" i="1"/>
  <c r="B1758" i="1"/>
  <c r="D998" i="1"/>
  <c r="E1486" i="1"/>
  <c r="E1391" i="1"/>
  <c r="E56" i="1"/>
  <c r="D532" i="1"/>
  <c r="D205" i="1"/>
  <c r="B372" i="1"/>
  <c r="E1325" i="1"/>
  <c r="F1805" i="1"/>
  <c r="E988" i="1"/>
  <c r="D1682" i="1"/>
  <c r="E408" i="1"/>
  <c r="D1779" i="1"/>
  <c r="E1446" i="1"/>
  <c r="D929" i="1"/>
  <c r="E1163" i="1"/>
  <c r="D1477" i="1"/>
  <c r="D1214" i="1"/>
  <c r="E1177" i="1"/>
  <c r="D688" i="1"/>
  <c r="E431" i="1"/>
  <c r="E1530" i="1"/>
  <c r="D485" i="1"/>
  <c r="F714" i="1"/>
  <c r="D917" i="1"/>
  <c r="D46" i="1"/>
  <c r="E1214" i="1"/>
  <c r="E500" i="1"/>
  <c r="D531" i="1"/>
  <c r="D547" i="1"/>
  <c r="D940" i="1"/>
  <c r="D1025" i="1"/>
  <c r="D1731" i="1"/>
  <c r="E275" i="1"/>
  <c r="D842" i="1"/>
  <c r="E1313" i="1"/>
  <c r="D272" i="1"/>
  <c r="E1772" i="1"/>
  <c r="B830" i="1"/>
  <c r="E1025" i="1"/>
  <c r="D1524" i="1"/>
  <c r="E873" i="1"/>
  <c r="D603" i="1"/>
  <c r="D240" i="1"/>
  <c r="F1645" i="1"/>
  <c r="E412" i="1"/>
  <c r="E1476" i="1"/>
  <c r="E448" i="1"/>
  <c r="D1752" i="1"/>
  <c r="E671" i="1"/>
  <c r="D500" i="1"/>
  <c r="E28" i="1"/>
  <c r="E786" i="1"/>
  <c r="E1079" i="1"/>
  <c r="D1105" i="1"/>
  <c r="D467" i="1"/>
  <c r="E1638" i="1"/>
  <c r="D224" i="1"/>
  <c r="E1431" i="1"/>
  <c r="E42" i="1"/>
  <c r="E663" i="1"/>
  <c r="E391" i="1"/>
  <c r="E65" i="1"/>
  <c r="D1279" i="1"/>
  <c r="E1073" i="1"/>
  <c r="E1556" i="1"/>
  <c r="B1803" i="1"/>
  <c r="E460" i="1"/>
  <c r="B635" i="1"/>
  <c r="E1171" i="1"/>
  <c r="F1041" i="1"/>
  <c r="D192" i="1"/>
  <c r="E75" i="1"/>
  <c r="E1600" i="1"/>
  <c r="E822" i="1"/>
  <c r="E726" i="1"/>
  <c r="D1136" i="1"/>
  <c r="D723" i="1"/>
  <c r="B857" i="1"/>
  <c r="C839" i="1"/>
  <c r="D1811" i="1"/>
  <c r="E1620" i="1"/>
  <c r="D1326" i="1"/>
  <c r="C425" i="1"/>
  <c r="D679" i="1"/>
  <c r="C450" i="1"/>
  <c r="E794" i="1"/>
  <c r="E810" i="1"/>
  <c r="B1108" i="1"/>
  <c r="D812" i="1"/>
  <c r="D704" i="1"/>
  <c r="E527" i="1"/>
  <c r="E1193" i="1"/>
  <c r="D55" i="1"/>
  <c r="D1809" i="1"/>
  <c r="E1586" i="1"/>
  <c r="D646" i="1"/>
  <c r="E1378" i="1"/>
  <c r="C594" i="1"/>
  <c r="E300" i="1"/>
  <c r="B587" i="1"/>
  <c r="E1579" i="1"/>
  <c r="B594" i="1"/>
  <c r="D242" i="1"/>
  <c r="E1247" i="1"/>
  <c r="E1157" i="1"/>
  <c r="B1406" i="1"/>
  <c r="C234" i="1"/>
  <c r="F1709" i="1"/>
  <c r="B66" i="1"/>
  <c r="B1800" i="1"/>
  <c r="F587" i="1"/>
  <c r="B990" i="1"/>
  <c r="B269" i="1"/>
  <c r="E1407" i="1"/>
  <c r="D1643" i="1"/>
  <c r="D919" i="1"/>
  <c r="D400" i="1"/>
  <c r="D886" i="1"/>
  <c r="E110" i="1"/>
  <c r="D1512" i="1"/>
  <c r="D44" i="1"/>
  <c r="E683" i="1"/>
  <c r="F489" i="1"/>
  <c r="D557" i="1"/>
  <c r="E628" i="1"/>
  <c r="F1249" i="1"/>
  <c r="E679" i="1"/>
  <c r="D35" i="1"/>
  <c r="E1029" i="1"/>
  <c r="E1395" i="1"/>
  <c r="B273" i="1"/>
  <c r="E1428" i="1"/>
  <c r="D856" i="1"/>
  <c r="E986" i="1"/>
  <c r="E540" i="1"/>
  <c r="E642" i="1"/>
  <c r="D269" i="1"/>
  <c r="E779" i="1"/>
  <c r="E920" i="1"/>
  <c r="E1404" i="1"/>
  <c r="E1430" i="1"/>
  <c r="E1244" i="1"/>
  <c r="F315" i="1"/>
  <c r="E1814" i="1"/>
  <c r="D596" i="1"/>
  <c r="D50" i="1"/>
  <c r="B280" i="1"/>
  <c r="D731" i="1"/>
  <c r="B797" i="1"/>
  <c r="F531" i="1"/>
  <c r="E112" i="1"/>
  <c r="E999" i="1"/>
  <c r="E174" i="1"/>
  <c r="B299" i="1"/>
  <c r="F1383" i="1"/>
  <c r="F155" i="1"/>
  <c r="D1437" i="1"/>
  <c r="D1087" i="1"/>
  <c r="E867" i="1"/>
  <c r="E267" i="1"/>
  <c r="D1419" i="1"/>
  <c r="E1481" i="1"/>
  <c r="D1706" i="1"/>
  <c r="E713" i="1"/>
  <c r="D1182" i="1"/>
  <c r="D1029" i="1"/>
  <c r="E289" i="1"/>
  <c r="D1193" i="1"/>
  <c r="B1188" i="1"/>
  <c r="E191" i="1"/>
  <c r="D629" i="1"/>
  <c r="D702" i="1"/>
  <c r="E259" i="1"/>
  <c r="E1709" i="1"/>
  <c r="D60" i="1"/>
  <c r="D1720" i="1"/>
  <c r="D1282" i="1"/>
  <c r="E471" i="1"/>
  <c r="D1579" i="1"/>
  <c r="E292" i="1"/>
  <c r="E535" i="1"/>
  <c r="E702" i="1"/>
  <c r="E1065" i="1"/>
  <c r="D1689" i="1"/>
  <c r="B321" i="1"/>
  <c r="E79" i="1"/>
  <c r="E1105" i="1"/>
  <c r="D779" i="1"/>
  <c r="B1322" i="1"/>
  <c r="E1796" i="1"/>
  <c r="D569" i="1"/>
  <c r="D329" i="1"/>
  <c r="E1450" i="1"/>
  <c r="E621" i="1"/>
  <c r="E783" i="1"/>
  <c r="E664" i="1"/>
  <c r="D632" i="1"/>
  <c r="E884" i="1"/>
  <c r="E554" i="1"/>
  <c r="D664" i="1"/>
  <c r="D322" i="1"/>
  <c r="D1435" i="1"/>
  <c r="D1200" i="1"/>
  <c r="D873" i="1"/>
  <c r="E560" i="1"/>
  <c r="D301" i="1"/>
  <c r="E641" i="1"/>
  <c r="D1454" i="1"/>
  <c r="E1616" i="1"/>
  <c r="D1399" i="1"/>
  <c r="D1432" i="1"/>
  <c r="E1836" i="1"/>
  <c r="B1054" i="1"/>
  <c r="D1011" i="1"/>
  <c r="B530" i="1"/>
  <c r="B1025" i="1"/>
  <c r="E938" i="1"/>
  <c r="D928" i="1"/>
  <c r="B1404" i="1"/>
  <c r="E1394" i="1"/>
  <c r="E7" i="1"/>
  <c r="D1404" i="1"/>
  <c r="E1257" i="1"/>
  <c r="D1371" i="1"/>
  <c r="E373" i="1"/>
  <c r="D1789" i="1"/>
  <c r="D109" i="1"/>
  <c r="E832" i="1"/>
  <c r="D1040" i="1"/>
  <c r="D21" i="1"/>
  <c r="E16" i="1"/>
  <c r="D834" i="1"/>
  <c r="D313" i="1"/>
  <c r="D922" i="1"/>
  <c r="B1505" i="1"/>
  <c r="D1163" i="1"/>
  <c r="D1486" i="1"/>
  <c r="B1074" i="1"/>
  <c r="E438" i="1"/>
  <c r="F1043" i="1"/>
  <c r="D811" i="1"/>
  <c r="D498" i="1"/>
  <c r="B88" i="1"/>
  <c r="B454" i="1"/>
  <c r="E1607" i="1"/>
  <c r="D1185" i="1"/>
  <c r="E600" i="1"/>
  <c r="D683" i="1"/>
  <c r="E644" i="1"/>
  <c r="D976" i="1"/>
  <c r="D1645" i="1"/>
  <c r="D959" i="1"/>
  <c r="B1610" i="1"/>
  <c r="E1545" i="1"/>
  <c r="E850" i="1"/>
  <c r="B1201" i="1"/>
  <c r="B252" i="1"/>
  <c r="E436" i="1"/>
  <c r="E273" i="1"/>
  <c r="E877" i="1"/>
  <c r="E1192" i="1"/>
  <c r="E417" i="1"/>
  <c r="B1076" i="1"/>
  <c r="E322" i="1"/>
  <c r="D111" i="1"/>
  <c r="D1406" i="1"/>
  <c r="B1612" i="1"/>
  <c r="D1812" i="1"/>
  <c r="C765" i="1"/>
  <c r="B176" i="1"/>
  <c r="E1070" i="1"/>
  <c r="C1219" i="1"/>
  <c r="F1850" i="1"/>
  <c r="E393" i="1"/>
  <c r="B548" i="1"/>
  <c r="E409" i="1"/>
  <c r="F1432" i="1"/>
  <c r="B36" i="1"/>
  <c r="E556" i="1"/>
  <c r="D849" i="1"/>
  <c r="E235" i="1"/>
  <c r="D1611" i="1"/>
  <c r="B1398" i="1"/>
  <c r="B94" i="1"/>
  <c r="E226" i="1"/>
  <c r="B4" i="1"/>
  <c r="D1648" i="1"/>
  <c r="B829" i="1"/>
  <c r="B455" i="1"/>
  <c r="E893" i="1"/>
  <c r="E555" i="1"/>
  <c r="E468" i="1"/>
  <c r="B1580" i="1"/>
  <c r="B341" i="1"/>
  <c r="D1786" i="1"/>
  <c r="F1203" i="1"/>
  <c r="B1458" i="1"/>
  <c r="E132" i="1"/>
  <c r="D213" i="1"/>
  <c r="D6" i="1"/>
  <c r="E1737" i="1"/>
  <c r="E156" i="1"/>
  <c r="E911" i="1"/>
  <c r="E1752" i="1"/>
  <c r="D983" i="1"/>
  <c r="B1507" i="1"/>
  <c r="E958" i="1"/>
  <c r="B917" i="1"/>
  <c r="B842" i="1"/>
  <c r="E1602" i="1"/>
  <c r="E53" i="1"/>
  <c r="B715" i="1"/>
  <c r="C1054" i="1"/>
  <c r="B1444" i="1"/>
  <c r="F1529" i="1"/>
  <c r="B1745" i="1"/>
  <c r="E1686" i="1"/>
  <c r="D577" i="1"/>
  <c r="B356" i="1"/>
  <c r="B360" i="1"/>
  <c r="E906" i="1"/>
  <c r="E975" i="1"/>
  <c r="E750" i="1"/>
  <c r="D754" i="1"/>
  <c r="D129" i="1"/>
  <c r="E291" i="1"/>
  <c r="B1481" i="1"/>
  <c r="E864" i="1"/>
  <c r="E1253" i="1"/>
  <c r="E1116" i="1"/>
  <c r="F863" i="1"/>
  <c r="B391" i="1"/>
  <c r="E1677" i="1"/>
  <c r="B1835" i="1"/>
  <c r="B1589" i="1"/>
  <c r="B467" i="1"/>
  <c r="E1057" i="1"/>
  <c r="E120" i="1"/>
  <c r="D191" i="1"/>
  <c r="E1479" i="1"/>
  <c r="E1191" i="1"/>
  <c r="D1566" i="1"/>
  <c r="E714" i="1"/>
  <c r="E12" i="1"/>
  <c r="F1789" i="1"/>
  <c r="E184" i="1"/>
  <c r="B564" i="1"/>
  <c r="B1318" i="1"/>
  <c r="E1308" i="1"/>
  <c r="D457" i="1"/>
  <c r="D287" i="1"/>
  <c r="E1263" i="1"/>
  <c r="E1328" i="1"/>
  <c r="D133" i="1"/>
  <c r="E1596" i="1"/>
  <c r="D241" i="1"/>
  <c r="D1219" i="1"/>
  <c r="D693" i="1"/>
  <c r="D1835" i="1"/>
  <c r="B63" i="1"/>
  <c r="F252" i="1"/>
  <c r="D1167" i="1"/>
  <c r="D931" i="1"/>
  <c r="E363" i="1"/>
  <c r="E1660" i="1"/>
  <c r="D183" i="1"/>
  <c r="E1715" i="1"/>
  <c r="D333" i="1"/>
  <c r="E836" i="1"/>
  <c r="E1663" i="1"/>
  <c r="D1077" i="1"/>
  <c r="B741" i="1"/>
  <c r="D794" i="1"/>
  <c r="E740" i="1"/>
  <c r="D1153" i="1"/>
  <c r="E805" i="1"/>
  <c r="E770" i="1"/>
  <c r="B813" i="1"/>
  <c r="E685" i="1"/>
  <c r="E1582" i="1"/>
  <c r="B1759" i="1"/>
  <c r="B986" i="1"/>
  <c r="E18" i="1"/>
  <c r="D1232" i="1"/>
  <c r="D1424" i="1"/>
  <c r="E407" i="1"/>
  <c r="C50" i="1"/>
  <c r="E1010" i="1"/>
  <c r="E193" i="1"/>
  <c r="E1757" i="1"/>
  <c r="D660" i="1"/>
  <c r="E880" i="1"/>
  <c r="F1552" i="1"/>
  <c r="D1118" i="1"/>
  <c r="E258" i="1"/>
  <c r="B766" i="1"/>
  <c r="D534" i="1"/>
  <c r="E1320" i="1"/>
  <c r="E1474" i="1"/>
  <c r="E802" i="1"/>
  <c r="F1671" i="1"/>
  <c r="B1307" i="1"/>
  <c r="D155" i="1"/>
  <c r="B1173" i="1"/>
  <c r="B583" i="1"/>
  <c r="E1734" i="1"/>
  <c r="E175" i="1"/>
  <c r="D1771" i="1"/>
  <c r="F724" i="1"/>
  <c r="D627" i="1"/>
  <c r="E658" i="1"/>
  <c r="D1420" i="1"/>
  <c r="E1035" i="1"/>
  <c r="E1581" i="1"/>
  <c r="E606" i="1"/>
  <c r="F827" i="1"/>
  <c r="E1849" i="1"/>
  <c r="B584" i="1"/>
  <c r="B318" i="1"/>
  <c r="B1193" i="1"/>
  <c r="E742" i="1"/>
  <c r="D872" i="1"/>
  <c r="E835" i="1"/>
  <c r="B1616" i="1"/>
  <c r="D314" i="1"/>
  <c r="E481" i="1"/>
  <c r="E590" i="1"/>
  <c r="D836" i="1"/>
  <c r="B1073" i="1"/>
  <c r="B1567" i="1"/>
  <c r="B659" i="1"/>
  <c r="E815" i="1"/>
  <c r="D789" i="1"/>
  <c r="B888" i="1"/>
  <c r="E423" i="1"/>
  <c r="E517" i="1"/>
  <c r="D580" i="1"/>
  <c r="F877" i="1"/>
  <c r="C1714" i="1"/>
  <c r="D713" i="1"/>
  <c r="B951" i="1"/>
  <c r="D802" i="1"/>
  <c r="E256" i="1"/>
  <c r="D648" i="1"/>
  <c r="F46" i="1"/>
  <c r="B601" i="1"/>
  <c r="D703" i="1"/>
  <c r="B1844" i="1"/>
  <c r="E1041" i="1"/>
  <c r="E206" i="1"/>
  <c r="B1212" i="1"/>
  <c r="E610" i="1"/>
  <c r="E1780" i="1"/>
  <c r="E1658" i="1"/>
  <c r="D497" i="1"/>
  <c r="E107" i="1"/>
  <c r="E650" i="1"/>
  <c r="B1403" i="1"/>
  <c r="D1547" i="1"/>
  <c r="F1076" i="1"/>
  <c r="E564" i="1"/>
  <c r="E135" i="1"/>
  <c r="D732" i="1"/>
  <c r="D84" i="1"/>
  <c r="B1017" i="1"/>
  <c r="E1222" i="1"/>
  <c r="D166" i="1"/>
  <c r="B1757" i="1"/>
  <c r="E1587" i="1"/>
  <c r="D415" i="1"/>
  <c r="B523" i="1"/>
  <c r="E529" i="1"/>
  <c r="E321" i="1"/>
  <c r="D1221" i="1"/>
  <c r="D571" i="1"/>
  <c r="D1805" i="1"/>
  <c r="E493" i="1"/>
  <c r="B240" i="1"/>
  <c r="E15" i="1"/>
  <c r="B1221" i="1"/>
  <c r="F683" i="1"/>
  <c r="E1095" i="1"/>
  <c r="E1021" i="1"/>
  <c r="B184" i="1"/>
  <c r="E1724" i="1"/>
  <c r="B893" i="1"/>
  <c r="B532" i="1"/>
  <c r="E158" i="1"/>
  <c r="E1112" i="1"/>
  <c r="D37" i="1"/>
  <c r="E766" i="1"/>
  <c r="D558" i="1"/>
  <c r="F333" i="1"/>
  <c r="B737" i="1"/>
  <c r="E878" i="1"/>
  <c r="E216" i="1"/>
  <c r="B864" i="1"/>
  <c r="E635" i="1"/>
  <c r="E830" i="1"/>
  <c r="D857" i="1"/>
  <c r="F632" i="1"/>
  <c r="E1043" i="1"/>
  <c r="D342" i="1"/>
  <c r="E452" i="1"/>
  <c r="E1012" i="1"/>
  <c r="D1757" i="1"/>
  <c r="D685" i="1"/>
  <c r="E1500" i="1"/>
  <c r="F378" i="1"/>
  <c r="E10" i="1"/>
  <c r="D1587" i="1"/>
  <c r="D583" i="1"/>
  <c r="E35" i="1"/>
  <c r="E1449" i="1"/>
  <c r="B1417" i="1"/>
  <c r="F1713" i="1"/>
  <c r="E1648" i="1"/>
  <c r="D945" i="1"/>
  <c r="E768" i="1"/>
  <c r="D806" i="1"/>
  <c r="D45" i="1"/>
  <c r="E19" i="1"/>
  <c r="F602" i="1"/>
  <c r="E1642" i="1"/>
  <c r="E9" i="1"/>
  <c r="E741" i="1"/>
  <c r="E722" i="1"/>
  <c r="D401" i="1"/>
  <c r="E1641" i="1"/>
  <c r="B85" i="1"/>
  <c r="E129" i="1"/>
  <c r="E47" i="1"/>
  <c r="E1188" i="1"/>
  <c r="E1067" i="1"/>
  <c r="D989" i="1"/>
  <c r="D305" i="1"/>
  <c r="F954" i="1"/>
  <c r="C935" i="1"/>
  <c r="D1298" i="1"/>
  <c r="E317" i="1"/>
  <c r="D1735" i="1"/>
  <c r="E385" i="1"/>
  <c r="E359" i="1"/>
  <c r="E800" i="1"/>
  <c r="E1326" i="1"/>
  <c r="B1538" i="1"/>
  <c r="B1315" i="1"/>
  <c r="E374" i="1"/>
  <c r="E1183" i="1"/>
  <c r="E1063" i="1"/>
  <c r="E974" i="1"/>
  <c r="B1148" i="1"/>
  <c r="E694" i="1"/>
  <c r="D1690" i="1"/>
  <c r="E1416" i="1"/>
  <c r="B836" i="1"/>
  <c r="E730" i="1"/>
  <c r="D1711" i="1"/>
  <c r="D1004" i="1"/>
  <c r="E646" i="1"/>
  <c r="D555" i="1"/>
  <c r="E1643" i="1"/>
  <c r="E512" i="1"/>
  <c r="D290" i="1"/>
  <c r="D410" i="1"/>
  <c r="D75" i="1"/>
  <c r="E1739" i="1"/>
  <c r="F460" i="1"/>
  <c r="D158" i="1"/>
  <c r="B1335" i="1"/>
  <c r="D570" i="1"/>
  <c r="D937" i="1"/>
  <c r="E192" i="1"/>
  <c r="E355" i="1"/>
  <c r="D1750" i="1"/>
  <c r="B1724" i="1"/>
  <c r="D746" i="1"/>
  <c r="E1190" i="1"/>
  <c r="E1170" i="1"/>
  <c r="D1562" i="1"/>
  <c r="F241" i="1"/>
  <c r="E579" i="1"/>
  <c r="E1720" i="1"/>
  <c r="E489" i="1"/>
  <c r="E639" i="1"/>
  <c r="E1477" i="1"/>
  <c r="E857" i="1"/>
  <c r="F112" i="1"/>
  <c r="F35" i="1"/>
  <c r="D710" i="1"/>
  <c r="D265" i="1"/>
  <c r="F1486" i="1"/>
  <c r="E1576" i="1"/>
  <c r="B911" i="1"/>
  <c r="B1160" i="1"/>
  <c r="F1828" i="1"/>
  <c r="E983" i="1"/>
  <c r="D1170" i="1"/>
  <c r="E1126" i="1"/>
  <c r="D764" i="1"/>
  <c r="E326" i="1"/>
  <c r="E1334" i="1"/>
  <c r="D124" i="1"/>
  <c r="F129" i="1"/>
  <c r="D375" i="1"/>
  <c r="D216" i="1"/>
  <c r="B1460" i="1"/>
  <c r="D1267" i="1"/>
  <c r="D368" i="1"/>
  <c r="D1042" i="1"/>
  <c r="E467" i="1"/>
  <c r="E1149" i="1"/>
  <c r="D1139" i="1"/>
  <c r="E1419" i="1"/>
  <c r="F1444" i="1"/>
  <c r="B235" i="1"/>
  <c r="D519" i="1"/>
  <c r="B1566" i="1"/>
  <c r="D1368" i="1"/>
  <c r="E1566" i="1"/>
  <c r="D512" i="1"/>
  <c r="D832" i="1"/>
  <c r="E654" i="1"/>
  <c r="B1668" i="1"/>
  <c r="F1442" i="1"/>
  <c r="E1234" i="1"/>
  <c r="D1719" i="1"/>
  <c r="B102" i="1"/>
  <c r="D666" i="1"/>
  <c r="D193" i="1"/>
  <c r="E1568" i="1"/>
  <c r="D451" i="1"/>
  <c r="D1116" i="1"/>
  <c r="D228" i="1"/>
  <c r="D66" i="1"/>
  <c r="B938" i="1"/>
  <c r="B646" i="1"/>
  <c r="E845" i="1"/>
  <c r="D1026" i="1"/>
  <c r="B1830" i="1"/>
  <c r="D42" i="1"/>
  <c r="E799" i="1"/>
  <c r="D64" i="1"/>
  <c r="E532" i="1"/>
  <c r="D1585" i="1"/>
  <c r="D838" i="1"/>
  <c r="E126" i="1"/>
  <c r="D797" i="1"/>
  <c r="E1046" i="1"/>
  <c r="D530" i="1"/>
  <c r="B378" i="1"/>
  <c r="E1736" i="1"/>
  <c r="E1800" i="1"/>
  <c r="E612" i="1"/>
  <c r="E1654" i="1"/>
  <c r="D1325" i="1"/>
  <c r="E1139" i="1"/>
  <c r="D141" i="1"/>
  <c r="D1581" i="1"/>
  <c r="D991" i="1"/>
  <c r="D420" i="1"/>
  <c r="E179" i="1"/>
  <c r="E772" i="1"/>
  <c r="E584" i="1"/>
  <c r="E1058" i="1"/>
  <c r="E1617" i="1"/>
  <c r="E1311" i="1"/>
  <c r="D345" i="1"/>
  <c r="D783" i="1"/>
  <c r="D132" i="1"/>
  <c r="E248" i="1"/>
  <c r="E557" i="1"/>
  <c r="E232" i="1"/>
  <c r="E305" i="1"/>
  <c r="B1368" i="1"/>
  <c r="B1093" i="1"/>
  <c r="E583" i="1"/>
  <c r="E1589" i="1"/>
  <c r="E1811" i="1"/>
  <c r="E1167" i="1"/>
  <c r="E22" i="1"/>
  <c r="F873" i="1"/>
  <c r="E1174" i="1"/>
  <c r="E1732" i="1"/>
  <c r="D670" i="1"/>
  <c r="E1339" i="1"/>
  <c r="E795" i="1"/>
  <c r="E5" i="1"/>
  <c r="F1080" i="1"/>
  <c r="E241" i="1"/>
  <c r="E55" i="1"/>
  <c r="E4" i="1"/>
  <c r="B822" i="1"/>
  <c r="E1714" i="1"/>
  <c r="D362" i="1"/>
  <c r="F1757" i="1"/>
  <c r="E204" i="1"/>
  <c r="D1398" i="1"/>
  <c r="D398" i="1"/>
  <c r="E553" i="1"/>
  <c r="E150" i="1"/>
  <c r="E34" i="1"/>
  <c r="E1033" i="1"/>
  <c r="E806" i="1"/>
  <c r="D391" i="1"/>
  <c r="D1573" i="1"/>
  <c r="E61" i="1"/>
  <c r="D1400" i="1"/>
  <c r="B874" i="1"/>
  <c r="E68" i="1"/>
  <c r="D365" i="1"/>
  <c r="D622" i="1"/>
  <c r="E1107" i="1"/>
  <c r="E441" i="1"/>
  <c r="D1728" i="1"/>
  <c r="D1829" i="1"/>
  <c r="D1487" i="1"/>
  <c r="D654" i="1"/>
  <c r="D1607" i="1"/>
  <c r="E1272" i="1"/>
  <c r="D303" i="1"/>
  <c r="E286" i="1"/>
  <c r="D1661" i="1"/>
  <c r="D548" i="1"/>
  <c r="D276" i="1"/>
  <c r="E1054" i="1"/>
  <c r="B19" i="1"/>
  <c r="F343" i="1"/>
  <c r="D1208" i="1"/>
  <c r="D1474" i="1"/>
  <c r="E1299" i="1"/>
  <c r="D1205" i="1"/>
  <c r="D1637" i="1"/>
  <c r="B475" i="1"/>
  <c r="E430" i="1"/>
  <c r="D1321" i="1"/>
  <c r="E350" i="1"/>
  <c r="E953" i="1"/>
  <c r="F132" i="1"/>
  <c r="B1712" i="1"/>
  <c r="B1806" i="1"/>
  <c r="B763" i="1"/>
  <c r="B1834" i="1"/>
  <c r="E669" i="1"/>
  <c r="E563" i="1"/>
  <c r="B1511" i="1"/>
  <c r="B1825" i="1"/>
  <c r="E699" i="1"/>
  <c r="D414" i="1"/>
  <c r="D152" i="1"/>
  <c r="E354" i="1"/>
  <c r="B166" i="1"/>
  <c r="E1212" i="1"/>
  <c r="B591" i="1"/>
  <c r="E1432" i="1"/>
  <c r="D354" i="1"/>
  <c r="D1196" i="1"/>
  <c r="E245" i="1"/>
  <c r="D67" i="1"/>
  <c r="E1166" i="1"/>
  <c r="D34" i="1"/>
  <c r="E1203" i="1"/>
  <c r="B1394" i="1"/>
  <c r="B654" i="1"/>
  <c r="F1137" i="1"/>
  <c r="F953" i="1"/>
  <c r="E936" i="1"/>
  <c r="B614" i="1"/>
  <c r="D1538" i="1"/>
  <c r="E840" i="1"/>
  <c r="E1270" i="1"/>
  <c r="E365" i="1"/>
  <c r="B138" i="1"/>
  <c r="D248" i="1"/>
  <c r="B1287" i="1"/>
  <c r="E253" i="1"/>
  <c r="D1159" i="1"/>
  <c r="D173" i="1"/>
  <c r="E1346" i="1"/>
  <c r="D393" i="1"/>
  <c r="B1041" i="1"/>
  <c r="E966" i="1"/>
  <c r="E1160" i="1"/>
  <c r="E947" i="1"/>
  <c r="B560" i="1"/>
  <c r="D505" i="1"/>
  <c r="D521" i="1"/>
  <c r="B689" i="1"/>
  <c r="E1306" i="1"/>
  <c r="F1674" i="1"/>
  <c r="F1781" i="1"/>
  <c r="E521" i="1"/>
  <c r="E1588" i="1"/>
  <c r="D984" i="1"/>
  <c r="D1107" i="1"/>
  <c r="D815" i="1"/>
  <c r="E1354" i="1"/>
  <c r="D1072" i="1"/>
  <c r="D1058" i="1"/>
  <c r="D1278" i="1"/>
  <c r="D606" i="1"/>
  <c r="D766" i="1"/>
  <c r="D1765" i="1"/>
  <c r="E652" i="1"/>
  <c r="D868" i="1"/>
  <c r="E127" i="1"/>
  <c r="D260" i="1"/>
  <c r="D347" i="1"/>
  <c r="D339" i="1"/>
  <c r="E1460" i="1"/>
  <c r="D1280" i="1"/>
  <c r="C1308" i="1"/>
  <c r="B661" i="1"/>
  <c r="E594" i="1"/>
  <c r="D1149" i="1"/>
  <c r="D1760" i="1"/>
  <c r="E882" i="1"/>
  <c r="D1642" i="1"/>
  <c r="E102" i="1"/>
  <c r="E1493" i="1"/>
  <c r="E1730" i="1"/>
  <c r="D1394" i="1"/>
  <c r="D350" i="1"/>
  <c r="E1406" i="1"/>
  <c r="D1766" i="1"/>
  <c r="D1061" i="1"/>
  <c r="B1032" i="1"/>
  <c r="E72" i="1"/>
  <c r="E84" i="1"/>
  <c r="D1354" i="1"/>
  <c r="E1613" i="1"/>
  <c r="B95" i="1"/>
  <c r="E1661" i="1"/>
  <c r="D1844" i="1"/>
  <c r="E1828" i="1"/>
  <c r="E1857" i="1"/>
  <c r="C398" i="1"/>
  <c r="E1487" i="1"/>
  <c r="E1135" i="1"/>
  <c r="E1410" i="1"/>
  <c r="E329" i="1"/>
  <c r="E485" i="1"/>
  <c r="B706" i="1"/>
  <c r="D1508" i="1"/>
  <c r="E510" i="1"/>
  <c r="D916" i="1"/>
  <c r="D438" i="1"/>
  <c r="D417" i="1"/>
  <c r="E661" i="1"/>
  <c r="D1523" i="1"/>
  <c r="D1537" i="1"/>
  <c r="E571" i="1"/>
  <c r="D178" i="1"/>
  <c r="B770" i="1"/>
  <c r="F407" i="1"/>
  <c r="E454" i="1"/>
  <c r="D1251" i="1"/>
  <c r="E1507" i="1"/>
  <c r="F1734" i="1"/>
  <c r="E200" i="1"/>
  <c r="E398" i="1"/>
  <c r="D540" i="1"/>
  <c r="E939" i="1"/>
  <c r="E1385" i="1"/>
  <c r="D841" i="1"/>
  <c r="D1505" i="1"/>
  <c r="E315" i="1"/>
  <c r="E1002" i="1"/>
  <c r="E240" i="1"/>
  <c r="F1424" i="1"/>
  <c r="D661" i="1"/>
  <c r="B1303" i="1"/>
  <c r="D1482" i="1"/>
  <c r="D1266" i="1"/>
  <c r="E1049" i="1"/>
  <c r="E1676" i="1"/>
  <c r="D1685" i="1"/>
  <c r="D830" i="1"/>
  <c r="E992" i="1"/>
  <c r="E425" i="1"/>
  <c r="E990" i="1"/>
  <c r="D657" i="1"/>
  <c r="D1037" i="1"/>
  <c r="D1177" i="1"/>
  <c r="E1829" i="1"/>
  <c r="D352" i="1"/>
  <c r="E1624" i="1"/>
  <c r="E569" i="1"/>
  <c r="F1731" i="1"/>
  <c r="E1701" i="1"/>
  <c r="C1685" i="1"/>
  <c r="D440" i="1"/>
  <c r="D1090" i="1"/>
  <c r="D944" i="1"/>
  <c r="C125" i="1"/>
  <c r="F989" i="1"/>
  <c r="B226" i="1"/>
  <c r="B1512" i="1"/>
  <c r="D709" i="1"/>
  <c r="E976" i="1"/>
  <c r="B126" i="1"/>
  <c r="D892" i="1"/>
  <c r="E1689" i="1"/>
  <c r="D437" i="1"/>
  <c r="D236" i="1"/>
  <c r="B692" i="1"/>
  <c r="E1258" i="1"/>
  <c r="E1690" i="1"/>
  <c r="D1457" i="1"/>
  <c r="B1673" i="1"/>
  <c r="D996" i="1"/>
  <c r="B132" i="1"/>
  <c r="E1146" i="1"/>
  <c r="B570" i="1"/>
  <c r="E1197" i="1"/>
  <c r="B600" i="1"/>
  <c r="F633" i="1"/>
  <c r="F946" i="1"/>
  <c r="E548" i="1"/>
  <c r="D935" i="1"/>
  <c r="D1764" i="1"/>
  <c r="E1400" i="1"/>
  <c r="B1180" i="1"/>
  <c r="F288" i="1"/>
  <c r="D1836" i="1"/>
  <c r="C614" i="1"/>
  <c r="B129" i="1"/>
  <c r="E638" i="1"/>
  <c r="D780" i="1"/>
  <c r="D286" i="1"/>
  <c r="B1285" i="1"/>
  <c r="E1040" i="1"/>
  <c r="E1835" i="1"/>
  <c r="E212" i="1"/>
  <c r="E707" i="1"/>
  <c r="D1814" i="1"/>
  <c r="E792" i="1"/>
  <c r="D277" i="1"/>
  <c r="D1188" i="1"/>
  <c r="B305" i="1"/>
  <c r="B476" i="1"/>
  <c r="B109" i="1"/>
  <c r="D1535" i="1"/>
  <c r="D232" i="1"/>
  <c r="B368" i="1"/>
  <c r="B1766" i="1"/>
  <c r="E695" i="1"/>
  <c r="E1341" i="1"/>
  <c r="F465" i="1"/>
  <c r="E754" i="1"/>
  <c r="B1004" i="1"/>
  <c r="D33" i="1"/>
  <c r="B1551" i="1"/>
  <c r="B832" i="1"/>
  <c r="E1711" i="1"/>
  <c r="E1228" i="1"/>
  <c r="D963" i="1"/>
  <c r="B499" i="1"/>
  <c r="B1772" i="1"/>
  <c r="E1437" i="1"/>
  <c r="E817" i="1"/>
  <c r="E1282" i="1"/>
  <c r="E378" i="1"/>
  <c r="D893" i="1"/>
  <c r="E1824" i="1"/>
  <c r="E731" i="1"/>
  <c r="D87" i="1"/>
  <c r="E437" i="1"/>
  <c r="E537" i="1"/>
  <c r="E1185" i="1"/>
  <c r="E744" i="1"/>
  <c r="E183" i="1"/>
  <c r="E1670" i="1"/>
  <c r="D1256" i="1"/>
  <c r="E1499" i="1"/>
  <c r="E215" i="1"/>
  <c r="E1803" i="1"/>
  <c r="E1106" i="1"/>
  <c r="D273" i="1"/>
  <c r="E1143" i="1"/>
  <c r="D696" i="1"/>
  <c r="D1095" i="1"/>
  <c r="E222" i="1"/>
  <c r="E1276" i="1"/>
  <c r="E505" i="1"/>
  <c r="E1173" i="1"/>
  <c r="E1482" i="1"/>
  <c r="E1787" i="1"/>
  <c r="E636" i="1"/>
  <c r="E1405" i="1"/>
  <c r="E416" i="1"/>
  <c r="D712" i="1"/>
  <c r="B955" i="1"/>
  <c r="D181" i="1"/>
  <c r="E87" i="1"/>
  <c r="E1100" i="1"/>
  <c r="E907" i="1"/>
  <c r="E1240" i="1"/>
  <c r="B1599" i="1"/>
  <c r="E497" i="1"/>
  <c r="E917" i="1"/>
  <c r="E1317" i="1"/>
  <c r="E1459" i="1"/>
  <c r="E1713" i="1"/>
  <c r="F127" i="1"/>
  <c r="B852" i="1"/>
  <c r="E767" i="1"/>
  <c r="E1541" i="1"/>
  <c r="E13" i="1"/>
  <c r="D1148" i="1"/>
  <c r="B735" i="1"/>
  <c r="D837" i="1"/>
  <c r="E1513" i="1"/>
  <c r="E36" i="1"/>
  <c r="B947" i="1"/>
  <c r="E780" i="1"/>
  <c r="E316" i="1"/>
  <c r="D299" i="1"/>
  <c r="D1299" i="1"/>
  <c r="D1056" i="1"/>
  <c r="E648" i="1"/>
  <c r="E39" i="1"/>
  <c r="E523" i="1"/>
  <c r="D432" i="1"/>
  <c r="E1278" i="1"/>
  <c r="D726" i="1"/>
  <c r="E618" i="1"/>
  <c r="F1453" i="1"/>
  <c r="F120" i="1"/>
  <c r="B1771" i="1"/>
  <c r="B1395" i="1"/>
  <c r="E187" i="1"/>
  <c r="B205" i="1"/>
  <c r="E756" i="1"/>
  <c r="E1348" i="1"/>
  <c r="E954" i="1"/>
  <c r="E1215" i="1"/>
  <c r="D283" i="1"/>
  <c r="E818" i="1"/>
  <c r="E1061" i="1"/>
  <c r="E1557" i="1"/>
  <c r="E1200" i="1"/>
  <c r="B666" i="1"/>
  <c r="B534" i="1"/>
  <c r="E984" i="1"/>
  <c r="B1281" i="1"/>
  <c r="E295" i="1"/>
  <c r="D460" i="1"/>
  <c r="D1717" i="1"/>
  <c r="B1620" i="1"/>
  <c r="D1319" i="1"/>
  <c r="B359" i="1"/>
  <c r="D1228" i="1"/>
  <c r="B723" i="1"/>
  <c r="E1496" i="1"/>
  <c r="D888" i="1"/>
  <c r="E1168" i="1"/>
  <c r="F928" i="1"/>
  <c r="F1058" i="1"/>
  <c r="F660" i="1"/>
  <c r="C387" i="1"/>
  <c r="B1812" i="1"/>
  <c r="D1079" i="1"/>
  <c r="B37" i="1"/>
  <c r="B400" i="1"/>
  <c r="D907" i="1"/>
  <c r="D1123" i="1"/>
  <c r="D1190" i="1"/>
  <c r="B1250" i="1"/>
  <c r="E995" i="1"/>
  <c r="D1617" i="1"/>
  <c r="E712" i="1"/>
  <c r="E804" i="1"/>
  <c r="B448" i="1"/>
  <c r="E181" i="1"/>
  <c r="F1050" i="1"/>
  <c r="E1340" i="1"/>
  <c r="B34" i="1"/>
  <c r="D385" i="1"/>
  <c r="F1190" i="1"/>
  <c r="B1670" i="1"/>
  <c r="E1786" i="1"/>
  <c r="B300" i="1"/>
  <c r="D717" i="1"/>
  <c r="E1718" i="1"/>
  <c r="E1412" i="1"/>
  <c r="D810" i="1"/>
  <c r="E488" i="1"/>
  <c r="B1829" i="1"/>
  <c r="D1250" i="1"/>
  <c r="E690" i="1"/>
  <c r="D740" i="1"/>
  <c r="B1660" i="1"/>
  <c r="B1734" i="1"/>
  <c r="D1249" i="1"/>
  <c r="D1043" i="1"/>
  <c r="D377" i="1"/>
  <c r="E567" i="1"/>
  <c r="C1124" i="1"/>
  <c r="D1143" i="1"/>
  <c r="D130" i="1"/>
  <c r="E1137" i="1"/>
  <c r="E251" i="1"/>
  <c r="E11" i="1"/>
  <c r="D70" i="1"/>
  <c r="E1251" i="1"/>
  <c r="E453" i="1"/>
  <c r="D1656" i="1"/>
  <c r="B547" i="1"/>
  <c r="E189" i="1"/>
  <c r="E1485" i="1"/>
  <c r="D1539" i="1"/>
  <c r="E576" i="1"/>
  <c r="D882" i="1"/>
  <c r="E288" i="1"/>
  <c r="E855" i="1"/>
  <c r="E63" i="1"/>
  <c r="E866" i="1"/>
  <c r="E1629" i="1"/>
  <c r="E1125" i="1"/>
  <c r="D1333" i="1"/>
  <c r="B1857" i="1"/>
  <c r="E234" i="1"/>
  <c r="E1044" i="1"/>
  <c r="D12" i="1"/>
  <c r="E934" i="1"/>
  <c r="D10" i="1"/>
  <c r="D225" i="1"/>
  <c r="E152" i="1"/>
  <c r="D1849" i="1"/>
  <c r="D1311" i="1"/>
  <c r="D1450" i="1"/>
  <c r="B803" i="1"/>
  <c r="D1192" i="1"/>
  <c r="E937" i="1"/>
  <c r="D1433" i="1"/>
  <c r="E897" i="1"/>
  <c r="D1046" i="1"/>
  <c r="E482" i="1"/>
  <c r="D677" i="1"/>
  <c r="E339" i="1"/>
  <c r="E715" i="1"/>
  <c r="D1529" i="1"/>
  <c r="E1335" i="1"/>
  <c r="F713" i="1"/>
  <c r="D730" i="1"/>
  <c r="D1293" i="1"/>
  <c r="D1478" i="1"/>
  <c r="D475" i="1"/>
  <c r="D1314" i="1"/>
  <c r="E1790" i="1"/>
  <c r="B112" i="1"/>
  <c r="D1783" i="1"/>
  <c r="F398" i="1"/>
  <c r="D1035" i="1"/>
  <c r="D954" i="1"/>
  <c r="E703" i="1"/>
  <c r="B981" i="1"/>
  <c r="B815" i="1"/>
  <c r="E575" i="1"/>
  <c r="E92" i="1"/>
  <c r="E457" i="1"/>
  <c r="D407" i="1"/>
  <c r="E1635" i="1"/>
  <c r="E1256" i="1"/>
  <c r="B1087" i="1"/>
  <c r="E465" i="1"/>
  <c r="E1679" i="1"/>
  <c r="D897" i="1"/>
  <c r="D165" i="1"/>
  <c r="D986" i="1"/>
  <c r="D1002" i="1"/>
  <c r="D1064" i="1"/>
  <c r="E769" i="1"/>
  <c r="E615" i="1"/>
  <c r="E185" i="1"/>
  <c r="B1321" i="1"/>
  <c r="B243" i="1"/>
  <c r="E213" i="1"/>
  <c r="E1659" i="1"/>
  <c r="D135" i="1"/>
  <c r="E1794" i="1"/>
  <c r="D1791" i="1"/>
  <c r="E1221" i="1"/>
  <c r="E1111" i="1"/>
  <c r="D1041" i="1"/>
  <c r="D1570" i="1"/>
  <c r="E1489" i="1"/>
  <c r="D1362" i="1"/>
  <c r="E1372" i="1"/>
  <c r="E1664" i="1"/>
  <c r="D1054" i="1"/>
  <c r="D901" i="1"/>
  <c r="E996" i="1"/>
  <c r="E752" i="1"/>
  <c r="E1353" i="1"/>
  <c r="E470" i="1"/>
  <c r="D1033" i="1"/>
  <c r="E776" i="1"/>
  <c r="D330" i="1"/>
  <c r="B1052" i="1"/>
  <c r="E1356" i="1"/>
  <c r="B107" i="1"/>
  <c r="B1136" i="1"/>
  <c r="B1246" i="1"/>
  <c r="E145" i="1"/>
  <c r="B1411" i="1"/>
  <c r="E123" i="1"/>
  <c r="D1575" i="1"/>
  <c r="E165" i="1"/>
  <c r="D9" i="1"/>
  <c r="E1538" i="1"/>
  <c r="D727" i="1"/>
  <c r="E1283" i="1"/>
  <c r="E1184" i="1"/>
  <c r="B329" i="1"/>
  <c r="F826" i="1"/>
  <c r="B229" i="1"/>
  <c r="B133" i="1"/>
  <c r="D493" i="1"/>
  <c r="F580" i="1"/>
  <c r="E1349" i="1"/>
  <c r="D168" i="1"/>
  <c r="B808" i="1"/>
  <c r="D1686" i="1"/>
  <c r="C1024" i="1"/>
  <c r="D476" i="1"/>
  <c r="E1053" i="1"/>
  <c r="B991" i="1"/>
  <c r="D127" i="1"/>
  <c r="E1562" i="1"/>
  <c r="B10" i="1"/>
  <c r="E930" i="1"/>
  <c r="D725" i="1"/>
  <c r="B275" i="1"/>
  <c r="E1077" i="1"/>
  <c r="E1384" i="1"/>
  <c r="E414" i="1"/>
  <c r="E1196" i="1"/>
  <c r="E1438" i="1"/>
  <c r="E1512" i="1"/>
  <c r="E787" i="1"/>
  <c r="F53" i="1"/>
  <c r="D360" i="1"/>
  <c r="D526" i="1"/>
  <c r="B468" i="1"/>
  <c r="F721" i="1"/>
  <c r="E1745" i="1"/>
  <c r="E1329" i="1"/>
  <c r="D1315" i="1"/>
  <c r="B1626" i="1"/>
  <c r="E645" i="1"/>
  <c r="B1710" i="1"/>
  <c r="D1488" i="1"/>
  <c r="E1550" i="1"/>
  <c r="F3" i="1"/>
  <c r="B1256" i="1"/>
  <c r="D1320" i="1"/>
  <c r="D1460" i="1"/>
  <c r="D197" i="1"/>
  <c r="D1613" i="1"/>
  <c r="B958" i="1"/>
  <c r="D229" i="1"/>
  <c r="D1122" i="1"/>
  <c r="F499" i="1"/>
  <c r="D222" i="1"/>
  <c r="D1246" i="1"/>
  <c r="E188" i="1"/>
  <c r="D234" i="1"/>
  <c r="D1615" i="1"/>
  <c r="B474" i="1"/>
  <c r="E886" i="1"/>
  <c r="D655" i="1"/>
  <c r="B839" i="1"/>
  <c r="E163" i="1"/>
  <c r="E987" i="1"/>
  <c r="D110" i="1"/>
  <c r="E1797" i="1"/>
  <c r="E566" i="1"/>
  <c r="E1673" i="1"/>
  <c r="D1703" i="1"/>
  <c r="E1076" i="1"/>
  <c r="D1356" i="1"/>
  <c r="D576" i="1"/>
  <c r="E1454" i="1"/>
  <c r="D1093" i="1"/>
  <c r="E290" i="1"/>
  <c r="D1790" i="1"/>
  <c r="E710" i="1"/>
  <c r="D1275" i="1"/>
  <c r="B1586" i="1"/>
  <c r="E1296" i="1"/>
  <c r="D1429" i="1"/>
  <c r="D146" i="1"/>
  <c r="B1639" i="1"/>
  <c r="E1523" i="1"/>
  <c r="E434" i="1"/>
  <c r="D426" i="1"/>
  <c r="D768" i="1"/>
  <c r="E838" i="1"/>
  <c r="D4" i="1"/>
  <c r="E1674" i="1"/>
  <c r="B153" i="1"/>
  <c r="D1600" i="1"/>
  <c r="E1626" i="1"/>
  <c r="E1287" i="1"/>
  <c r="D389" i="1"/>
  <c r="D1019" i="1"/>
  <c r="E1488" i="1"/>
  <c r="D790" i="1"/>
  <c r="E1706" i="1"/>
  <c r="D65" i="1"/>
  <c r="D801" i="1"/>
  <c r="E1152" i="1"/>
  <c r="D1261" i="1"/>
  <c r="B1384" i="1"/>
  <c r="E475" i="1"/>
  <c r="E491" i="1"/>
  <c r="E1388" i="1"/>
  <c r="E1267" i="1"/>
  <c r="E1685" i="1"/>
  <c r="B351" i="1"/>
  <c r="F445" i="1"/>
  <c r="B1185" i="1"/>
  <c r="E1294" i="1"/>
  <c r="F811" i="1"/>
  <c r="C46" i="1"/>
  <c r="D1853" i="1"/>
  <c r="B952" i="1"/>
  <c r="E1018" i="1"/>
  <c r="B106" i="1"/>
  <c r="E1153" i="1"/>
  <c r="D1000" i="1"/>
  <c r="E451" i="1"/>
  <c r="E1812" i="1"/>
  <c r="D1781" i="1"/>
  <c r="D871" i="1"/>
  <c r="F1183" i="1"/>
  <c r="B1853" i="1"/>
  <c r="D640" i="1"/>
  <c r="D1010" i="1"/>
  <c r="E1708" i="1"/>
  <c r="C34" i="1"/>
  <c r="E1279" i="1"/>
  <c r="D1258" i="1"/>
  <c r="E43" i="1"/>
  <c r="E177" i="1"/>
  <c r="E229" i="1"/>
  <c r="B302" i="1"/>
  <c r="B660" i="1"/>
  <c r="B1329" i="1"/>
  <c r="B608" i="1"/>
  <c r="D695" i="1"/>
  <c r="D373" i="1"/>
  <c r="E903" i="1"/>
  <c r="D1700" i="1"/>
  <c r="F1164" i="1"/>
  <c r="E1768" i="1"/>
  <c r="B515" i="1"/>
  <c r="E395" i="1"/>
  <c r="E244" i="1"/>
  <c r="D195" i="1"/>
  <c r="B165" i="1"/>
  <c r="E1159" i="1"/>
  <c r="E1399" i="1"/>
  <c r="E1457" i="1"/>
  <c r="D1265" i="1"/>
  <c r="D326" i="1"/>
  <c r="E831" i="1"/>
  <c r="F455" i="1"/>
  <c r="F1033" i="1"/>
  <c r="D592" i="1"/>
  <c r="B1152" i="1"/>
  <c r="F1025" i="1"/>
  <c r="E51" i="1"/>
  <c r="E95" i="1"/>
  <c r="D1714" i="1"/>
  <c r="F813" i="1"/>
  <c r="D404" i="1"/>
  <c r="E1411" i="1"/>
  <c r="B501" i="1"/>
  <c r="E1425" i="1"/>
  <c r="B1219" i="1"/>
  <c r="E1798" i="1"/>
  <c r="E998" i="1"/>
  <c r="F488" i="1"/>
  <c r="E260" i="1"/>
  <c r="D1247" i="1"/>
  <c r="E1078" i="1"/>
  <c r="B711" i="1"/>
  <c r="D1412" i="1"/>
  <c r="D470" i="1"/>
  <c r="D11" i="1"/>
  <c r="B1419" i="1"/>
  <c r="D471" i="1"/>
  <c r="E813" i="1"/>
  <c r="E450" i="1"/>
  <c r="B835" i="1"/>
  <c r="E1298" i="1"/>
  <c r="E166" i="1"/>
  <c r="B127" i="1"/>
  <c r="D630" i="1"/>
  <c r="D488" i="1"/>
  <c r="E788" i="1"/>
  <c r="D1578" i="1"/>
  <c r="D1313" i="1"/>
  <c r="E778" i="1"/>
  <c r="E666" i="1"/>
  <c r="F439" i="1"/>
  <c r="E236" i="1"/>
  <c r="D1660" i="1"/>
  <c r="E764" i="1"/>
  <c r="E130" i="1"/>
  <c r="E1042" i="1"/>
  <c r="D1713" i="1"/>
  <c r="B1621" i="1"/>
  <c r="E367" i="1"/>
  <c r="E580" i="1"/>
  <c r="D952" i="1"/>
  <c r="D1024" i="1"/>
  <c r="E1319" i="1"/>
  <c r="B615" i="1"/>
  <c r="D416" i="1"/>
  <c r="D200" i="1"/>
  <c r="D1204" i="1"/>
  <c r="D1621" i="1"/>
  <c r="E1632" i="1"/>
  <c r="E627" i="1"/>
  <c r="D564" i="1"/>
  <c r="E1401" i="1"/>
  <c r="E1274" i="1"/>
  <c r="D957" i="1"/>
  <c r="E1392" i="1"/>
  <c r="D13" i="1"/>
  <c r="E301" i="1"/>
  <c r="D850" i="1"/>
  <c r="E1071" i="1"/>
  <c r="E586" i="1"/>
  <c r="E871" i="1"/>
  <c r="E122" i="1"/>
  <c r="E1615" i="1"/>
  <c r="E581" i="1"/>
  <c r="D294" i="1"/>
  <c r="E396" i="1"/>
  <c r="B117" i="1"/>
  <c r="D1718" i="1"/>
  <c r="E1647" i="1"/>
  <c r="D1073" i="1"/>
  <c r="D1647" i="1"/>
  <c r="D1108" i="1"/>
  <c r="E1208" i="1"/>
  <c r="E138" i="1"/>
  <c r="E1585" i="1"/>
  <c r="F1524" i="1"/>
  <c r="D844" i="1"/>
  <c r="D1550" i="1"/>
  <c r="B51" i="1"/>
  <c r="E1793" i="1"/>
  <c r="E1573" i="1"/>
  <c r="B1596" i="1"/>
  <c r="E1552" i="1"/>
  <c r="D1549" i="1"/>
  <c r="E342" i="1"/>
  <c r="B413" i="1"/>
  <c r="F1161" i="1"/>
  <c r="D138" i="1"/>
  <c r="E1309" i="1"/>
  <c r="E692" i="1"/>
  <c r="E1187" i="1"/>
  <c r="D543" i="1"/>
  <c r="D586" i="1"/>
  <c r="D1403" i="1"/>
  <c r="E375" i="1"/>
  <c r="E735" i="1"/>
  <c r="B833" i="1"/>
  <c r="B945" i="1"/>
  <c r="E148" i="1"/>
  <c r="E404" i="1"/>
  <c r="H1403" i="1" l="1"/>
  <c r="H586" i="1"/>
  <c r="H543" i="1"/>
  <c r="H138" i="1"/>
  <c r="H1549" i="1"/>
  <c r="H1550" i="1"/>
  <c r="H844" i="1"/>
  <c r="H1108" i="1"/>
  <c r="H1647" i="1"/>
  <c r="H1073" i="1"/>
  <c r="H1718" i="1"/>
  <c r="H294" i="1"/>
  <c r="H850" i="1"/>
  <c r="H13" i="1"/>
  <c r="H957" i="1"/>
  <c r="H564" i="1"/>
  <c r="H1621" i="1"/>
  <c r="H1204" i="1"/>
  <c r="H200" i="1"/>
  <c r="H416" i="1"/>
  <c r="H1024" i="1"/>
  <c r="H952" i="1"/>
  <c r="H1713" i="1"/>
  <c r="H1660" i="1"/>
  <c r="H1313" i="1"/>
  <c r="H1578" i="1"/>
  <c r="H488" i="1"/>
  <c r="H630" i="1"/>
  <c r="H471" i="1"/>
  <c r="H11" i="1"/>
  <c r="H470" i="1"/>
  <c r="H1412" i="1"/>
  <c r="H1247" i="1"/>
  <c r="H404" i="1"/>
  <c r="H1714" i="1"/>
  <c r="H592" i="1"/>
  <c r="H326" i="1"/>
  <c r="H1265" i="1"/>
  <c r="H195" i="1"/>
  <c r="H1700" i="1"/>
  <c r="H373" i="1"/>
  <c r="H695" i="1"/>
  <c r="H1258" i="1"/>
  <c r="H1010" i="1"/>
  <c r="H640" i="1"/>
  <c r="H871" i="1"/>
  <c r="H1781" i="1"/>
  <c r="H1000" i="1"/>
  <c r="H1853" i="1"/>
  <c r="H1261" i="1"/>
  <c r="H801" i="1"/>
  <c r="H65" i="1"/>
  <c r="H790" i="1"/>
  <c r="H1019" i="1"/>
  <c r="H389" i="1"/>
  <c r="H1600" i="1"/>
  <c r="H4" i="1"/>
  <c r="H768" i="1"/>
  <c r="H426" i="1"/>
  <c r="H146" i="1"/>
  <c r="H1429" i="1"/>
  <c r="H1275" i="1"/>
  <c r="H1790" i="1"/>
  <c r="H1093" i="1"/>
  <c r="H576" i="1"/>
  <c r="H1356" i="1"/>
  <c r="H1703" i="1"/>
  <c r="H110" i="1"/>
  <c r="H655" i="1"/>
  <c r="H1615" i="1"/>
  <c r="H234" i="1"/>
  <c r="H1246" i="1"/>
  <c r="H222" i="1"/>
  <c r="H1122" i="1"/>
  <c r="H229" i="1"/>
  <c r="H1613" i="1"/>
  <c r="H197" i="1"/>
  <c r="H1460" i="1"/>
  <c r="H1320" i="1"/>
  <c r="H1488" i="1"/>
  <c r="H1315" i="1"/>
  <c r="H526" i="1"/>
  <c r="H360" i="1"/>
  <c r="H725" i="1"/>
  <c r="H127" i="1"/>
  <c r="H476" i="1"/>
  <c r="H1686" i="1"/>
  <c r="H168" i="1"/>
  <c r="H493" i="1"/>
  <c r="H727" i="1"/>
  <c r="H9" i="1"/>
  <c r="H1575" i="1"/>
  <c r="H330" i="1"/>
  <c r="H1033" i="1"/>
  <c r="H901" i="1"/>
  <c r="H1054" i="1"/>
  <c r="H1362" i="1"/>
  <c r="H1570" i="1"/>
  <c r="H1041" i="1"/>
  <c r="H1791" i="1"/>
  <c r="H135" i="1"/>
  <c r="H1064" i="1"/>
  <c r="H1002" i="1"/>
  <c r="H986" i="1"/>
  <c r="H165" i="1"/>
  <c r="H897" i="1"/>
  <c r="H407" i="1"/>
  <c r="H954" i="1"/>
  <c r="H1035" i="1"/>
  <c r="H1783" i="1"/>
  <c r="H1314" i="1"/>
  <c r="H475" i="1"/>
  <c r="H1478" i="1"/>
  <c r="H1293" i="1"/>
  <c r="H730" i="1"/>
  <c r="H1529" i="1"/>
  <c r="H677" i="1"/>
  <c r="H1046" i="1"/>
  <c r="H1433" i="1"/>
  <c r="H1192" i="1"/>
  <c r="H1450" i="1"/>
  <c r="H1311" i="1"/>
  <c r="H1849" i="1"/>
  <c r="H225" i="1"/>
  <c r="H10" i="1"/>
  <c r="H12" i="1"/>
  <c r="H1333" i="1"/>
  <c r="H882" i="1"/>
  <c r="H1539" i="1"/>
  <c r="H1656" i="1"/>
  <c r="H70" i="1"/>
  <c r="H130" i="1"/>
  <c r="H1143" i="1"/>
  <c r="H377" i="1"/>
  <c r="H1043" i="1"/>
  <c r="H1249" i="1"/>
  <c r="H740" i="1"/>
  <c r="H1250" i="1"/>
  <c r="H810" i="1"/>
  <c r="H717" i="1"/>
  <c r="H385" i="1"/>
  <c r="H1617" i="1"/>
  <c r="H1190" i="1"/>
  <c r="H1123" i="1"/>
  <c r="H907" i="1"/>
  <c r="H1079" i="1"/>
  <c r="H888" i="1"/>
  <c r="H1228" i="1"/>
  <c r="H1319" i="1"/>
  <c r="H1717" i="1"/>
  <c r="H460" i="1"/>
  <c r="H283" i="1"/>
  <c r="H726" i="1"/>
  <c r="H432" i="1"/>
  <c r="H1056" i="1"/>
  <c r="H1299" i="1"/>
  <c r="H299" i="1"/>
  <c r="H837" i="1"/>
  <c r="H1148" i="1"/>
  <c r="H181" i="1"/>
  <c r="H712" i="1"/>
  <c r="H1095" i="1"/>
  <c r="H696" i="1"/>
  <c r="H273" i="1"/>
  <c r="H1256" i="1"/>
  <c r="H87" i="1"/>
  <c r="H893" i="1"/>
  <c r="H963" i="1"/>
  <c r="H33" i="1"/>
  <c r="H232" i="1"/>
  <c r="H1535" i="1"/>
  <c r="H1188" i="1"/>
  <c r="H277" i="1"/>
  <c r="H1814" i="1"/>
  <c r="H286" i="1"/>
  <c r="H780" i="1"/>
  <c r="H1836" i="1"/>
  <c r="H1764" i="1"/>
  <c r="H935" i="1"/>
  <c r="H996" i="1"/>
  <c r="H1457" i="1"/>
  <c r="H236" i="1"/>
  <c r="H437" i="1"/>
  <c r="H892" i="1"/>
  <c r="H709" i="1"/>
  <c r="H944" i="1"/>
  <c r="H1090" i="1"/>
  <c r="H440" i="1"/>
  <c r="H352" i="1"/>
  <c r="H1177" i="1"/>
  <c r="H1037" i="1"/>
  <c r="H657" i="1"/>
  <c r="H830" i="1"/>
  <c r="H1685" i="1"/>
  <c r="H1266" i="1"/>
  <c r="H1482" i="1"/>
  <c r="H661" i="1"/>
  <c r="H1505" i="1"/>
  <c r="H841" i="1"/>
  <c r="H540" i="1"/>
  <c r="H1251" i="1"/>
  <c r="H178" i="1"/>
  <c r="H1537" i="1"/>
  <c r="H1523" i="1"/>
  <c r="H417" i="1"/>
  <c r="H438" i="1"/>
  <c r="H916" i="1"/>
  <c r="H1508" i="1"/>
  <c r="H1844" i="1"/>
  <c r="H1354" i="1"/>
  <c r="H1061" i="1"/>
  <c r="H1766" i="1"/>
  <c r="H350" i="1"/>
  <c r="H1394" i="1"/>
  <c r="H1642" i="1"/>
  <c r="H1760" i="1"/>
  <c r="H1149" i="1"/>
  <c r="H1280" i="1"/>
  <c r="H339" i="1"/>
  <c r="H347" i="1"/>
  <c r="H260" i="1"/>
  <c r="H868" i="1"/>
  <c r="H1765" i="1"/>
  <c r="H766" i="1"/>
  <c r="H606" i="1"/>
  <c r="H1278" i="1"/>
  <c r="H1058" i="1"/>
  <c r="H1072" i="1"/>
  <c r="H815" i="1"/>
  <c r="H1107" i="1"/>
  <c r="H984" i="1"/>
  <c r="H521" i="1"/>
  <c r="H505" i="1"/>
  <c r="H393" i="1"/>
  <c r="H173" i="1"/>
  <c r="H1159" i="1"/>
  <c r="H248" i="1"/>
  <c r="H1538" i="1"/>
  <c r="H34" i="1"/>
  <c r="H67" i="1"/>
  <c r="H1196" i="1"/>
  <c r="H354" i="1"/>
  <c r="H152" i="1"/>
  <c r="H414" i="1"/>
  <c r="H1321" i="1"/>
  <c r="H1637" i="1"/>
  <c r="H1205" i="1"/>
  <c r="H1474" i="1"/>
  <c r="H1208" i="1"/>
  <c r="H276" i="1"/>
  <c r="H548" i="1"/>
  <c r="H1661" i="1"/>
  <c r="H303" i="1"/>
  <c r="H1607" i="1"/>
  <c r="H654" i="1"/>
  <c r="H1487" i="1"/>
  <c r="H1829" i="1"/>
  <c r="H1728" i="1"/>
  <c r="H622" i="1"/>
  <c r="H365" i="1"/>
  <c r="H1400" i="1"/>
  <c r="H1573" i="1"/>
  <c r="H391" i="1"/>
  <c r="H398" i="1"/>
  <c r="H1398" i="1"/>
  <c r="H362" i="1"/>
  <c r="H670" i="1"/>
  <c r="H132" i="1"/>
  <c r="H783" i="1"/>
  <c r="H345" i="1"/>
  <c r="H420" i="1"/>
  <c r="H991" i="1"/>
  <c r="H1581" i="1"/>
  <c r="H141" i="1"/>
  <c r="H1325" i="1"/>
  <c r="H530" i="1"/>
  <c r="H797" i="1"/>
  <c r="H838" i="1"/>
  <c r="H1585" i="1"/>
  <c r="H64" i="1"/>
  <c r="H42" i="1"/>
  <c r="H1026" i="1"/>
  <c r="H66" i="1"/>
  <c r="H228" i="1"/>
  <c r="H1116" i="1"/>
  <c r="H451" i="1"/>
  <c r="H193" i="1"/>
  <c r="H666" i="1"/>
  <c r="H1719" i="1"/>
  <c r="H832" i="1"/>
  <c r="H512" i="1"/>
  <c r="H1368" i="1"/>
  <c r="H519" i="1"/>
  <c r="H1139" i="1"/>
  <c r="H1042" i="1"/>
  <c r="H368" i="1"/>
  <c r="H1267" i="1"/>
  <c r="H216" i="1"/>
  <c r="H375" i="1"/>
  <c r="H124" i="1"/>
  <c r="H764" i="1"/>
  <c r="H1170" i="1"/>
  <c r="H265" i="1"/>
  <c r="H710" i="1"/>
  <c r="H1562" i="1"/>
  <c r="H746" i="1"/>
  <c r="H1750" i="1"/>
  <c r="H937" i="1"/>
  <c r="H570" i="1"/>
  <c r="H158" i="1"/>
  <c r="H75" i="1"/>
  <c r="H410" i="1"/>
  <c r="H290" i="1"/>
  <c r="H555" i="1"/>
  <c r="H1004" i="1"/>
  <c r="H1711" i="1"/>
  <c r="H1690" i="1"/>
  <c r="H1735" i="1"/>
  <c r="H1298" i="1"/>
  <c r="H305" i="1"/>
  <c r="H989" i="1"/>
  <c r="H401" i="1"/>
  <c r="H45" i="1"/>
  <c r="H806" i="1"/>
  <c r="H945" i="1"/>
  <c r="H583" i="1"/>
  <c r="H1587" i="1"/>
  <c r="H685" i="1"/>
  <c r="H1757" i="1"/>
  <c r="H342" i="1"/>
  <c r="H857" i="1"/>
  <c r="H558" i="1"/>
  <c r="H37" i="1"/>
  <c r="H1805" i="1"/>
  <c r="H571" i="1"/>
  <c r="H1221" i="1"/>
  <c r="H415" i="1"/>
  <c r="H166" i="1"/>
  <c r="H84" i="1"/>
  <c r="H732" i="1"/>
  <c r="H1547" i="1"/>
  <c r="H497" i="1"/>
  <c r="H703" i="1"/>
  <c r="H648" i="1"/>
  <c r="H802" i="1"/>
  <c r="H713" i="1"/>
  <c r="H580" i="1"/>
  <c r="H789" i="1"/>
  <c r="H836" i="1"/>
  <c r="H314" i="1"/>
  <c r="H872" i="1"/>
  <c r="H1420" i="1"/>
  <c r="H627" i="1"/>
  <c r="H1771" i="1"/>
  <c r="H155" i="1"/>
  <c r="H534" i="1"/>
  <c r="H1118" i="1"/>
  <c r="H660" i="1"/>
  <c r="H1424" i="1"/>
  <c r="H1232" i="1"/>
  <c r="H1153" i="1"/>
  <c r="H794" i="1"/>
  <c r="H1077" i="1"/>
  <c r="H333" i="1"/>
  <c r="H183" i="1"/>
  <c r="H931" i="1"/>
  <c r="H1167" i="1"/>
  <c r="H1835" i="1"/>
  <c r="H693" i="1"/>
  <c r="H1219" i="1"/>
  <c r="H241" i="1"/>
  <c r="H133" i="1"/>
  <c r="H287" i="1"/>
  <c r="H457" i="1"/>
  <c r="H1566" i="1"/>
  <c r="H191" i="1"/>
  <c r="H129" i="1"/>
  <c r="H754" i="1"/>
  <c r="H577" i="1"/>
  <c r="H983" i="1"/>
  <c r="H6" i="1"/>
  <c r="H213" i="1"/>
  <c r="H1786" i="1"/>
  <c r="H1648" i="1"/>
  <c r="H1611" i="1"/>
  <c r="H849" i="1"/>
  <c r="H1812" i="1"/>
  <c r="H1406" i="1"/>
  <c r="H111" i="1"/>
  <c r="H959" i="1"/>
  <c r="H1645" i="1"/>
  <c r="H976" i="1"/>
  <c r="H683" i="1"/>
  <c r="H1185" i="1"/>
  <c r="H498" i="1"/>
  <c r="H811" i="1"/>
  <c r="H1486" i="1"/>
  <c r="H1163" i="1"/>
  <c r="H922" i="1"/>
  <c r="H313" i="1"/>
  <c r="H834" i="1"/>
  <c r="H21" i="1"/>
  <c r="H1040" i="1"/>
  <c r="H109" i="1"/>
  <c r="H1789" i="1"/>
  <c r="H1371" i="1"/>
  <c r="H1404" i="1"/>
  <c r="H928" i="1"/>
  <c r="H1011" i="1"/>
  <c r="H1432" i="1"/>
  <c r="H1399" i="1"/>
  <c r="H1454" i="1"/>
  <c r="H301" i="1"/>
  <c r="H873" i="1"/>
  <c r="H1200" i="1"/>
  <c r="H1435" i="1"/>
  <c r="H322" i="1"/>
  <c r="H664" i="1"/>
  <c r="H632" i="1"/>
  <c r="H329" i="1"/>
  <c r="H569" i="1"/>
  <c r="H779" i="1"/>
  <c r="H1689" i="1"/>
  <c r="H1579" i="1"/>
  <c r="H1282" i="1"/>
  <c r="H1720" i="1"/>
  <c r="H60" i="1"/>
  <c r="H702" i="1"/>
  <c r="H629" i="1"/>
  <c r="H1193" i="1"/>
  <c r="H1029" i="1"/>
  <c r="H1182" i="1"/>
  <c r="H1706" i="1"/>
  <c r="H1419" i="1"/>
  <c r="H1087" i="1"/>
  <c r="H1437" i="1"/>
  <c r="H731" i="1"/>
  <c r="H50" i="1"/>
  <c r="H596" i="1"/>
  <c r="H269" i="1"/>
  <c r="H856" i="1"/>
  <c r="H35" i="1"/>
  <c r="H557" i="1"/>
  <c r="H44" i="1"/>
  <c r="H1512" i="1"/>
  <c r="H886" i="1"/>
  <c r="H400" i="1"/>
  <c r="H919" i="1"/>
  <c r="H1643" i="1"/>
  <c r="H242" i="1"/>
  <c r="H646" i="1"/>
  <c r="H1809" i="1"/>
  <c r="H55" i="1"/>
  <c r="H704" i="1"/>
  <c r="H812" i="1"/>
  <c r="H679" i="1"/>
  <c r="H1326" i="1"/>
  <c r="H1811" i="1"/>
  <c r="H723" i="1"/>
  <c r="H1136" i="1"/>
  <c r="H192" i="1"/>
  <c r="H1279" i="1"/>
  <c r="H224" i="1"/>
  <c r="H467" i="1"/>
  <c r="H1105" i="1"/>
  <c r="H500" i="1"/>
  <c r="H1752" i="1"/>
  <c r="H240" i="1"/>
  <c r="H603" i="1"/>
  <c r="H1524" i="1"/>
  <c r="H272" i="1"/>
  <c r="H842" i="1"/>
  <c r="H1731" i="1"/>
  <c r="H1025" i="1"/>
  <c r="H940" i="1"/>
  <c r="H547" i="1"/>
  <c r="H531" i="1"/>
  <c r="H46" i="1"/>
  <c r="H917" i="1"/>
  <c r="H485" i="1"/>
  <c r="H688" i="1"/>
  <c r="H1214" i="1"/>
  <c r="H1477" i="1"/>
  <c r="H929" i="1"/>
  <c r="H1779" i="1"/>
  <c r="H1682" i="1"/>
  <c r="H205" i="1"/>
  <c r="H532" i="1"/>
  <c r="H998" i="1"/>
  <c r="H1638" i="1"/>
  <c r="H669" i="1"/>
  <c r="H1632" i="1"/>
  <c r="H560" i="1"/>
  <c r="H813" i="1"/>
  <c r="H1828" i="1"/>
  <c r="H1385" i="1"/>
  <c r="H327" i="1"/>
  <c r="H1296" i="1"/>
  <c r="H1052" i="1"/>
  <c r="H615" i="1"/>
  <c r="H787" i="1"/>
  <c r="H973" i="1"/>
  <c r="H1263" i="1"/>
  <c r="H1526" i="1"/>
  <c r="H529" i="1"/>
  <c r="H676" i="1"/>
  <c r="H1552" i="1"/>
  <c r="H1126" i="1"/>
  <c r="H911" i="1"/>
  <c r="H1591" i="1"/>
  <c r="H94" i="1"/>
  <c r="H641" i="1"/>
  <c r="H745" i="1"/>
  <c r="H1281" i="1"/>
  <c r="H951" i="1"/>
  <c r="H441" i="1"/>
  <c r="H1257" i="1"/>
  <c r="H280" i="1"/>
  <c r="H1817" i="1"/>
  <c r="H658" i="1"/>
  <c r="H445" i="1"/>
  <c r="H938" i="1"/>
  <c r="H1388" i="1"/>
  <c r="H988" i="1"/>
  <c r="H150" i="1"/>
  <c r="H1306" i="1"/>
  <c r="H518" i="1"/>
  <c r="H1202" i="1"/>
  <c r="H450" i="1"/>
  <c r="H1461" i="1"/>
  <c r="H137" i="1"/>
  <c r="H486" i="1"/>
  <c r="H1436" i="1"/>
  <c r="H468" i="1"/>
  <c r="H1353" i="1"/>
  <c r="H1138" i="1"/>
  <c r="H483" i="1"/>
  <c r="H1339" i="1"/>
  <c r="H1082" i="1"/>
  <c r="H1530" i="1"/>
  <c r="H317" i="1"/>
  <c r="H86" i="1"/>
  <c r="H421" i="1"/>
  <c r="H724" i="1"/>
  <c r="H612" i="1"/>
  <c r="H879" i="1"/>
  <c r="H1335" i="1"/>
  <c r="H463" i="1"/>
  <c r="H1557" i="1"/>
  <c r="H878" i="1"/>
  <c r="H1501" i="1"/>
  <c r="H145" i="1"/>
  <c r="H1567" i="1"/>
  <c r="H1759" i="1"/>
  <c r="H1800" i="1"/>
  <c r="H684" i="1"/>
  <c r="H1715" i="1"/>
  <c r="H772" i="1"/>
  <c r="H1502" i="1"/>
  <c r="H990" i="1"/>
  <c r="H1231" i="1"/>
  <c r="H1384" i="1"/>
  <c r="H316" i="1"/>
  <c r="H1753" i="1"/>
  <c r="H252" i="1"/>
  <c r="H1476" i="1"/>
  <c r="H1331" i="1"/>
  <c r="H962" i="1"/>
  <c r="H584" i="1"/>
  <c r="H947" i="1"/>
  <c r="H1062" i="1"/>
  <c r="H1410" i="1"/>
  <c r="H936" i="1"/>
  <c r="H1806" i="1"/>
  <c r="H204" i="1"/>
  <c r="H100" i="1"/>
  <c r="H1207" i="1"/>
  <c r="H201" i="1"/>
  <c r="H839" i="1"/>
  <c r="H1677" i="1"/>
  <c r="H1629" i="1"/>
  <c r="H1009" i="1"/>
  <c r="H394" i="1"/>
  <c r="H1701" i="1"/>
  <c r="H719" i="1"/>
  <c r="H1462" i="1"/>
  <c r="H1253" i="1"/>
  <c r="H156" i="1"/>
  <c r="H638" i="1"/>
  <c r="H423" i="1"/>
  <c r="H1340" i="1"/>
  <c r="H509" i="1"/>
  <c r="H1671" i="1"/>
  <c r="H1580" i="1"/>
  <c r="H292" i="1"/>
  <c r="H769" i="1"/>
  <c r="H340" i="1"/>
  <c r="H636" i="1"/>
  <c r="H243" i="1"/>
  <c r="H1449" i="1"/>
  <c r="H1387" i="1"/>
  <c r="H355" i="1"/>
  <c r="H452" i="1"/>
  <c r="H1427" i="1"/>
  <c r="H1599" i="1"/>
  <c r="H589" i="1"/>
  <c r="H288" i="1"/>
  <c r="H1603" i="1"/>
  <c r="H1616" i="1"/>
  <c r="H465" i="1"/>
  <c r="H1733" i="1"/>
  <c r="H366" i="1"/>
  <c r="H39" i="1"/>
  <c r="H1481" i="1"/>
  <c r="H707" i="1"/>
  <c r="H537" i="1"/>
  <c r="H1430" i="1"/>
  <c r="H1287" i="1"/>
  <c r="H1724" i="1"/>
  <c r="H117" i="1"/>
  <c r="H19" i="1"/>
  <c r="H884" i="1"/>
  <c r="H763" i="1"/>
  <c r="H298" i="1"/>
  <c r="H1063" i="1"/>
  <c r="H890" i="1"/>
  <c r="H1514" i="1"/>
  <c r="H302" i="1"/>
  <c r="H1674" i="1"/>
  <c r="H1017" i="1"/>
  <c r="H1067" i="1"/>
  <c r="H16" i="1"/>
  <c r="H1588" i="1"/>
  <c r="H1676" i="1"/>
  <c r="H1106" i="1"/>
  <c r="H1152" i="1"/>
  <c r="H461" i="1"/>
  <c r="H125" i="1"/>
  <c r="H1696" i="1"/>
  <c r="H608" i="1"/>
  <c r="H827" i="1"/>
  <c r="H434" i="1"/>
  <c r="H906" i="1"/>
  <c r="H489" i="1"/>
  <c r="H749" i="1"/>
  <c r="H602" i="1"/>
  <c r="H650" i="1"/>
  <c r="H863" i="1"/>
  <c r="H482" i="1"/>
  <c r="H987" i="1"/>
  <c r="H480" i="1"/>
  <c r="H1100" i="1"/>
  <c r="H30" i="1"/>
  <c r="H412" i="1"/>
  <c r="H1834" i="1"/>
  <c r="H804" i="1"/>
  <c r="H436" i="1"/>
  <c r="H291" i="1"/>
  <c r="H212" i="1"/>
  <c r="H1074" i="1"/>
  <c r="H1203" i="1"/>
  <c r="H1174" i="1"/>
  <c r="H774" i="1"/>
  <c r="H324" i="1"/>
  <c r="H902" i="1"/>
  <c r="H430" i="1"/>
  <c r="H1458" i="1"/>
  <c r="H251" i="1"/>
  <c r="H1517" i="1"/>
  <c r="H1003" i="1"/>
  <c r="H1348" i="1"/>
  <c r="H604" i="1"/>
  <c r="H1528" i="1"/>
  <c r="H1425" i="1"/>
  <c r="H431" i="1"/>
  <c r="H53" i="1"/>
  <c r="H1297" i="1"/>
  <c r="H1195" i="1"/>
  <c r="H1235" i="1"/>
  <c r="H23" i="1"/>
  <c r="H757" i="1"/>
  <c r="H1761" i="1"/>
  <c r="H1745" i="1"/>
  <c r="H1236" i="1"/>
  <c r="H47" i="1"/>
  <c r="H1803" i="1"/>
  <c r="H675" i="1"/>
  <c r="H566" i="1"/>
  <c r="H925" i="1"/>
  <c r="H331" i="1"/>
  <c r="H1157" i="1"/>
  <c r="H1608" i="1"/>
  <c r="H975" i="1"/>
  <c r="H1553" i="1"/>
  <c r="H1459" i="1"/>
  <c r="H1668" i="1"/>
  <c r="H163" i="1"/>
  <c r="H617" i="1"/>
  <c r="H1160" i="1"/>
  <c r="H559" i="1"/>
  <c r="H750" i="1"/>
  <c r="H83" i="1"/>
  <c r="H585" i="1"/>
  <c r="H1739" i="1"/>
  <c r="H550" i="1"/>
  <c r="H1134" i="1"/>
  <c r="H1730" i="1"/>
  <c r="H572" i="1"/>
  <c r="H1503" i="1"/>
  <c r="H215" i="1"/>
  <c r="H1378" i="1"/>
  <c r="H579" i="1"/>
  <c r="H1857" i="1"/>
  <c r="H609" i="1"/>
  <c r="H139" i="1"/>
  <c r="H15" i="1"/>
  <c r="H1166" i="1"/>
  <c r="H1830" i="1"/>
  <c r="H1813" i="1"/>
  <c r="H920" i="1"/>
  <c r="H176" i="1"/>
  <c r="H26" i="1"/>
  <c r="H1850" i="1"/>
  <c r="H1341" i="1"/>
  <c r="H1260" i="1"/>
  <c r="H454" i="1"/>
  <c r="H788" i="1"/>
  <c r="H382" i="1"/>
  <c r="H1513" i="1"/>
  <c r="H256" i="1"/>
  <c r="H1070" i="1"/>
  <c r="H386" i="1"/>
  <c r="H621" i="1"/>
  <c r="H1215" i="1"/>
  <c r="H1270" i="1"/>
  <c r="H776" i="1"/>
  <c r="H1679" i="1"/>
  <c r="H1825" i="1"/>
  <c r="H1392" i="1"/>
  <c r="H487" i="1"/>
  <c r="H336" i="1"/>
  <c r="H1276" i="1"/>
  <c r="H1308" i="1"/>
  <c r="H24" i="1"/>
  <c r="H1065" i="1"/>
  <c r="H1772" i="1"/>
  <c r="H614" i="1"/>
  <c r="H1602" i="1"/>
  <c r="H1758" i="1"/>
  <c r="H318" i="1"/>
  <c r="H1540" i="1"/>
  <c r="H1372" i="1"/>
  <c r="H853" i="1"/>
  <c r="H722" i="1"/>
  <c r="H1346" i="1"/>
  <c r="H958" i="1"/>
  <c r="H1797" i="1"/>
  <c r="H1768" i="1"/>
  <c r="H1464" i="1"/>
  <c r="H1734" i="1"/>
  <c r="H1016" i="1"/>
  <c r="H711" i="1"/>
  <c r="H1852" i="1"/>
  <c r="H1357" i="1"/>
  <c r="H123" i="1"/>
  <c r="H1493" i="1"/>
  <c r="H818" i="1"/>
  <c r="H1663" i="1"/>
  <c r="H258" i="1"/>
  <c r="H1431" i="1"/>
  <c r="H353" i="1"/>
  <c r="H979" i="1"/>
  <c r="H1099" i="1"/>
  <c r="H1705" i="1"/>
  <c r="H295" i="1"/>
  <c r="H653" i="1"/>
  <c r="H2" i="1"/>
  <c r="H581" i="1"/>
  <c r="H985" i="1"/>
  <c r="H792" i="1"/>
  <c r="H517" i="1"/>
  <c r="H1201" i="1"/>
  <c r="H1496" i="1"/>
  <c r="H134" i="1"/>
  <c r="H1380" i="1"/>
  <c r="H874" i="1"/>
  <c r="H767" i="1"/>
  <c r="H672" i="1"/>
  <c r="H1416" i="1"/>
  <c r="H1596" i="1"/>
  <c r="H865" i="1"/>
  <c r="H1794" i="1"/>
  <c r="H1264" i="1"/>
  <c r="H310" i="1"/>
  <c r="H715" i="1"/>
  <c r="H1787" i="1"/>
  <c r="H1659" i="1"/>
  <c r="H227" i="1"/>
  <c r="H1183" i="1"/>
  <c r="H721" i="1"/>
  <c r="H735" i="1"/>
  <c r="H72" i="1"/>
  <c r="H1506" i="1"/>
  <c r="H1421" i="1"/>
  <c r="H1048" i="1"/>
  <c r="H786" i="1"/>
  <c r="H690" i="1"/>
  <c r="H686" i="1"/>
  <c r="H99" i="1"/>
  <c r="H1409" i="1"/>
  <c r="H1499" i="1"/>
  <c r="H1243" i="1"/>
  <c r="H981" i="1"/>
  <c r="H681" i="1"/>
  <c r="H209" i="1"/>
  <c r="H1222" i="1"/>
  <c r="H1135" i="1"/>
  <c r="H503" i="1"/>
  <c r="H859" i="1"/>
  <c r="H1444" i="1"/>
  <c r="H1158" i="1"/>
  <c r="H1438" i="1"/>
  <c r="H1678" i="1"/>
  <c r="H1729" i="1"/>
  <c r="H1104" i="1"/>
  <c r="H1179" i="1"/>
  <c r="H955" i="1"/>
  <c r="H556" i="1"/>
  <c r="H1767" i="1"/>
  <c r="H554" i="1"/>
  <c r="H1542" i="1"/>
  <c r="H1211" i="1"/>
  <c r="H506" i="1"/>
  <c r="H285" i="1"/>
  <c r="H522" i="1"/>
  <c r="H245" i="1"/>
  <c r="H106" i="1"/>
  <c r="H107" i="1"/>
  <c r="H1620" i="1"/>
  <c r="H5" i="1"/>
  <c r="H396" i="1"/>
  <c r="H1161" i="1"/>
  <c r="H642" i="1"/>
  <c r="H1568" i="1"/>
  <c r="H1673" i="1"/>
  <c r="H180" i="1"/>
  <c r="H833" i="1"/>
  <c r="H56" i="1"/>
  <c r="H1633" i="1"/>
  <c r="H1452" i="1"/>
  <c r="H822" i="1"/>
  <c r="H122" i="1"/>
  <c r="H1644" i="1"/>
  <c r="H930" i="1"/>
  <c r="H706" i="1"/>
  <c r="H1610" i="1"/>
  <c r="H289" i="1"/>
  <c r="H1658" i="1"/>
  <c r="H1227" i="1"/>
  <c r="H151" i="1"/>
  <c r="H598" i="1"/>
  <c r="H501" i="1"/>
  <c r="H408" i="1"/>
  <c r="H448" i="1"/>
  <c r="H1709" i="1"/>
  <c r="H805" i="1"/>
  <c r="H1624" i="1"/>
  <c r="H1405" i="1"/>
  <c r="H1411" i="1"/>
  <c r="H1589" i="1"/>
  <c r="H845" i="1"/>
  <c r="H1796" i="1"/>
  <c r="H1112" i="1"/>
  <c r="H689" i="1"/>
  <c r="H119" i="1"/>
  <c r="H765" i="1"/>
  <c r="H379" i="1"/>
  <c r="H739" i="1"/>
  <c r="H31" i="1"/>
  <c r="H1536" i="1"/>
  <c r="H964" i="1"/>
  <c r="H847" i="1"/>
  <c r="H1124" i="1"/>
  <c r="H831" i="1"/>
  <c r="H238" i="1"/>
  <c r="H553" i="1"/>
  <c r="H980" i="1"/>
  <c r="H960" i="1"/>
  <c r="H1051" i="1"/>
  <c r="H817" i="1"/>
  <c r="H22" i="1"/>
  <c r="H1737" i="1"/>
  <c r="H597" i="1"/>
  <c r="H1479" i="1"/>
  <c r="H1856" i="1"/>
  <c r="H1839" i="1"/>
  <c r="H1489" i="1"/>
  <c r="H552" i="1"/>
  <c r="H738" i="1"/>
  <c r="H1651" i="1"/>
  <c r="H626" i="1"/>
  <c r="H63" i="1"/>
  <c r="H1798" i="1"/>
  <c r="H1586" i="1"/>
  <c r="H185" i="1"/>
  <c r="H1516" i="1"/>
  <c r="H495" i="1"/>
  <c r="H1756" i="1"/>
  <c r="H934" i="1"/>
  <c r="H499" i="1"/>
  <c r="H551" i="1"/>
  <c r="H187" i="1"/>
  <c r="H126" i="1"/>
  <c r="H36" i="1"/>
  <c r="H1351" i="1"/>
  <c r="H867" i="1"/>
  <c r="H600" i="1"/>
  <c r="H866" i="1"/>
  <c r="H618" i="1"/>
  <c r="H89" i="1"/>
  <c r="H259" i="1"/>
  <c r="H966" i="1"/>
  <c r="H1469" i="1"/>
  <c r="H1274" i="1"/>
  <c r="H175" i="1"/>
  <c r="H591" i="1"/>
  <c r="H1543" i="1"/>
  <c r="H1363" i="1"/>
  <c r="H645" i="1"/>
  <c r="H210" i="1"/>
  <c r="H1015" i="1"/>
  <c r="H858" i="1"/>
  <c r="H1309" i="1"/>
  <c r="H1286" i="1"/>
  <c r="H418" i="1"/>
  <c r="H575" i="1"/>
  <c r="H527" i="1"/>
  <c r="H1490" i="1"/>
  <c r="H235" i="1"/>
  <c r="H800" i="1"/>
  <c r="H61" i="1"/>
  <c r="H356" i="1"/>
  <c r="H1507" i="1"/>
  <c r="H1712" i="1"/>
  <c r="H1582" i="1"/>
  <c r="H1168" i="1"/>
  <c r="H439" i="1"/>
  <c r="H1171" i="1"/>
  <c r="H523" i="1"/>
  <c r="H1213" i="1"/>
  <c r="H112" i="1"/>
  <c r="H671" i="1"/>
  <c r="H1684" i="1"/>
  <c r="H1559" i="1"/>
  <c r="H1556" i="1"/>
  <c r="H1776" i="1"/>
  <c r="H1197" i="1"/>
  <c r="H977" i="1"/>
  <c r="H307" i="1"/>
  <c r="H814" i="1"/>
  <c r="H367" i="1"/>
  <c r="H321" i="1"/>
  <c r="H633" i="1"/>
  <c r="H1329" i="1"/>
  <c r="H778" i="1"/>
  <c r="H799" i="1"/>
  <c r="H601" i="1"/>
  <c r="H770" i="1"/>
  <c r="H1162" i="1"/>
  <c r="H88" i="1"/>
  <c r="H1563" i="1"/>
  <c r="H644" i="1"/>
  <c r="H1628" i="1"/>
  <c r="H1664" i="1"/>
  <c r="H1702" i="1"/>
  <c r="H741" i="1"/>
  <c r="H1445" i="1"/>
  <c r="H777" i="1"/>
  <c r="H668" i="1"/>
  <c r="H338" i="1"/>
  <c r="H1418" i="1"/>
  <c r="H639" i="1"/>
  <c r="H941" i="1"/>
  <c r="H1722" i="1"/>
  <c r="H244" i="1"/>
  <c r="H1137" i="1"/>
  <c r="H1736" i="1"/>
  <c r="H1364" i="1"/>
  <c r="H358" i="1"/>
  <c r="H652" i="1"/>
  <c r="H1485" i="1"/>
  <c r="H1121" i="1"/>
  <c r="H840" i="1"/>
  <c r="H378" i="1"/>
  <c r="H1303" i="1"/>
  <c r="H253" i="1"/>
  <c r="H1109" i="1"/>
  <c r="H1328" i="1"/>
  <c r="H1097" i="1"/>
  <c r="H1845" i="1"/>
  <c r="H1012" i="1"/>
  <c r="H1322" i="1"/>
  <c r="H1234" i="1"/>
  <c r="H1670" i="1"/>
  <c r="H1555" i="1"/>
  <c r="H1650" i="1"/>
  <c r="H363" i="1"/>
  <c r="H1465" i="1"/>
  <c r="H756" i="1"/>
  <c r="H71" i="1"/>
  <c r="H1407" i="1"/>
  <c r="H491" i="1"/>
  <c r="H1818" i="1"/>
  <c r="H1078" i="1"/>
  <c r="H1793" i="1"/>
  <c r="H1272" i="1"/>
  <c r="H92" i="1"/>
  <c r="H510" i="1"/>
  <c r="H332" i="1"/>
  <c r="H267" i="1"/>
  <c r="H458" i="1"/>
  <c r="H179" i="1"/>
  <c r="H120" i="1"/>
  <c r="H148" i="1"/>
  <c r="H79" i="1"/>
  <c r="H1500" i="1"/>
  <c r="H1641" i="1"/>
  <c r="H1738" i="1"/>
  <c r="H315" i="1"/>
  <c r="H1071" i="1"/>
  <c r="H1349" i="1"/>
  <c r="H223" i="1"/>
  <c r="H880" i="1"/>
  <c r="H102" i="1"/>
  <c r="H1480" i="1"/>
  <c r="H85" i="1"/>
  <c r="H829" i="1"/>
  <c r="H694" i="1"/>
  <c r="H748" i="1"/>
  <c r="H1675" i="1"/>
  <c r="H226" i="1"/>
  <c r="H539" i="1"/>
  <c r="H835" i="1"/>
  <c r="H1198" i="1"/>
  <c r="H594" i="1"/>
  <c r="H995" i="1"/>
  <c r="H1283" i="1"/>
  <c r="H1050" i="1"/>
  <c r="H341" i="1"/>
  <c r="H395" i="1"/>
  <c r="H515" i="1"/>
  <c r="H153" i="1"/>
  <c r="H1780" i="1"/>
  <c r="H1156" i="1"/>
  <c r="H1446" i="1"/>
  <c r="H140" i="1"/>
  <c r="H1710" i="1"/>
  <c r="H881" i="1"/>
  <c r="H184" i="1"/>
  <c r="H687" i="1"/>
  <c r="H744" i="1"/>
  <c r="H610" i="1"/>
  <c r="H628" i="1"/>
  <c r="H1395" i="1"/>
  <c r="H174" i="1"/>
  <c r="H429" i="1"/>
  <c r="H1342" i="1"/>
  <c r="H663" i="1"/>
  <c r="H177" i="1"/>
  <c r="H1032" i="1"/>
  <c r="H1666" i="1"/>
  <c r="H1049" i="1"/>
  <c r="H1848" i="1"/>
  <c r="H1777" i="1"/>
  <c r="H903" i="1"/>
  <c r="H1544" i="1"/>
  <c r="H1551" i="1"/>
  <c r="H48" i="1"/>
  <c r="H1081" i="1"/>
  <c r="H1635" i="1"/>
  <c r="H816" i="1"/>
  <c r="H1115" i="1"/>
  <c r="H1068" i="1"/>
  <c r="H1697" i="1"/>
  <c r="H546" i="1"/>
  <c r="H28" i="1"/>
  <c r="H699" i="1"/>
  <c r="H1146" i="1"/>
  <c r="H1080" i="1"/>
  <c r="H1428" i="1"/>
  <c r="H942" i="1"/>
  <c r="H481" i="1"/>
  <c r="H372" i="1"/>
  <c r="H370" i="1"/>
  <c r="H1475" i="1"/>
  <c r="H1111" i="1"/>
  <c r="H422" i="1"/>
  <c r="H1189" i="1"/>
  <c r="H1417" i="1"/>
  <c r="H826" i="1"/>
  <c r="H131" i="1"/>
  <c r="H737" i="1"/>
  <c r="H1240" i="1"/>
  <c r="H257" i="1"/>
  <c r="H759" i="1"/>
  <c r="H1807" i="1"/>
  <c r="H1057" i="1"/>
  <c r="H1626" i="1"/>
  <c r="H692" i="1"/>
  <c r="H1391" i="1"/>
  <c r="H43" i="1"/>
  <c r="H1184" i="1"/>
  <c r="H1456" i="1"/>
  <c r="H308" i="1"/>
  <c r="H1053" i="1"/>
  <c r="H974" i="1"/>
  <c r="H900" i="1"/>
  <c r="H714" i="1"/>
  <c r="H1223" i="1"/>
  <c r="H1180" i="1"/>
  <c r="H1545" i="1"/>
  <c r="H1018" i="1"/>
  <c r="H413" i="1"/>
  <c r="H1199" i="1"/>
  <c r="H1826" i="1"/>
  <c r="H402" i="1"/>
  <c r="H409" i="1"/>
  <c r="H18" i="1"/>
  <c r="H262" i="1"/>
  <c r="H1799" i="1"/>
  <c r="H3" i="1"/>
  <c r="H926" i="1"/>
  <c r="H237" i="1"/>
  <c r="H399" i="1"/>
  <c r="H312" i="1"/>
  <c r="H969" i="1"/>
  <c r="H1619" i="1"/>
  <c r="H208" i="1"/>
  <c r="H910" i="1"/>
  <c r="H1164" i="1"/>
  <c r="H965" i="1"/>
  <c r="H992" i="1"/>
  <c r="H1117" i="1"/>
  <c r="H803" i="1"/>
  <c r="H189" i="1"/>
  <c r="H1531" i="1"/>
  <c r="H1076" i="1"/>
  <c r="H69" i="1"/>
  <c r="H1191" i="1"/>
  <c r="H1248" i="1"/>
  <c r="H95" i="1"/>
  <c r="H1317" i="1"/>
  <c r="H635" i="1"/>
  <c r="H795" i="1"/>
  <c r="H214" i="1"/>
  <c r="H1238" i="1"/>
  <c r="H479" i="1"/>
  <c r="H1640" i="1"/>
  <c r="H306" i="1"/>
  <c r="H643" i="1"/>
  <c r="H939" i="1"/>
  <c r="H464" i="1"/>
  <c r="H73" i="1"/>
  <c r="H1173" i="1"/>
  <c r="H1541" i="1"/>
  <c r="H275" i="1"/>
  <c r="H504" i="1"/>
  <c r="H1755" i="1"/>
  <c r="H587" i="1"/>
  <c r="H1770" i="1"/>
  <c r="H1747" i="1"/>
  <c r="H337" i="1"/>
  <c r="H1172" i="1"/>
  <c r="H359" i="1"/>
  <c r="H343" i="1"/>
  <c r="H1443" i="1"/>
  <c r="H883" i="1"/>
  <c r="H864" i="1"/>
  <c r="H1622" i="1"/>
  <c r="H923" i="1"/>
  <c r="H199" i="1"/>
  <c r="H1239" i="1"/>
  <c r="H91" i="1"/>
  <c r="H613" i="1"/>
  <c r="H51" i="1"/>
  <c r="H885" i="1"/>
  <c r="H1271" i="1"/>
  <c r="H387" i="1"/>
  <c r="H1511" i="1"/>
  <c r="H453" i="1"/>
  <c r="H206" i="1"/>
  <c r="H1345" i="1"/>
  <c r="H1307" i="1"/>
  <c r="H953" i="1"/>
  <c r="H1654" i="1"/>
  <c r="H611" i="1"/>
  <c r="H1532" i="1"/>
  <c r="H999" i="1"/>
  <c r="H1748" i="1"/>
  <c r="H1044" i="1"/>
  <c r="H300" i="1"/>
  <c r="H1360" i="1"/>
  <c r="H1423" i="1"/>
  <c r="H1636" i="1"/>
  <c r="H752" i="1"/>
  <c r="H590" i="1"/>
  <c r="H742" i="1"/>
  <c r="H946" i="1"/>
  <c r="H29" i="1"/>
  <c r="H1244" i="1"/>
  <c r="H855" i="1"/>
  <c r="H68" i="1"/>
  <c r="H1824" i="1"/>
  <c r="H1285" i="1"/>
  <c r="H425" i="1"/>
  <c r="H392" i="1"/>
  <c r="H374" i="1"/>
  <c r="H1318" i="1"/>
  <c r="H899" i="1"/>
  <c r="H1212" i="1"/>
  <c r="H1401" i="1"/>
  <c r="H1334" i="1"/>
  <c r="H563" i="1"/>
  <c r="H567" i="1"/>
  <c r="H1569" i="1"/>
  <c r="H1393" i="1"/>
  <c r="H1732" i="1"/>
  <c r="H231" i="1"/>
  <c r="H297" i="1"/>
  <c r="H943" i="1"/>
  <c r="H1788" i="1"/>
  <c r="H852" i="1"/>
  <c r="H1245" i="1"/>
  <c r="H1383" i="1"/>
  <c r="H1583" i="1"/>
  <c r="H334" i="1"/>
  <c r="H535" i="1"/>
  <c r="H1059" i="1"/>
  <c r="H736" i="1"/>
  <c r="H1576" i="1"/>
  <c r="H1723" i="1"/>
  <c r="H54" i="1"/>
  <c r="H542" i="1"/>
  <c r="H574" i="1"/>
  <c r="H7" i="1"/>
  <c r="H673" i="1"/>
  <c r="H828" i="1"/>
  <c r="H1294" i="1"/>
  <c r="H1415" i="1"/>
  <c r="H255" i="1"/>
  <c r="H1083" i="1"/>
  <c r="H651" i="1"/>
  <c r="H1751" i="1"/>
  <c r="H376" i="1"/>
  <c r="H1110" i="1"/>
  <c r="H1491" i="1"/>
  <c r="H455" i="1"/>
  <c r="H80" i="1"/>
  <c r="H1708" i="1"/>
  <c r="H1625" i="1"/>
  <c r="H1084" i="1"/>
  <c r="H876" i="1"/>
  <c r="H1495" i="1"/>
  <c r="H268" i="1"/>
  <c r="H1558" i="1"/>
  <c r="H1662" i="1"/>
  <c r="H1595" i="1"/>
  <c r="H1332" i="1"/>
  <c r="H1453" i="1"/>
  <c r="H390" i="1"/>
  <c r="H1096" i="1"/>
  <c r="H877" i="1"/>
  <c r="H761" i="1"/>
  <c r="H1716" i="1"/>
  <c r="H1749" i="1"/>
  <c r="H1504" i="1"/>
  <c r="H351" i="1"/>
  <c r="H758" i="1"/>
  <c r="H1519" i="1"/>
  <c r="H116" i="1"/>
  <c r="H281" i="1"/>
  <c r="H1592" i="1"/>
  <c r="H1815" i="1"/>
  <c r="H162" i="1"/>
  <c r="H808" i="1"/>
  <c r="H1639" i="1"/>
  <c r="H568" i="1"/>
  <c r="H1007" i="1"/>
  <c r="H1028" i="1"/>
  <c r="H462" i="1"/>
  <c r="H634" i="1"/>
  <c r="H1594" i="1"/>
  <c r="H17" i="1"/>
  <c r="H516" i="1"/>
  <c r="H93" i="1"/>
  <c r="H1598" i="1"/>
  <c r="H970" i="1"/>
  <c r="H1832" i="1"/>
  <c r="H1154" i="1"/>
  <c r="H793" i="1"/>
  <c r="H921" i="1"/>
  <c r="H1125" i="1"/>
  <c r="H1763" i="1"/>
  <c r="H96" i="1"/>
  <c r="H751" i="1"/>
  <c r="H536" i="1"/>
  <c r="H149" i="1"/>
  <c r="H1447" i="1"/>
  <c r="H933" i="1"/>
  <c r="H270" i="1"/>
  <c r="H1533" i="1"/>
  <c r="H1838" i="1"/>
  <c r="H807" i="1"/>
  <c r="H1498" i="1"/>
  <c r="H784" i="1"/>
  <c r="H474" i="1"/>
  <c r="H875" i="1"/>
  <c r="H1634" i="1"/>
  <c r="H1468" i="1"/>
  <c r="H824" i="1"/>
  <c r="H1021" i="1"/>
  <c r="H1695" i="1"/>
  <c r="H1823" i="1"/>
  <c r="H978" i="1"/>
  <c r="H1612" i="1"/>
  <c r="H1721" i="1"/>
  <c r="H659" i="1"/>
  <c r="H1305" i="1"/>
  <c r="H1304" i="1"/>
  <c r="H1439" i="1"/>
  <c r="H507" i="1"/>
  <c r="H1023" i="1"/>
  <c r="H1216" i="1"/>
  <c r="H1165" i="1"/>
  <c r="H843" i="1"/>
  <c r="H1784" i="1"/>
  <c r="H249" i="1"/>
  <c r="H1324" i="1"/>
  <c r="H1820" i="1"/>
  <c r="H1584" i="1"/>
  <c r="H823" i="1"/>
  <c r="H49" i="1"/>
  <c r="H1699" i="1"/>
  <c r="H762" i="1"/>
  <c r="H1127" i="1"/>
  <c r="H1441" i="1"/>
  <c r="H1066" i="1"/>
  <c r="H1225" i="1"/>
  <c r="H1001" i="1"/>
  <c r="H1312" i="1"/>
  <c r="H708" i="1"/>
  <c r="H447" i="1"/>
  <c r="H1521" i="1"/>
  <c r="H1440" i="1"/>
  <c r="H456" i="1"/>
  <c r="H1381" i="1"/>
  <c r="H469" i="1"/>
  <c r="H1841" i="1"/>
  <c r="H1726" i="1"/>
  <c r="H1390" i="1"/>
  <c r="H1646" i="1"/>
  <c r="H1601" i="1"/>
  <c r="H1672" i="1"/>
  <c r="H887" i="1"/>
  <c r="H631" i="1"/>
  <c r="H1316" i="1"/>
  <c r="H1210" i="1"/>
  <c r="H311" i="1"/>
  <c r="H511" i="1"/>
  <c r="H250" i="1"/>
  <c r="H74" i="1"/>
  <c r="H678" i="1"/>
  <c r="H743" i="1"/>
  <c r="H593" i="1"/>
  <c r="H1187" i="1"/>
  <c r="H1606" i="1"/>
  <c r="H514" i="1"/>
  <c r="H1259" i="1"/>
  <c r="H914" i="1"/>
  <c r="H619" i="1"/>
  <c r="H716" i="1"/>
  <c r="H1492" i="1"/>
  <c r="H1520" i="1"/>
  <c r="H1102" i="1"/>
  <c r="H1269" i="1"/>
  <c r="H860" i="1"/>
  <c r="H1209" i="1"/>
  <c r="H309" i="1"/>
  <c r="H118" i="1"/>
  <c r="H328" i="1"/>
  <c r="H82" i="1"/>
  <c r="H1337" i="1"/>
  <c r="H1698" i="1"/>
  <c r="H1382" i="1"/>
  <c r="H1379" i="1"/>
  <c r="H203" i="1"/>
  <c r="H433" i="1"/>
  <c r="H344" i="1"/>
  <c r="H78" i="1"/>
  <c r="H896" i="1"/>
  <c r="H1792" i="1"/>
  <c r="H1442" i="1"/>
  <c r="H1141" i="1"/>
  <c r="H1047" i="1"/>
  <c r="H1564" i="1"/>
  <c r="H1142" i="1"/>
  <c r="H1352" i="1"/>
  <c r="H667" i="1"/>
  <c r="H62" i="1"/>
  <c r="H1795" i="1"/>
  <c r="H1262" i="1"/>
  <c r="H1804" i="1"/>
  <c r="H565" i="1"/>
  <c r="H1217" i="1"/>
  <c r="H1623" i="1"/>
  <c r="H1005" i="1"/>
  <c r="H221" i="1"/>
  <c r="H449" i="1"/>
  <c r="H121" i="1"/>
  <c r="H164" i="1"/>
  <c r="H1657" i="1"/>
  <c r="H705" i="1"/>
  <c r="H1560" i="1"/>
  <c r="H908" i="1"/>
  <c r="H1295" i="1"/>
  <c r="H1593" i="1"/>
  <c r="H188" i="1"/>
  <c r="H1742" i="1"/>
  <c r="H194" i="1"/>
  <c r="H820" i="1"/>
  <c r="H1178" i="1"/>
  <c r="H1226" i="1"/>
  <c r="H1707" i="1"/>
  <c r="H1147" i="1"/>
  <c r="H159" i="1"/>
  <c r="H40" i="1"/>
  <c r="H1086" i="1"/>
  <c r="H968" i="1"/>
  <c r="H160" i="1"/>
  <c r="H698" i="1"/>
  <c r="H649" i="1"/>
  <c r="H1194" i="1"/>
  <c r="H1224" i="1"/>
  <c r="H171" i="1"/>
  <c r="H97" i="1"/>
  <c r="H1155" i="1"/>
  <c r="H1821" i="1"/>
  <c r="H595" i="1"/>
  <c r="H105" i="1"/>
  <c r="H136" i="1"/>
  <c r="H691" i="1"/>
  <c r="H605" i="1"/>
  <c r="H98" i="1"/>
  <c r="H230" i="1"/>
  <c r="H459" i="1"/>
  <c r="H1681" i="1"/>
  <c r="H909" i="1"/>
  <c r="H1206" i="1"/>
  <c r="H1358" i="1"/>
  <c r="H1605" i="1"/>
  <c r="H1413" i="1"/>
  <c r="H1855" i="1"/>
  <c r="H1571" i="1"/>
  <c r="H1242" i="1"/>
  <c r="H961" i="1"/>
  <c r="H1347" i="1"/>
  <c r="H549" i="1"/>
  <c r="H473" i="1"/>
  <c r="H1343" i="1"/>
  <c r="H718" i="1"/>
  <c r="H895" i="1"/>
  <c r="H1038" i="1"/>
  <c r="H1229" i="1"/>
  <c r="H1546" i="1"/>
  <c r="H77" i="1"/>
  <c r="H217" i="1"/>
  <c r="H1290" i="1"/>
  <c r="H1466" i="1"/>
  <c r="H1030" i="1"/>
  <c r="H625" i="1"/>
  <c r="H1088" i="1"/>
  <c r="H1746" i="1"/>
  <c r="H1186" i="1"/>
  <c r="H734" i="1"/>
  <c r="H466" i="1"/>
  <c r="H1300" i="1"/>
  <c r="H1273" i="1"/>
  <c r="H861" i="1"/>
  <c r="H1288" i="1"/>
  <c r="H1741" i="1"/>
  <c r="H1819" i="1"/>
  <c r="H1688" i="1"/>
  <c r="H760" i="1"/>
  <c r="H1744" i="1"/>
  <c r="H1176" i="1"/>
  <c r="H1509" i="1"/>
  <c r="H620" i="1"/>
  <c r="H1653" i="1"/>
  <c r="H1561" i="1"/>
  <c r="H477" i="1"/>
  <c r="H1494" i="1"/>
  <c r="H142" i="1"/>
  <c r="H1373" i="1"/>
  <c r="H1350" i="1"/>
  <c r="H1470" i="1"/>
  <c r="H1842" i="1"/>
  <c r="H1101" i="1"/>
  <c r="H1092" i="1"/>
  <c r="H1627" i="1"/>
  <c r="H108" i="1"/>
  <c r="H1220" i="1"/>
  <c r="H411" i="1"/>
  <c r="H1827" i="1"/>
  <c r="H1375" i="1"/>
  <c r="H1140" i="1"/>
  <c r="H997" i="1"/>
  <c r="H496" i="1"/>
  <c r="H59" i="1"/>
  <c r="H170" i="1"/>
  <c r="H1055" i="1"/>
  <c r="H1762" i="1"/>
  <c r="H1133" i="1"/>
  <c r="H1241" i="1"/>
  <c r="H1434" i="1"/>
  <c r="H1467" i="1"/>
  <c r="H211" i="1"/>
  <c r="H1218" i="1"/>
  <c r="H798" i="1"/>
  <c r="H662" i="1"/>
  <c r="H490" i="1"/>
  <c r="H755" i="1"/>
  <c r="H207" i="1"/>
  <c r="H1614" i="1"/>
  <c r="H647" i="1"/>
  <c r="H1846" i="1"/>
  <c r="H1822" i="1"/>
  <c r="H924" i="1"/>
  <c r="H1129" i="1"/>
  <c r="H296" i="1"/>
  <c r="H927" i="1"/>
  <c r="H1451" i="1"/>
  <c r="H218" i="1"/>
  <c r="H1130" i="1"/>
  <c r="H994" i="1"/>
  <c r="H1301" i="1"/>
  <c r="H323" i="1"/>
  <c r="H1013" i="1"/>
  <c r="H912" i="1"/>
  <c r="H81" i="1"/>
  <c r="H388" i="1"/>
  <c r="H1128" i="1"/>
  <c r="H733" i="1"/>
  <c r="H1831" i="1"/>
  <c r="H1833" i="1"/>
  <c r="H1230" i="1"/>
  <c r="H1754" i="1"/>
  <c r="H1527" i="1"/>
  <c r="H1045" i="1"/>
  <c r="H1389" i="1"/>
  <c r="H27" i="1"/>
  <c r="H1338" i="1"/>
  <c r="H1422" i="1"/>
  <c r="H1233" i="1"/>
  <c r="H747" i="1"/>
  <c r="H870" i="1"/>
  <c r="H949" i="1"/>
  <c r="H1327" i="1"/>
  <c r="H1472" i="1"/>
  <c r="H1704" i="1"/>
  <c r="H1169" i="1"/>
  <c r="H982" i="1"/>
  <c r="H25" i="1"/>
  <c r="H1344" i="1"/>
  <c r="H1778" i="1"/>
  <c r="H172" i="1"/>
  <c r="H1801" i="1"/>
  <c r="H157" i="1"/>
  <c r="H1284" i="1"/>
  <c r="H8" i="1"/>
  <c r="H239" i="1"/>
  <c r="H502" i="1"/>
  <c r="H1120" i="1"/>
  <c r="H247" i="1"/>
  <c r="H1114" i="1"/>
  <c r="H524" i="1"/>
  <c r="H1534" i="1"/>
  <c r="H1302" i="1"/>
  <c r="H905" i="1"/>
  <c r="H264" i="1"/>
  <c r="H1027" i="1"/>
  <c r="H809" i="1"/>
  <c r="H143" i="1"/>
  <c r="H20" i="1"/>
  <c r="H104" i="1"/>
  <c r="H674" i="1"/>
  <c r="H1370" i="1"/>
  <c r="H1497" i="1"/>
  <c r="H1847" i="1"/>
  <c r="H1292" i="1"/>
  <c r="H246" i="1"/>
  <c r="H848" i="1"/>
  <c r="H1361" i="1"/>
  <c r="H167" i="1"/>
  <c r="H1252" i="1"/>
  <c r="H904" i="1"/>
  <c r="H335" i="1"/>
  <c r="H573" i="1"/>
  <c r="H891" i="1"/>
  <c r="H1769" i="1"/>
  <c r="H144" i="1"/>
  <c r="H1810" i="1"/>
  <c r="H785" i="1"/>
  <c r="H1782" i="1"/>
  <c r="H1255" i="1"/>
  <c r="H1006" i="1"/>
  <c r="H219" i="1"/>
  <c r="H637" i="1"/>
  <c r="H578" i="1"/>
  <c r="H682" i="1"/>
  <c r="H1113" i="1"/>
  <c r="H1725" i="1"/>
  <c r="H1740" i="1"/>
  <c r="H1609" i="1"/>
  <c r="H616" i="1"/>
  <c r="H182" i="1"/>
  <c r="H1402" i="1"/>
  <c r="H1590" i="1"/>
  <c r="H1376" i="1"/>
  <c r="H1151" i="1"/>
  <c r="H825" i="1"/>
  <c r="H1091" i="1"/>
  <c r="H446" i="1"/>
  <c r="H1237" i="1"/>
  <c r="H1031" i="1"/>
  <c r="H32" i="1"/>
  <c r="H545" i="1"/>
  <c r="H348" i="1"/>
  <c r="H320" i="1"/>
  <c r="H1665" i="1"/>
  <c r="H624" i="1"/>
  <c r="H1377" i="1"/>
  <c r="H357" i="1"/>
  <c r="H115" i="1"/>
  <c r="H1473" i="1"/>
  <c r="H1034" i="1"/>
  <c r="H1572" i="1"/>
  <c r="H1367" i="1"/>
  <c r="H1103" i="1"/>
  <c r="H1144" i="1"/>
  <c r="H1386" i="1"/>
  <c r="H38" i="1"/>
  <c r="H1680" i="1"/>
  <c r="H161" i="1"/>
  <c r="H1408" i="1"/>
  <c r="H1785" i="1"/>
  <c r="H1310" i="1"/>
  <c r="H1667" i="1"/>
  <c r="H541" i="1"/>
  <c r="H1840" i="1"/>
  <c r="H261" i="1"/>
  <c r="H1289" i="1"/>
  <c r="H1808" i="1"/>
  <c r="H753" i="1"/>
  <c r="H484" i="1"/>
  <c r="H406" i="1"/>
  <c r="H442" i="1"/>
  <c r="H1323" i="1"/>
  <c r="H956" i="1"/>
  <c r="H1268" i="1"/>
  <c r="H384" i="1"/>
  <c r="H304" i="1"/>
  <c r="H971" i="1"/>
  <c r="H1743" i="1"/>
  <c r="H588" i="1"/>
  <c r="H771" i="1"/>
  <c r="H1069" i="1"/>
  <c r="H1150" i="1"/>
  <c r="H967" i="1"/>
  <c r="H1773" i="1"/>
  <c r="H274" i="1"/>
  <c r="H443" i="1"/>
  <c r="H383" i="1"/>
  <c r="H972" i="1"/>
  <c r="H76" i="1"/>
  <c r="H520" i="1"/>
  <c r="H528" i="1"/>
  <c r="H1369" i="1"/>
  <c r="H862" i="1"/>
  <c r="H1655" i="1"/>
  <c r="H1414" i="1"/>
  <c r="H293" i="1"/>
  <c r="H1510" i="1"/>
  <c r="H186" i="1"/>
  <c r="H1060" i="1"/>
  <c r="H1448" i="1"/>
  <c r="H775" i="1"/>
  <c r="H782" i="1"/>
  <c r="H538" i="1"/>
  <c r="H1022" i="1"/>
  <c r="H1277" i="1"/>
  <c r="H1131" i="1"/>
  <c r="H773" i="1"/>
  <c r="H508" i="1"/>
  <c r="H1020" i="1"/>
  <c r="H1366" i="1"/>
  <c r="H1522" i="1"/>
  <c r="H1039" i="1"/>
  <c r="H202" i="1"/>
  <c r="H14" i="1"/>
  <c r="H582" i="1"/>
  <c r="H198" i="1"/>
  <c r="H266" i="1"/>
  <c r="H1816" i="1"/>
  <c r="H728" i="1"/>
  <c r="H791" i="1"/>
  <c r="H1851" i="1"/>
  <c r="H1630" i="1"/>
  <c r="H821" i="1"/>
  <c r="H472" i="1"/>
  <c r="H1085" i="1"/>
  <c r="H1515" i="1"/>
  <c r="H1774" i="1"/>
  <c r="H154" i="1"/>
  <c r="H1802" i="1"/>
  <c r="H1843" i="1"/>
  <c r="H427" i="1"/>
  <c r="H1518" i="1"/>
  <c r="H1604" i="1"/>
  <c r="H533" i="1"/>
  <c r="H196" i="1"/>
  <c r="H513" i="1"/>
  <c r="H494" i="1"/>
  <c r="H1365" i="1"/>
  <c r="H1687" i="1"/>
  <c r="H1359" i="1"/>
  <c r="H1693" i="1"/>
  <c r="H1119" i="1"/>
  <c r="H1691" i="1"/>
  <c r="H369" i="1"/>
  <c r="H263" i="1"/>
  <c r="H1565" i="1"/>
  <c r="H913" i="1"/>
  <c r="H1181" i="1"/>
  <c r="H1098" i="1"/>
  <c r="H1089" i="1"/>
  <c r="H796" i="1"/>
  <c r="H492" i="1"/>
  <c r="H1471" i="1"/>
  <c r="H894" i="1"/>
  <c r="H1291" i="1"/>
  <c r="H380" i="1"/>
  <c r="H478" i="1"/>
  <c r="H700" i="1"/>
  <c r="H52" i="1"/>
  <c r="H680" i="1"/>
  <c r="H932" i="1"/>
  <c r="H220" i="1"/>
  <c r="H1396" i="1"/>
  <c r="H1336" i="1"/>
  <c r="H254" i="1"/>
  <c r="H361" i="1"/>
  <c r="H665" i="1"/>
  <c r="H1075" i="1"/>
  <c r="H397" i="1"/>
  <c r="H1694" i="1"/>
  <c r="H278" i="1"/>
  <c r="H1008" i="1"/>
  <c r="H58" i="1"/>
  <c r="H544" i="1"/>
  <c r="H599" i="1"/>
  <c r="H948" i="1"/>
  <c r="H424" i="1"/>
  <c r="H113" i="1"/>
  <c r="H381" i="1"/>
  <c r="H854" i="1"/>
  <c r="H1145" i="1"/>
  <c r="H1554" i="1"/>
  <c r="H1132" i="1"/>
  <c r="H1692" i="1"/>
  <c r="H190" i="1"/>
  <c r="H1094" i="1"/>
  <c r="H562" i="1"/>
  <c r="H128" i="1"/>
  <c r="H103" i="1"/>
  <c r="H851" i="1"/>
  <c r="H1669" i="1"/>
  <c r="H1775" i="1"/>
  <c r="H1683" i="1"/>
  <c r="H349" i="1"/>
  <c r="H656" i="1"/>
  <c r="H1574" i="1"/>
  <c r="H1854" i="1"/>
  <c r="H623" i="1"/>
  <c r="H993" i="1"/>
  <c r="H169" i="1"/>
  <c r="H525" i="1"/>
  <c r="H1577" i="1"/>
  <c r="H1014" i="1"/>
  <c r="H101" i="1"/>
  <c r="H950" i="1"/>
  <c r="H918" i="1"/>
  <c r="H279" i="1"/>
  <c r="H233" i="1"/>
  <c r="H444" i="1"/>
  <c r="H428" i="1"/>
  <c r="H1652" i="1"/>
  <c r="H1355" i="1"/>
  <c r="H1548" i="1"/>
  <c r="H1837" i="1"/>
  <c r="H405" i="1"/>
  <c r="H561" i="1"/>
  <c r="H1330" i="1"/>
  <c r="H889" i="1"/>
  <c r="H846" i="1"/>
  <c r="H701" i="1"/>
  <c r="H720" i="1"/>
  <c r="H147" i="1"/>
  <c r="H1631" i="1"/>
  <c r="H114" i="1"/>
  <c r="H41" i="1"/>
  <c r="H319" i="1"/>
  <c r="H1374" i="1"/>
  <c r="H371" i="1"/>
  <c r="H697" i="1"/>
  <c r="H1397" i="1"/>
  <c r="H1525" i="1"/>
  <c r="H282" i="1"/>
  <c r="H1175" i="1"/>
  <c r="H915" i="1"/>
  <c r="H1254" i="1"/>
  <c r="H607" i="1"/>
  <c r="H1463" i="1"/>
  <c r="H403" i="1"/>
  <c r="H419" i="1"/>
  <c r="H57" i="1"/>
  <c r="H1649" i="1"/>
  <c r="H781" i="1"/>
  <c r="H1618" i="1"/>
  <c r="H90" i="1"/>
  <c r="H898" i="1"/>
  <c r="H1036" i="1"/>
  <c r="H364" i="1"/>
  <c r="H1426" i="1"/>
  <c r="H1597" i="1"/>
  <c r="H271" i="1"/>
  <c r="H1484" i="1"/>
  <c r="H819" i="1"/>
  <c r="H869" i="1"/>
  <c r="H1455" i="1"/>
  <c r="H435" i="1"/>
  <c r="H1483" i="1"/>
  <c r="H325" i="1"/>
  <c r="H729" i="1"/>
  <c r="H346" i="1"/>
  <c r="H1727" i="1"/>
  <c r="H284" i="1"/>
</calcChain>
</file>

<file path=xl/sharedStrings.xml><?xml version="1.0" encoding="utf-8"?>
<sst xmlns="http://schemas.openxmlformats.org/spreadsheetml/2006/main" count="2077" uniqueCount="2074">
  <si>
    <t>Path</t>
  </si>
  <si>
    <t>DatePub</t>
  </si>
  <si>
    <t>Editeur</t>
  </si>
  <si>
    <t>Auteur</t>
  </si>
  <si>
    <t>Row Labels</t>
  </si>
  <si>
    <t>?</t>
  </si>
  <si>
    <t>Afnor</t>
  </si>
  <si>
    <t>Armand Colin</t>
  </si>
  <si>
    <t>Dunod</t>
  </si>
  <si>
    <t>Eyrolles</t>
  </si>
  <si>
    <t>First</t>
  </si>
  <si>
    <t>Gereso</t>
  </si>
  <si>
    <t>Multi Mondes</t>
  </si>
  <si>
    <t>O'Reilly</t>
  </si>
  <si>
    <t>Springer</t>
  </si>
  <si>
    <t>Wiley</t>
  </si>
  <si>
    <t>Grand Total</t>
  </si>
  <si>
    <t>Count of Editeur</t>
  </si>
  <si>
    <t>1985</t>
  </si>
  <si>
    <t>1991</t>
  </si>
  <si>
    <t>1993</t>
  </si>
  <si>
    <t>1994</t>
  </si>
  <si>
    <t>1995</t>
  </si>
  <si>
    <t>2000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</si>
  <si>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</si>
  <si>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</si>
  <si>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</si>
  <si>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</si>
  <si>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</si>
  <si>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</si>
  <si>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</si>
  <si>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</si>
  <si>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</si>
  <si>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</si>
  <si>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</si>
  <si>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</si>
  <si>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</si>
  <si>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</si>
  <si>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</si>
  <si>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</si>
  <si>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Count of DatePub</t>
  </si>
  <si>
    <t>1999</t>
  </si>
  <si>
    <t>1990</t>
  </si>
  <si>
    <t>W:\Livres\Informatique\Algorithmes, Programmation divers\A Guide to Graph Colouring, Algorithms and Applications (2016) - [Springer] - R.M.R. Lewis.pdf</t>
  </si>
  <si>
    <t>W:\Livres\Informatique\Algorithmes, Programmation divers\A Practical Theory of Programming (2016) - [Springer] - Eric C.R. Hehner.pdf</t>
  </si>
  <si>
    <t>W:\Livres\Informatique\Algorithmes, Programmation divers\Algorithmique et programmation pour non-matheux (2008) - Christophe Darmengeat.pdf</t>
  </si>
  <si>
    <t>W:\Livres\Informatique\Algorithmes, Programmation divers\Algorithms (4th ed, 2011) - [Addison-Wesley] - Robert Sedgewick, Kevin Wayne.pdf</t>
  </si>
  <si>
    <t>W:\Livres\Informatique\Algorithmes, Programmation divers\Algorithms (1984) - [Addison-Wesley] - Robert Sedgewick.pdf</t>
  </si>
  <si>
    <t>W:\Livres\Informatique\Algorithmes, Programmation divers\Algorithms and Data Structures (1985) - Niklaus Wirth.pdf</t>
  </si>
  <si>
    <t>W:\Livres\Informatique\Algorithmes, Programmation divers\Algorithms and Parallel Computing (2011) - [Wiley] - Fayez Gebali.pdf</t>
  </si>
  <si>
    <t>W:\Livres\Informatique\Algorithmes, Programmation divers\Algorithms in a Nutshell, A Desktop Quick Reference (2009) - [O'Reilly] - George T. Heineman, Gary Pollice, Stanley Selkow.pdf</t>
  </si>
  <si>
    <t>W:\Livres\Informatique\Algorithmes, Programmation divers\Algorithms in C, Parts 1-4 (3rd ed, 1998) - [Addison-Wesley] - Robert Sedgewick.pdf</t>
  </si>
  <si>
    <t>W:\Livres\Informatique\Algorithmes, Programmation divers\An Introduction to the Analysis of Algorithms (2nd ed, 2012) - [World Scientific] - Michael Soltys.pdf</t>
  </si>
  <si>
    <t>W:\Livres\Informatique\Algorithmes, Programmation divers\Apprendre à programmer, Algorithmes et conception objet (2è ed, 2008) - [Eyrolles] - Christophe Dabancourt.pdf</t>
  </si>
  <si>
    <t>W:\Livres\Informatique\Algorithmes, Programmation divers\C++ Plus Data Structures (3rd ed, 2003) - [Jones and Bartlett Publishers] - Nell Dale.pdf</t>
  </si>
  <si>
    <t>W:\Livres\Informatique\Algorithmes, Programmation divers\Cours Algorithmique et Programmation, Licence Informatique (2010) - J. Stern.pdf</t>
  </si>
  <si>
    <t>W:\Livres\Informatique\Algorithmes, Programmation divers\Data Structures and Algorithms in C++ (2nd ed, 2001) - [Thomson] - Adam Drozdek.djvu</t>
  </si>
  <si>
    <t>W:\Livres\Informatique\Algorithmes, Programmation divers\Data Structures and Algorithms in C++ (2nd ed, 2011) - [Wiley] - Goodrich, Tamassia, Mount.pdf</t>
  </si>
  <si>
    <t>W:\Livres\Informatique\Algorithmes, Programmation divers\Data Structures and Algorithms in Java (2nd ed, 2005) - [Thomson] - Adam Drozdek.pdf</t>
  </si>
  <si>
    <t>W:\Livres\Informatique\Algorithmes, Programmation divers\Data Structures and Algorithms in Java (4th ed, 2005) - [Wiley] - Goodrich, Tamassia.pdf</t>
  </si>
  <si>
    <t>W:\Livres\Informatique\Algorithmes, Programmation divers\Data Structures and Algorithms in Java (6th ed, 2014) - [Wiley] - Goodrich, Tamassia, Goldwasser.pdf</t>
  </si>
  <si>
    <t>W:\Livres\Informatique\Algorithmes, Programmation divers\Data Structures and Algorithms in Python (2013) - [Wiley] - Goodrich, Tamassia, Goldwasser.pdf</t>
  </si>
  <si>
    <t>W:\Livres\Informatique\Algorithmes, Programmation divers\Data Structures and Algorithms with JavaScript (2014) - [O'Reilly] - Michael McMillan.pdf</t>
  </si>
  <si>
    <t>W:\Livres\Informatique\Algorithmes, Programmation divers\Développez des applications originales pour iPhone et iPod Touch (2010) - [Pearson] - Jean-Marc Delprato.pdf</t>
  </si>
  <si>
    <t>W:\Livres\Informatique\Algorithmes, Programmation divers\Fundamentals of Computer Algorithms (1984) - [Computer Science Press] - Ellis Horowitz.pdf</t>
  </si>
  <si>
    <t>W:\Livres\Informatique\Algorithmes, Programmation divers\Head First Programming (2009) - [O'Reilly] - Paul Barry, David Griffiths.pdf</t>
  </si>
  <si>
    <t>W:\Livres\Informatique\Algorithmes, Programmation divers\Les langages à objets, Principes de base, techniques de programmation (1992) - [Armand Colin] - Michel Beaudouin-Lafon.pdf</t>
  </si>
  <si>
    <t>W:\Livres\Informatique\Algorithmes, Programmation divers\Les virus informatiques, Théorie, pratique et applications (2è ed, 2009) - [Springer] - Éric Filiol.pdf</t>
  </si>
  <si>
    <t>W:\Livres\Informatique\Algorithmes, Programmation divers\L'orienté objet (2è ed, 2007) - [Eyrolles] - Hugues Bersini.pdf</t>
  </si>
  <si>
    <t>W:\Livres\Informatique\Algorithmes, Programmation divers\Mastering Algorithms with C (1999) - [O'Reilly] - Kyle Loudon.epub</t>
  </si>
  <si>
    <t>W:\Livres\Informatique\Algorithmes, Programmation divers\Mastering Algorithms with C (1999) - [O'Reilly] - Kyle Loudon.pdf</t>
  </si>
  <si>
    <t>W:\Livres\Informatique\Algorithmes, Programmation divers\Practical Genetic Algorithms (2nd ed, 2004) - [Wiley] - Haupt.pdf</t>
  </si>
  <si>
    <t>W:\Livres\Informatique\ArchiCAD, De la prise en main jusqu'au traceur (2005) - [Dunod] - Éric Wilk.pdf</t>
  </si>
  <si>
    <t>W:\Livres\Informatique\Bitcoin et blockchain (2016) - [RB édition] - Geiben, Jean-Marie, Verviest, Vilotte.pdf</t>
  </si>
  <si>
    <t>W:\Livres\Informatique\Cloud\Tout pour le cloud personnel (2013) - [Dunod] - Guillaume Plouin.epub</t>
  </si>
  <si>
    <t>W:\Livres\Informatique\Cloud\Tout pour le cloud personnel (2013) - [Dunod] - Guillaume Plouin.pdf</t>
  </si>
  <si>
    <t>W:\Livres\Informatique\Docker, Pratique des architectures à base de conteneurs (2016) - [Dunod] - Cloux, Garlot, Kohler.pdf</t>
  </si>
  <si>
    <t>W:\Livres\Informatique\Microsoft Office\Excel VBA Programming for Dummies (3rd ed, 2013) - [Wiley] - John Walkenbach.pdf</t>
  </si>
  <si>
    <t>W:\Livres\Informatique\Microsoft Office\Réaliser des graphiques avec Excel, 30 modèles percutants (2016) - [Eyrolles] - Jean-Marc Lagoda, Frédéric Rosard.pdf</t>
  </si>
  <si>
    <t>W:\Livres\Informatique\Neural Networks, Machine Learning, IA\Deep Learning in Python - LazyProgrammer.epub</t>
  </si>
  <si>
    <t>W:\Livres\Informatique\Neural Networks, Machine Learning, IA\Deep Learning in Python - LazyProgrammer.pdf</t>
  </si>
  <si>
    <t>W:\Livres\Informatique\Premiers pas vers le digital (2016) - [Eyrolles] - Lalée Pinoncély.pdf</t>
  </si>
  <si>
    <t>W:\Livres\Informatique\Réseaux, Ethernet, WiFi\Peer to Peer (2001) - Andy Oram.pdf</t>
  </si>
  <si>
    <t>W:\Livres\Informatique\Sécurité, Cryptographie, Hacking\A Buffer Overflow Study, Attacks and Defenses (2002) - Pierre-Alain Fayolle, Vincent Glaume.pdf</t>
  </si>
  <si>
    <t>W:\Livres\Informatique\Smart home, Habitat connecté, installations domotiques et multimédia (2014) - [Dunod] - Méziane Boudellal.pdf</t>
  </si>
  <si>
    <t>Elsevier</t>
  </si>
  <si>
    <t>World Scientific</t>
  </si>
  <si>
    <t>Vuibert</t>
  </si>
  <si>
    <t>McGraw-Hill</t>
  </si>
  <si>
    <t>Pearson</t>
  </si>
  <si>
    <t>Elsevier Masson</t>
  </si>
  <si>
    <t>Wikibooks</t>
  </si>
  <si>
    <t>Cambridge</t>
  </si>
  <si>
    <t>North-Holland</t>
  </si>
  <si>
    <t>Phoenix Engineering</t>
  </si>
  <si>
    <t>ENI</t>
  </si>
  <si>
    <t>Addison-Wesley</t>
  </si>
  <si>
    <t>CRC Press</t>
  </si>
  <si>
    <t>Prentice Hall</t>
  </si>
  <si>
    <t>Jones and Bartlett Publishers</t>
  </si>
  <si>
    <t>Manning</t>
  </si>
  <si>
    <t>Microsoft Press</t>
  </si>
  <si>
    <t>New Riders Publishing</t>
  </si>
  <si>
    <t>CareerCup</t>
  </si>
  <si>
    <t>D-BookeR</t>
  </si>
  <si>
    <t>Thomson</t>
  </si>
  <si>
    <t>Développez.com</t>
  </si>
  <si>
    <t>Computer Science Press</t>
  </si>
  <si>
    <t>MIT Press</t>
  </si>
  <si>
    <t>Packt</t>
  </si>
  <si>
    <t>Princeton University Press</t>
  </si>
  <si>
    <t>Delacorte Press</t>
  </si>
  <si>
    <t>Le site du zéro</t>
  </si>
  <si>
    <t>Apress</t>
  </si>
  <si>
    <t>RB édition</t>
  </si>
  <si>
    <t>Sams</t>
  </si>
  <si>
    <t>Framabook</t>
  </si>
  <si>
    <t>Tutorials Point</t>
  </si>
  <si>
    <t>Acodemy</t>
  </si>
  <si>
    <t>No Starch</t>
  </si>
  <si>
    <t>Cépaduès</t>
  </si>
  <si>
    <t>1965</t>
  </si>
  <si>
    <t>1969</t>
  </si>
  <si>
    <t>1972</t>
  </si>
  <si>
    <t>1973</t>
  </si>
  <si>
    <t>1977</t>
  </si>
  <si>
    <t>1981</t>
  </si>
  <si>
    <t>1982</t>
  </si>
  <si>
    <t>1984</t>
  </si>
  <si>
    <t>1986</t>
  </si>
  <si>
    <t>1988</t>
  </si>
  <si>
    <t>1992</t>
  </si>
  <si>
    <t>1996</t>
  </si>
  <si>
    <t>1997</t>
  </si>
  <si>
    <t>1998</t>
  </si>
  <si>
    <t>W:\Livres\Informatique\Algorithmes, Programmation divers\Algorithms and Data Structures (1986) - [Prentice Hall] - Niklaus Wirth.pdf</t>
  </si>
  <si>
    <t>Microsoft</t>
  </si>
  <si>
    <t>IBM</t>
  </si>
  <si>
    <t>Python Software Foundation</t>
  </si>
  <si>
    <t>Digital Research</t>
  </si>
  <si>
    <t>Digit Books</t>
  </si>
  <si>
    <t>Wrox</t>
  </si>
  <si>
    <t>Course Technology, Cengage Learning</t>
  </si>
  <si>
    <t>Artima</t>
  </si>
  <si>
    <t>GNU Press</t>
  </si>
  <si>
    <t>Peachpit Press</t>
  </si>
  <si>
    <t>W:\Livres\Informatique\Cahier Gimp.2.8 (2è ed, 2015) {Dump} - [Eyrolles] - Raymond Ostertag.pdf</t>
  </si>
  <si>
    <t>W:\Livres\Informatique\Cookbook Référencement Google (2013) - [Dunod] - Samir Ghouti-Terki.pdf</t>
  </si>
  <si>
    <t>W:\Livres\Informatique\Créez des documents ePub (2011) - [Pearson] - Élizabeth Castro.pdf</t>
  </si>
  <si>
    <t>W:\Livres\Informatique\Créez vos sites Web avec WordPress (2è ed, 2014) - [Dunod] - Simon Kern.pdf</t>
  </si>
  <si>
    <t>W:\Livres\Informatique\Créez vos sites Web avec WordPress (2è ed, 2014), Fichiers de travail.zip</t>
  </si>
  <si>
    <t>W:\Livres\Informatique\Database Nation, The Death of Privacy in the 21st Century (2000) - [O'Reilly] - Simson Garfinkel.pdf</t>
  </si>
  <si>
    <t>W:\Livres\Informatique\Découvrir DevOps, L'essentiel pour tous les métiers (2016) - [Dunod] - Stéphane Gourdeau, Samuel Metias.epub</t>
  </si>
  <si>
    <t>W:\Livres\Informatique\Découvrir DevOps, L'essentiel pour tous les métiers (2016) - [Dunod] - Stéphane Gourdeau, Samuel Metias.pdf</t>
  </si>
  <si>
    <t>W:\Livres\Informatique\Développer les usages des logiciels collaboratifs, Le rôle des SI, des RH et des managers (2013) - [Springer] - Ewan Oiry.pdf</t>
  </si>
  <si>
    <t>W:\Livres\Informatique\Être un pro de l'email (2014) - [Eyrolles] - Sylvie Azoulay-Bismuth.pdf</t>
  </si>
  <si>
    <t>W:\Livres\Informatique\Gérer et comprendre l'open source (2011) - [Presses des Mines] - Nordine Benkeltoum.pdf</t>
  </si>
  <si>
    <t>W:\Livres\Informatique\Guide pratique du e-Learning, Conception, stratégie et pédagogie avec Moodle (2011) - [Dunod] - Sid Ahmed Benraouane.pdf</t>
  </si>
  <si>
    <t>W:\Livres\Informatique\Informatique, Internet et TPE, Choisir et mettre en oeuvre les bons outils (2009) - [Dunod] - Albéric Quenfaime.pdf</t>
  </si>
  <si>
    <t>W:\Livres\Informatique\Internet et les réseaux sociaux, que dit la loi (2è ed, 2015) - [Eyrolles] - Fabrice Mattatia.pdf</t>
  </si>
  <si>
    <t>W:\Livres\Informatique\Je débute en blogging, Tome 1, Créer son blog (2012) - Copywriting Pratique.pdf</t>
  </si>
  <si>
    <t>W:\Livres\Informatique\Je débute en blogging, Tome 2, Alimenter, faire connaître, gérer et monétiser son blog (2012) - Copywriting Pratique.pdf</t>
  </si>
  <si>
    <t>W:\Livres\Informatique\Junos Enterprise Switching (2009) - [O'Reilly] - Harry Reynolds, Doug Marschke.pdf</t>
  </si>
  <si>
    <t>W:\Livres\Informatique\Le guide des liens sponsorisés, Google AdWords en 150 questions réponses (2014) - [Eyrolles] - Florient Marlin.pdf</t>
  </si>
  <si>
    <t>W:\Livres\Informatique\Le mobile NFC (2015) - [Afnor] - Pierre Métivier.pdf</t>
  </si>
  <si>
    <t>W:\Livres\Informatique\Le SI démystifié (2007) - [Dunod] - Yves Caseau.pdf</t>
  </si>
  <si>
    <t>W:\Livres\Informatique\Les secrets du dessinateur AutoCAD - [Pearson] - Patrick Diver.pdf</t>
  </si>
  <si>
    <t>W:\Livres\Informatique\Les tableaux de bord de la DSI (3è ed, 2016) - [Dunod] - Legrenzi, Rosé.pdf</t>
  </si>
  <si>
    <t>W:\Livres\Informatique\Microsoft Office\Access Database Design &amp; Programming (3rd ed, 2002) {Dump} - [O'Reilly] - Steven Roman.pdf</t>
  </si>
  <si>
    <t>W:\Livres\Informatique\Microsoft Office\Excel 2013 Avancé (2013) - [Eyrolles] - Philippe Moreau.pdf</t>
  </si>
  <si>
    <t>W:\Livres\Informatique\Microsoft Office\Excel 2013 Initiation (2013) - [Eyrolles] - Philippe Moreau.pdf</t>
  </si>
  <si>
    <t>W:\Livres\Informatique\Microsoft Office\Excel 2013 programmation VBA (2014) - [Eyrolles] - Daniel-Jean David.pdf</t>
  </si>
  <si>
    <t>W:\Livres\Informatique\Microsoft Office\Excel et le VBA (2010) - [Pearson] - Mikaël Bidault.pdf</t>
  </si>
  <si>
    <t>ExtraInfo</t>
  </si>
  <si>
    <t>W:\Livres\Informatique\Neural Networks, Machine Learning, IA\Panorama de l'intelligence artificielle\Panorama de l'IA, 01, Représentation des connaissances et formalisation des raisonnements (2014) - [Cépaduès] - Pierre Marquis, Odile Papini.pdf</t>
  </si>
  <si>
    <t>W:\Livres\Informatique\Neural Networks, Machine Learning, IA\Panorama de l'intelligence artificielle\Panorama de l'IA, 02, Algorithmes pour l'intelligence artificielle (2014) - [Cépaduès] - Pierre Marquis, Odile Papini.pdf</t>
  </si>
  <si>
    <t>W:\Livres\Informatique\Neural Networks, Machine Learning, IA\Panorama de l'intelligence artificielle\Panorama de l'IA, 03, L'intelligence artificielle, frontières et applications (2014) - [Cépaduès] - Pierre Marquis, Odile Papini.pdf</t>
  </si>
  <si>
    <t>W:\Livres\Informatique\Bioinformatics\Beginning Perl for Bioinformatics (2001) - [O'Reilly] - James Tisdall.pdf</t>
  </si>
  <si>
    <t>W:\Livres\Informatique\Bioinformatics\Bioinformatics for DNA Sequence Analysis (2009) - [Humana Press] - David Posada.pdf</t>
  </si>
  <si>
    <t>W:\Livres\Informatique\Bioinformatics\Bioinformatics Programming Using Python (2010) - [O'Reilly] - Mitchell L Model.pdf</t>
  </si>
  <si>
    <t>W:\Livres\Informatique\Bioinformatics\Bioinformatics Research and Development (2008) - [Springer] - Collective.pdf</t>
  </si>
  <si>
    <t>W:\Livres\Informatique\Bioinformatics\Bioinformatics, From Genomes to Drugs (2002) - [Wiley] - Thomas Lengauer.pdf</t>
  </si>
  <si>
    <t>W:\Livres\Informatique\Bioinformatics\Data Mining Multimedia, Soft Computing &amp; Bioinformatics (2003) - [Wiley] - Sushmita Mitra, Tinku Acharya.pdf</t>
  </si>
  <si>
    <t>W:\Livres\Informatique\Bioinformatics\Developing Bioinformatics Computer Skills (2001) - [O'Reilly] - Cynthia Gibas, Per Jambeck.pdf</t>
  </si>
  <si>
    <t>W:\Livres\Informatique\Bioinformatics\Java for Bioinformatics and Biomedical Applications (2007) - [Springer] - Harshawardhan Bal, Johnny Hujol.pdf</t>
  </si>
  <si>
    <t>W:\Livres\Informatique\Cloud\Cloud computing, Sécurité, gouvernance du SI hybride (4è ed, 2016) - [Dunod] - Guillaume Plouin.pdf</t>
  </si>
  <si>
    <t>W:\Livres\Informatique\Cloud\Enterprise Cloud Strategy (2016) - [Microsoft Press] - Barry Briggs, Eduardo Kassner.epub</t>
  </si>
  <si>
    <t>W:\Livres\Informatique\Cloud\Enterprise Cloud Strategy (2016) - [Microsoft Press] - Barry Briggs, Eduardo Kassner.pdf</t>
  </si>
  <si>
    <t>W:\Livres\Informatique\Cloud\Heroku Cloud Application Development (2014) - [Packt] - Anubhav Hanjura.pdf</t>
  </si>
  <si>
    <t>W:\Livres\Informatique\Cloud\Host Your Web Site in the Cloud, AWS made easy (2010) - [Sitepoint] - Jeff Barr.pdf</t>
  </si>
  <si>
    <t>W:\Livres\Informatique\Cloud\Microsoft Cloud Solutions and Platforms Options (2016) - [Microsoft].pdf</t>
  </si>
  <si>
    <t>W:\Livres\Informatique\Cloud\Microsoft System Center Integrated Cloud Platform (2014) - [Microsoft Press] - David Ziembicki, Mitch Tulloch.epub</t>
  </si>
  <si>
    <t>W:\Livres\Informatique\Cloud\Microsoft System Center Integrated Cloud Platform (2014) - [Microsoft Press] - David Ziembicki, Mitch Tulloch.pdf</t>
  </si>
  <si>
    <t>W:\Livres\Informatique\Cloud\Rethinking Enterprise Storage, A Hybrid Cloud Model (2013) - [Microsoft Press] - Marc Farley.epub</t>
  </si>
  <si>
    <t>W:\Livres\Informatique\Cloud\Rethinking Enterprise Storage, A Hybrid Cloud Model (2013) - [Microsoft Press] - Marc Farley.pdf</t>
  </si>
  <si>
    <t>W:\Livres\Informatique\Cloud\System Center Cloud Mgmt with App Controller (2013) - [Microsoft Press] - Yung Chou, Keith Mayer, Mitch Tulloch.epub</t>
  </si>
  <si>
    <t>W:\Livres\Informatique\Cloud\System Center Cloud Mgmt with App Controller (2013) - [Microsoft Press] - Yung Chou, Keith Mayer, Mitch Tulloch.pdf</t>
  </si>
  <si>
    <t>W:\Livres\Informatique\Microsoft Books 2016\A Hitchhiker's Guide Microsoft StreamInsight Queries (2012) - [Microsoft] - Ramkumar Krishnan, Jonathan Goldstein, Alex Raizman.epub</t>
  </si>
  <si>
    <t>W:\Livres\Informatique\Microsoft Books 2016\A Hitchhiker's Guide Microsoft StreamInsight Queries (2012) - [Microsoft] - Ramkumar Krishnan, Jonathan Goldstein, Alex Raizman.pdf</t>
  </si>
  <si>
    <t>W:\Livres\Informatique\Microsoft Books 2016\Creating Mobile Apps with Xamarin.Forms (2016) - [Microsoft Press] - Charles petzold.epub</t>
  </si>
  <si>
    <t>W:\Livres\Informatique\Microsoft Books 2016\Creating Mobile Apps with Xamarin.Forms (2016) - [Microsoft Press] - Charles petzold.pdf</t>
  </si>
  <si>
    <t>W:\Livres\Informatique\Microsoft Books 2016\Introducing Windows 8.1 for IT Professionals (2013) - [Microsoft Press] - Ed Bott.epub</t>
  </si>
  <si>
    <t>W:\Livres\Informatique\Microsoft Books 2016\Introducing Windows 8.1 for IT Professionals (2013) - [Microsoft Press] - Ed Bott.pdf</t>
  </si>
  <si>
    <t>W:\Livres\Informatique\Microsoft Books 2016\Introducing Windows 10 for IT Professionals (2016) - [Microsoft Press] - Ed Bott.epub</t>
  </si>
  <si>
    <t>W:\Livres\Informatique\Microsoft Books 2016\Introducing Windows 10 for IT Professionals (2016) - [Microsoft Press] - Ed Bott.pdf</t>
  </si>
  <si>
    <t>W:\Livres\Informatique\Microsoft Books 2016\Master Data Services Capacity Guidelines (2012) - [Microsoft] - Yair Helman.epub</t>
  </si>
  <si>
    <t>W:\Livres\Informatique\Microsoft Books 2016\Master Data Services Capacity Guidelines (2012) - [Microsoft] - Yair Helman.pdf</t>
  </si>
  <si>
    <t>W:\Livres\Informatique\Microsoft Books 2016\Master Data Services, SQL Server 2012 Books Online (2012) - [Microsoft].epub</t>
  </si>
  <si>
    <t>W:\Livres\Informatique\Microsoft Books 2016\Master Data Services, SQL Server 2012 Books Online (2012) - [Microsoft].pdf</t>
  </si>
  <si>
    <t>W:\Livres\Informatique\Microsoft Books 2016\Microsoft System Center, Deploying Hyper-V with Software-Defined Storage and Networking (2015) - [Microsoft Press] - Mitch Tulloch.epub</t>
  </si>
  <si>
    <t>W:\Livres\Informatique\Microsoft Books 2016\Microsoft System Center, Deploying Hyper-V with Software-Defined Storage and Networking (2015) - [Microsoft Press] - Mitch Tulloch.pdf</t>
  </si>
  <si>
    <t>W:\Livres\Informatique\Microsoft Office\VB VBA in a Nutshell (1998) - [O'Reilly] - Paul Lomax.pdf</t>
  </si>
  <si>
    <t>W:\Livres\Informatique\Microsoft Office\Writing Excel Macros with VBA (2nd ed, 2002) {Dump} - [O'Reilly] - Steven Roman.pdf</t>
  </si>
  <si>
    <t>W:\Livres\Informatique\Réseaux, Ethernet, WiFi\Apprenez le fonctionnement des réseaux TCP IP (2013) - [Le site du zéro] - Romain Guichard.pdf</t>
  </si>
  <si>
    <t>W:\Livres\Informatique\Réseaux, Ethernet, WiFi\Architecture des réseaux (2009) - [Pearson] - Danièle Dromard, Dominique Seret.pdf</t>
  </si>
  <si>
    <t>W:\Livres\Informatique\Réseaux, Ethernet, WiFi\Cisco IOS Access Lists (2001) - [O'Reilly] - Jeff Sedayao.pdf</t>
  </si>
  <si>
    <t>W:\Livres\Informatique\Réseaux, Ethernet, WiFi\Cisco IOS in a Nutshell (2001) {Dump} - [O'Reilly] - James Boney.pdf</t>
  </si>
  <si>
    <t>W:\Livres\Informatique\Réseaux, Ethernet, WiFi\Designing Large-Scale LANs (2001) - [O'Reilly] - Kevin Dooley.pdf</t>
  </si>
  <si>
    <t>W:\Livres\Informatique\Réseaux, Ethernet, WiFi\Ethernet Definitive Guide (2000) {Dump} - [O'Reilly] - Charles E. Spurgeon.pdf</t>
  </si>
  <si>
    <t>W:\Livres\Informatique\Réseaux, Ethernet, WiFi\IPv6 Essentials (2002) - [O'Reilly] - Silvia Hagen.pdf</t>
  </si>
  <si>
    <t>W:\Livres\Informatique\Réseaux, Ethernet, WiFi\Les réseaux (6è ed, 2008) - [Eyrolles] - Guy Pujolle.pdf</t>
  </si>
  <si>
    <t>W:\Livres\Informatique\Réseaux, Ethernet, WiFi\Les réseaux (8è ed, 2014) - [Eyrolles] - Guy Pujolle.pdf</t>
  </si>
  <si>
    <t>W:\Livres\Informatique\Réseaux, Ethernet, WiFi\Network Troubleshooting Tools (2001) {Dump} - [O'Reilly] - Joseph D. Sloan.pdf</t>
  </si>
  <si>
    <t>W:\Livres\Informatique\Réseaux, Ethernet, WiFi\Network Warrior (2nd ed, 2011) - [O'Reilly] - Gary A. Donahue.pdf</t>
  </si>
  <si>
    <t>W:\Livres\Informatique\Réseaux, Ethernet, WiFi\Running IPv6 (2006) - [Apress] - Iljitsch van Beijnum.pdf</t>
  </si>
  <si>
    <t>W:\Livres\Informatique\Réseaux, Ethernet, WiFi\Tout sur les réseaux sans fil (2009) - [Dunod] - Fabrice Lemainque.pdf</t>
  </si>
  <si>
    <t>W:\Livres\Informatique\Réseaux, Ethernet, WiFi\Virtual Private Networks (2nd ed, 1999) - [O'Reilly] - Charlie Scott, Paul Wolfe, Mike Erwin.pdf</t>
  </si>
  <si>
    <t>W:\Livres\Informatique\Réseaux, Ethernet, WiFi\WiFi professionnel, La norme 802.11, le déploiement, la sécurité (3è ed, 2009) - [Dunod] - Aurélien Géron.pdf</t>
  </si>
  <si>
    <t>Cengage Learning</t>
  </si>
  <si>
    <t>The Pragmatic Programmers</t>
  </si>
  <si>
    <t>Free Software Foundation</t>
  </si>
  <si>
    <t>Maker Media</t>
  </si>
  <si>
    <t>New Riders</t>
  </si>
  <si>
    <t>Jones &amp; Bartlett</t>
  </si>
  <si>
    <t>SS Publishing</t>
  </si>
  <si>
    <t>Westview</t>
  </si>
  <si>
    <t>Peachpit</t>
  </si>
  <si>
    <t>Oxford</t>
  </si>
  <si>
    <t>Syngress</t>
  </si>
  <si>
    <t>Sitepoint</t>
  </si>
  <si>
    <t>Sybex</t>
  </si>
  <si>
    <t>R&amp;D Books</t>
  </si>
  <si>
    <t>Broquard eBooks</t>
  </si>
  <si>
    <t>Sun Microsystems</t>
  </si>
  <si>
    <t>Big nerd ranch</t>
  </si>
  <si>
    <t>Prima</t>
  </si>
  <si>
    <t>Berti</t>
  </si>
  <si>
    <t>Red Hat Press</t>
  </si>
  <si>
    <t>Brroks-Cole</t>
  </si>
  <si>
    <t>Que</t>
  </si>
  <si>
    <t>Éditests</t>
  </si>
  <si>
    <t>Humana Press</t>
  </si>
  <si>
    <t>CareerMonk</t>
  </si>
  <si>
    <t>Apple</t>
  </si>
  <si>
    <t>Presses des Mines</t>
  </si>
  <si>
    <t>Smart Data Processing</t>
  </si>
  <si>
    <t>Atramenta</t>
  </si>
  <si>
    <t>Benjamin-Cummings</t>
  </si>
  <si>
    <t>Loze-Dion</t>
  </si>
  <si>
    <t>Premier Press</t>
  </si>
  <si>
    <t>The Coriolis Group</t>
  </si>
  <si>
    <t>W:\Livres\Informatique\Algorithmes, Programmation divers\An Introduction to the Analysis of Algorithms (2nd ed, 2013) - [Addison-Wesley] - Robert Sedgewick, Philippe Flajolet.pdf</t>
  </si>
  <si>
    <t>W:\Livres\Informatique\Algorithmes, Programmation divers\Refactoring, Improving the Design of Existing Code (1999) - [Pearson] - Martin Fowler, Kent Beck.pdf</t>
  </si>
  <si>
    <t>W:\Livres\Informatique\Blockchain (2015) {Dump} - [O'Reilly] - Melanie Swan.pdf</t>
  </si>
  <si>
    <t>W:\Livres\Informatique\Gestion de projet\Conduire un projet informatique (2014) - [Eyrolles] - Philippe Taché.pdf</t>
  </si>
  <si>
    <t>W:\Livres\Informatique\Gestion de projet\Génération Y et pratiques de management des projets SI (2013) - [Springer] - Chantal Morley, Marie Bia Figueiredo.pdf</t>
  </si>
  <si>
    <t>W:\Livres\Informatique\Gestion de projet\La gestion de projet pour les nuls (3è ed, 2011) - [First] - Portny, Sage.pdf</t>
  </si>
  <si>
    <t>W:\Livres\Informatique\Gestion de projet\Le kit du chef de projet (6è ed, 2016) - [Eyrolles] - Hugues Marchat.pdf</t>
  </si>
  <si>
    <t>W:\Livres\Informatique\Gestion de projet\Réussir un projet Intranet 2.0 (2009) - [Eyrolles] - Frédéric Créplet, Thomas Jacob.pdf</t>
  </si>
  <si>
    <t>W:\Livres\Informatique\Gestion de projet\Scrum, Le guide pratique de la méthode agile la plus populaire (4è ed, 2015) - [Dunod] - Claude Aubry.epub</t>
  </si>
  <si>
    <t>W:\Livres\Informatique\Gestion de projet\Scrum, Le guide pratique de la méthode agile la plus populaire (4è ed, 2015) - [Dunod] - Claude Aubry.pdf</t>
  </si>
  <si>
    <t>W:\Livres\Informatique\L'impression 3D (2è ed, 2014) - [Eyrolles] - Mathilde Berchon.pdf</t>
  </si>
  <si>
    <t>W:\Livres\Informatique\Loi et internet (2011) - [Eyrolles] - Fabrice Mattatia.pdf</t>
  </si>
  <si>
    <t>W:\Livres\Informatique\Macromedia Director in a Nutshell (1999) {Partiel} - [O'Reilly] - Bruce Epstein.pdf</t>
  </si>
  <si>
    <t>W:\Livres\Informatique\Macromedia Lingo in a Nutshell (1998) {Partiel} - [O'Reilly] - Bruce Epstein.pdf</t>
  </si>
  <si>
    <t>W:\Livres\Informatique\Mesurer la performance du système d'information (2008) - [Eyrolles] - David Autissier, Valérie Delaye.pdf</t>
  </si>
  <si>
    <t>W:\Livres\Informatique\Microsoft Books 2016\Configuring SharePoint Hybrid Capabilities (2016) - [Microsoft Press] - Jeremy Taylor, Neil Hodgkinson, Manas Biswas.pdf</t>
  </si>
  <si>
    <t>W:\Livres\Informatique\Microsoft Books 2016\CRM 2016 Administration Guide (2016) - [Microsoft].pdf</t>
  </si>
  <si>
    <t>W:\Livres\Informatique\Microsoft Books 2016\Deploying Windows 10 (2016) - [Microsoft Press] - Della Monica, Rimmerman, Cesarini, Silveira.epub</t>
  </si>
  <si>
    <t>W:\Livres\Informatique\Microsoft Books 2016\Deploying Windows 10 (2016) - [Microsoft Press] - Della Monica, Rimmerman, Cesarini, Silveira.pdf</t>
  </si>
  <si>
    <t>W:\Livres\Informatique\Microsoft Books 2016\Deployment guide for SharePoint 2013 (2014) - [Microsoft].pdf</t>
  </si>
  <si>
    <t>W:\Livres\Informatique\Microsoft Books 2016\Engineering for accessibility (2009) - [Microsoft].pdf</t>
  </si>
  <si>
    <t>W:\Livres\Informatique\Microsoft Books 2016\Introducing Power BI (2016) - [Microsoft Press] - Alberto Ferrari, Marco Russo.pdf</t>
  </si>
  <si>
    <t>W:\Livres\Informatique\Microsoft Books 2016\Introducing System Center 2012 (2013) - [Microsoft Press] - Mitch Tulloch, Symon Perriman, System Center Team.epub</t>
  </si>
  <si>
    <t>W:\Livres\Informatique\Microsoft Books 2016\Introducing System Center 2012 (2013) - [Microsoft Press] - Mitch Tulloch, Symon Perriman, System Center Team.pdf</t>
  </si>
  <si>
    <t>W:\Livres\Informatique\Microsoft Books 2016\Introducing Windows 8 for IT Professionals (2012) - [Microsoft Press] - Jerry Honeycutt.epub</t>
  </si>
  <si>
    <t>W:\Livres\Informatique\Microsoft Books 2016\Introducing Windows 8 for IT Professionals (2012) - [Microsoft Press] - Jerry Honeycutt.pdf</t>
  </si>
  <si>
    <t>W:\Livres\Informatique\Microsoft Books 2016\Moving to Microsoft Visual Studio 2010 (2011) - [Microsoft Press] - Patrice Pelland, Pascal Paré, Ken Haines.pdf</t>
  </si>
  <si>
    <t>W:\Livres\Informatique\Microsoft Books 2016\Office 2013, Access 2013 Quickstart Guide - [Microsoft].pdf</t>
  </si>
  <si>
    <t>W:\Livres\Informatique\Microsoft Books 2016\Office 2013, Create a Team Site Quickstart Guide - [Microsoft].pdf</t>
  </si>
  <si>
    <t>W:\Livres\Informatique\Microsoft Books 2016\Office 2013, Excel 2013 Quickstart Guide - [Microsoft].pdf</t>
  </si>
  <si>
    <t>W:\Livres\Informatique\Microsoft Books 2016\Office 2013, Lists Quickstart Guide - [Microsoft].pdf</t>
  </si>
  <si>
    <t>W:\Livres\Informatique\Microsoft Books 2016\Office 2013, OneNote 2013 Quickstart Guide - [Microsoft].pdf</t>
  </si>
  <si>
    <t>W:\Livres\Informatique\Microsoft Books 2016\Office 2013, Outlook 2013 Quickstart Guide - [Microsoft].pdf</t>
  </si>
  <si>
    <t>W:\Livres\Informatique\Microsoft Books 2016\Office 2013, Project 2013 Quickstart Guide - [Microsoft].pdf</t>
  </si>
  <si>
    <t>W:\Livres\Informatique\Microsoft Books 2016\Office 2013, Publisher 2013 Quickstart Guide - [Microsoft].pdf</t>
  </si>
  <si>
    <t>W:\Livres\Informatique\Microsoft Books 2016\Office 2013, Store and Share Documents Quickstart Guide - [Microsoft].pdf</t>
  </si>
  <si>
    <t>W:\Livres\Informatique\Microsoft Books 2016\Office 2013, Word 2013 Quickstart Guide - [Microsoft].pdf</t>
  </si>
  <si>
    <t>W:\Livres\Informatique\Microsoft Books 2016\OneNote 2016 For Mac Quick Start Guide - [Microsoft].pdf</t>
  </si>
  <si>
    <t>W:\Livres\Informatique\Microsoft Books 2016\OneNote 2016 Quick Start Guide - [Microsoft].pdf</t>
  </si>
  <si>
    <t>W:\Livres\Informatique\Microsoft Books 2016\OneNote 2016 Tips Tricks - [Microsoft].pdf</t>
  </si>
  <si>
    <t>W:\Livres\Informatique\Microsoft Books 2016\OneNote Mobile Quick Start Guide - [Microsoft].pdf</t>
  </si>
  <si>
    <t>W:\Livres\Informatique\Microsoft Books 2016\Outlook 2016 For Mac Quick Start Guide - [Microsoft].pdf</t>
  </si>
  <si>
    <t>W:\Livres\Informatique\Microsoft Books 2016\Outlook 2016 Quick Start Guide - [Microsoft].pdf</t>
  </si>
  <si>
    <t>W:\Livres\Informatique\Microsoft Books 2016\Outlook 2016 Tips Tricks - [Microsoft].pdf</t>
  </si>
  <si>
    <t>W:\Livres\Informatique\Microsoft Books 2016\QuickStart, Learn DAX Basics in 30 Minutes (2012) - [Microsoft] - Owen Duncan.epub</t>
  </si>
  <si>
    <t>W:\Livres\Informatique\Microsoft Books 2016\QuickStart, Learn DAX Basics in 30 Minutes (2012) - [Microsoft] - Owen Duncan.pdf</t>
  </si>
  <si>
    <t>W:\Livres\Informatique\Microsoft Books 2016\Understanding Virtualization Solutions (2nd ed, 2010) - [Microsoft Press] - Mike Tulloch.pdf</t>
  </si>
  <si>
    <t>W:\Livres\Informatique\Microsoft Books 2016\Windows 10 IT Pro Essentials, Top 10 tools (2016) - [Microsoft Press] - Ed Bott.pdf</t>
  </si>
  <si>
    <t>W:\Livres\Informatique\Microsoft Books 2016\Windows 10 IT Pro Essentials, Top 10 tools (2016) {Mobile Format} - [Microsoft Press] - Ed Bott.pdf</t>
  </si>
  <si>
    <t>W:\Livres\Informatique\Microsoft Books 2016\Word 2016 for Mac Quick Start Guide - [Microsoft].pdf</t>
  </si>
  <si>
    <t>W:\Livres\Informatique\Microsoft Books 2016\Word 2016 Quick Start Guide - [Microsoft].pdf</t>
  </si>
  <si>
    <t>W:\Livres\Informatique\Microsoft Books 2016\Word Mobile Quick Start Guide - [Microsoft].pdf</t>
  </si>
  <si>
    <t>W:\Livres\Informatique\Microsoft Office\41 fiches pratiques pour maîtriser les fonctions essentielles d'Excel {Document} - Benjamin Rochereau.pdf</t>
  </si>
  <si>
    <t>W:\Livres\Informatique\Microsoft Office\Je me perfectionne avec Access 2013 {Document} - Joël Green.epub</t>
  </si>
  <si>
    <t>W:\Livres\Informatique\Microsoft Office\Je me perfectionne avec Access 2013 {Document} - Joël Green.pdf</t>
  </si>
  <si>
    <t>W:\Livres\Informatique\Microsoft Office\Je me perfectionne avec Access 2016, Développer une application {Document} - Joël Green.epub</t>
  </si>
  <si>
    <t>W:\Livres\Informatique\Microsoft Office\Je me perfectionne avec Access 2016, Développer une application {Document} - Joël Green.pdf</t>
  </si>
  <si>
    <t>W:\Livres\Informatique\Microsoft Office\Je me perfectionne avec Excel 2016, Graphiques, consolidation, plan, solveur {Document} - Joël Green.epub</t>
  </si>
  <si>
    <t>W:\Livres\Informatique\Microsoft Office\Je me perfectionne avec Excel 2016, Graphiques, consolidation, plan, solveur {Document} - Joël Green.pdf</t>
  </si>
  <si>
    <t>W:\Livres\Informatique\Microsoft Office\Je me perfectionne avec Excel 2016, Traitement de données {Document} - Joël Green.epub</t>
  </si>
  <si>
    <t>W:\Livres\Informatique\Microsoft Office\Je me perfectionne avec Excel 2016, Traitement de données {Document} - Joël Green.pdf</t>
  </si>
  <si>
    <t>W:\Livres\Informatique\Microsoft Office\Je me perfectionne avec Word 2016, Écrire un livre avec Word {Document} - Joël Green.epub</t>
  </si>
  <si>
    <t>W:\Livres\Informatique\Microsoft Office\Je me perfectionne avec Word 2016, Écrire un livre avec Word {Document} - Joël Green.pdf</t>
  </si>
  <si>
    <t>W:\Livres\Informatique\Microsoft Office\Je me perfectionne avec Word 2016, Modèle, mailing, macros {Document} - Joël Green.epub</t>
  </si>
  <si>
    <t>W:\Livres\Informatique\Microsoft Office\Je me perfectionne avec Word 2016, Modèle, mailing, macros {Document} - Joël Green.pdf</t>
  </si>
  <si>
    <t>W:\Livres\Informatique\Microsoft Office\Microsoft Office 365 (2011) - [Microsoft Press] - Katherine Murray.pdf</t>
  </si>
  <si>
    <t>W:\Livres\Informatique\Microsoft Office\Pourquoi PowerPoint ne sert à rien... Si on s'en sert mal (2016) - [Gereso] - Pascal Haumont.pdf</t>
  </si>
  <si>
    <t>W:\Livres\Informatique\Microsoft Office\Prise en main de Microsoft Office Excel 2016 {Document} - Schadrac Kande.pdf</t>
  </si>
  <si>
    <t>W:\Livres\Informatique\Microsoft Office\Programmation linéaire avec Excel (2011) - [Eyrolles] - Christian Prins, Marc Sevaux.pdf</t>
  </si>
  <si>
    <t>W:\Livres\Informatique\Microsoft Office\Project 2010 pour les nuls (2010) - [First] - Nancy C. Muir.pdf</t>
  </si>
  <si>
    <t>W:\Livres\Informatique\Microsoft Office\Security and Privacy for Microsoft Office 2010 Users (2012) - [Microsoft Press] - Mitch Tulloch.epub</t>
  </si>
  <si>
    <t>W:\Livres\Informatique\Microsoft Office\Security and Privacy for Microsoft Office 2010 Users (2012) - [Microsoft Press] - Mitch Tulloch.pdf</t>
  </si>
  <si>
    <t>W:\Livres\Informatique\Microsoft Office\SharePoint 2013, 40 recettes de pros (2014) - [Dunod] - Pierre Erol Giraudy.pdf</t>
  </si>
  <si>
    <t>W:\Livres\Informatique\Microsoft Office\Travaux pratiques avec Excel 2007 et 2010 (2011) - [Dunod] - Fabrice Lemainque.pdf</t>
  </si>
  <si>
    <t>W:\Livres\Informatique\Microsoft Office\Travaux pratiques avec Excel 2007 et 2010, Fonctions avancées (2012) - [Dunod] - Fabrice Lemainque.pdf</t>
  </si>
  <si>
    <t>W:\Livres\Informatique\Microsoft Office\Travaux pratiques avec Excel 2016 (2016) - [Dunod] - Fabrice Lemainque.pdf</t>
  </si>
  <si>
    <t>W:\Livres\Informatique\Microsoft Office\Travaux pratiques avec PowerPoint 2007 à 2013 (2014) - [Dunod] - Christine Eberhardt.pdf</t>
  </si>
  <si>
    <t>W:\Livres\Informatique\Microsoft Office\Travaux pratiques avec Word 2013 (2014) - [Dunod] - Christine Eberhardt.pdf</t>
  </si>
  <si>
    <t>W:\Livres\Informatique\Microsoft Office\Travaux pratiques avec Word 2016 (2016) - [Dunod] - Christine Eberhardt.pdf</t>
  </si>
  <si>
    <t>W:\Livres\Informatique\Microsoft Office\VBA pour Excel 2010, 2013 et 2016 (2016) - [Eyrolles] - Daniel Jean-David.pdf</t>
  </si>
  <si>
    <t>W:\Livres\Informatique\Microsoft Office\VBA pour Excel 2010, 2013 et 2016 (2016), Fichiers.zip</t>
  </si>
  <si>
    <t>W:\Livres\Informatique\MP3, The Definitive Guide (2000) - [O'Reilly] - Scot Hacker.pdf</t>
  </si>
  <si>
    <t>W:\Livres\Informatique\Neural Networks, Machine Learning, IA\Big Data et Machine Learning (2015) - [Dunod] - Lemberger, Batty, Morel, Rafaëlli.pdf</t>
  </si>
  <si>
    <t>W:\Livres\Informatique\Neural Networks, Machine Learning, IA\Exploring Neural Networks with C# (2015) - [CRC Press] - Tadeusiewicz, Chaki.pdf</t>
  </si>
  <si>
    <t>W:\Livres\Informatique\Neural Networks, Machine Learning, IA\F# for Machine Learning (2016) - [Packt] - Sudipta Mukherjee.pdf</t>
  </si>
  <si>
    <t>W:\Livres\Informatique\Neural Networks, Machine Learning, IA\FPGA Implementations of Neural Networks (2006) - [Springer] - Amos R. Omondi, Jagath C. Rajapakse.pdf</t>
  </si>
  <si>
    <t>W:\Livres\Informatique\Neural Networks, Machine Learning, IA\Intelligence artificielle et informatique théorique (2è ed, 2002) - [Cépaduès] - Alliot, Schiex, Brisset, Garcia.pdf</t>
  </si>
  <si>
    <t>W:\Livres\Informatique\Neural Networks, Machine Learning, IA\Neural Networks for Pattern Recognition (1995) {Scan} - [Clarendon Press] - Christopher M. Bishop.pdf</t>
  </si>
  <si>
    <t>W:\Livres\Informatique\Own Your Future, Update Your Skills with Resources and Career Ideas from Microsoft (2010) - [Microsoft Press] - Katherine Murray.pdf</t>
  </si>
  <si>
    <t>W:\Livres\Informatique\Photoshop CC pour PC et Mac (2015) - [Eyrolles] - Pierre Labbe.pdf</t>
  </si>
  <si>
    <t>W:\Livres\Informatique\Photoshop Elements 11 pour les photographes (2013) - [Eyrolles] - Scott Kelby, Matt Kloskowski.pdf</t>
  </si>
  <si>
    <t>W:\Livres\Informatique\Pratique de l'impression 3D (2013) - [Eyrolles] - Anna Kaziunas France.pdf</t>
  </si>
  <si>
    <t>W:\Livres\Informatique\Sage Beginner's Guide (2011) - [Packt] - Craig Finch.pdf</t>
  </si>
  <si>
    <t>W:\Livres\Informatique\Sécurité, Cryptographie, Hacking\The Art of Deception, Controlling the Human Element of Security (2003) - [Wiley] - Kevin D. Mitnick, William L. Simon.pdf</t>
  </si>
  <si>
    <t>W:\Livres\Informatique\Sécurité, Cryptographie, Hacking\Tout sur la sécurité informatique (3è ed, 2013) - [Dunod] - Pillou, Bay.pdf</t>
  </si>
  <si>
    <t>W:\Livres\Informatique\Sécurité, Cryptographie, Hacking\Tout sur la sécurité informatique (4è ed, 2016) - [Dunod] - Pillou, Bay.pdf</t>
  </si>
  <si>
    <t>W:\Livres\Informatique\Sécurité, Cryptographie, Hacking\Virus informatiques (2è ed, 2009) - [Springer] - Éric Filiol.pdf</t>
  </si>
  <si>
    <t>W:\Livres\Informatique\Server Load Balancing (2001) - [O'Reilly] - Tony Bourke.pdf</t>
  </si>
  <si>
    <t>W:\Livres\Informatique\Sketchup pour les architectes - [Eyrolles] - Lehmann, Varano, Wetzel.pdf</t>
  </si>
  <si>
    <t>W:\Livres\Informatique\Sketchup pour les architectes, Extension web.zip</t>
  </si>
  <si>
    <t>W:\Livres\Informatique\Stratégie de contenu mobile (2012) - [Eyrolles] - Karen McGrane.pdf</t>
  </si>
  <si>
    <t>W:\Livres\Informatique\SVG Essentials (2002) - [O'Reilly] - J. David Eisenberg.pdf</t>
  </si>
  <si>
    <t>W:\Livres\Informatique\The Book of VMware, The Complete Guide to VMware Workstation (2002) - [No Starch] - Brian Ward.pdf</t>
  </si>
  <si>
    <t>W:\Livres\Informatique\Tout sur Adobe Reader X et Acrobat X Pro (2012) - [Eyrolles] - Thierry Buanic.pdf</t>
  </si>
  <si>
    <t>W:\Livres\Informatique\Traitement de l'image de la numérisation à l'archivage et la communication (2013) - [Elsevier Masson] - Olivier Hélénon.pdf</t>
  </si>
  <si>
    <t>Magbook</t>
  </si>
  <si>
    <t>Birkhäuser</t>
  </si>
  <si>
    <t>Paraglyph</t>
  </si>
  <si>
    <t>Gatesmark</t>
  </si>
  <si>
    <t>Clarendon Press</t>
  </si>
  <si>
    <t>Onyx Neon Press</t>
  </si>
  <si>
    <t>booksboon.com</t>
  </si>
  <si>
    <t>bookboon.com</t>
  </si>
  <si>
    <t>Suntime Publishing</t>
  </si>
  <si>
    <t>Mediaforma</t>
  </si>
  <si>
    <t>W:\Livres\Informatique\Algorithmes, Programmation divers\Algorithmique, Raisonner pour concevoir (2009) {Dump} - [ENI] - Christophe Haro.pdf</t>
  </si>
  <si>
    <t>W:\Livres\Informatique\Algorithmes, Programmation divers\Algorithms and Data Structures in C++ (1993) {Dump} - [CRC Press] - Alan Parker.pdf</t>
  </si>
  <si>
    <t>W:\Livres\Informatique\Sécurité, Cryptographie, Hacking\10 clés pour la sécurité de l'information, ISO 27001 (2012) - [Afnor] - Claude Pinet.pdf</t>
  </si>
  <si>
    <t>W:\Livres\Informatique\Sécurité, Cryptographie, Hacking\Building Internet Firewalls (2nd ed, 2000) - [O'Reilly] - Zwicky, Cooper, Brent Chapman.pdf</t>
  </si>
  <si>
    <t>W:\Livres\Informatique\Sécurité, Cryptographie, Hacking\Image and Video Encryption (2005) - [Springer] - Andreas Uhl, Andreas Pommer.pdf</t>
  </si>
  <si>
    <t>W:\Livres\Informatique\Sécurité, Cryptographie, Hacking\IT Security Metrics (2010) - [McGraw-Hill] - Lance Hayden.pdf</t>
  </si>
  <si>
    <t>W:\Livres\Informatique\Sécurité, Cryptographie, Hacking\Le piratage de A à Z {Scan} - [Edigo].pdf</t>
  </si>
  <si>
    <t>W:\Livres\Informatique\Sécurité, Cryptographie, Hacking\Network Security with OpenSSL (2002) {Dump} - [O'Reilly] - Pravir Chandra, Matt Messier, John Viega.pdf</t>
  </si>
  <si>
    <t>W:\Livres\Informatique\Sécurité, Cryptographie, Hacking\PGP &amp; GPG Email for the Practical Paranoid (2006) - [No Starch] - Michael W. Lucas.pdf</t>
  </si>
  <si>
    <t>W:\Livres\Informatique\Sécurité, Cryptographie, Hacking\Sécurité de la dématérialisation (2012) - [Eyrolles] - Dimitri Mouton.pdf</t>
  </si>
  <si>
    <t>W:\Livres\Informatique\Sécurité, Cryptographie, Hacking\Sécurité informatique, Principes et méthodes à l'usage des DSI (4è ed, 2013) - [Eyrolles] - Laurent Bloch, Christophe Wolfhugel.pdf</t>
  </si>
  <si>
    <t>W:\Livres\Informatique\Sécurité, Cryptographie, Hacking\SSL and TLS Essentials, Securing the Web (2000) - [Wiley] - Stephen Thomas.pdf</t>
  </si>
  <si>
    <t>W:\Livres\Informatique\Sécurité, Cryptographie, Hacking\The Art of Intrusion (2005) - [Wiley] - Kevin D. Mitnick, William L. Simon.pdf</t>
  </si>
  <si>
    <t>W:\Livres\Informatique\Web, HTML, CSS, Javascript, PHP, Ajax\60 règles d'or pour réussir son site web (2014) - [Dunod] - Jean-Marc Hardy, Jacqueline Léo Lesage.pdf</t>
  </si>
  <si>
    <t>W:\Livres\Informatique\Web, HTML, CSS, Javascript, PHP, Ajax\Accessibilité Web, Normes et bonnes pratiques (2012) - [Eyrolles] - Armony Altinier.pdf</t>
  </si>
  <si>
    <t>W:\Livres\Informatique\Web, HTML, CSS, Javascript, PHP, Ajax\Ajax for Dummies (2006) - [Wiley] - Steve Holzner.pdf</t>
  </si>
  <si>
    <t>W:\Livres\Informatique\Web, HTML, CSS, Javascript, PHP, Ajax\Apprendre la programmation Web avec Python et Django (2012) - [Eyrolles] - Pierre Alexis, Hugues Bersini.pdf</t>
  </si>
  <si>
    <t>W:\Livres\Informatique\Web, HTML, CSS, Javascript, PHP, Ajax\ASP in a Nutshell (1999) - [O'Reilly] - Keyton Weissinger.pdf</t>
  </si>
  <si>
    <t>W:\Livres\Informatique\Web, HTML, CSS, Javascript, PHP, Ajax\ASP.Net (2003) - [Eyrolles] - Thomas Petillon.pdf</t>
  </si>
  <si>
    <t>W:\Livres\Informatique\Web, HTML, CSS, Javascript, PHP, Ajax\Async JavaScript (2012) - [The Pragmatic Programmers] - Trevor Burnham.pdf</t>
  </si>
  <si>
    <t>W:\Livres\Informatique\Web, HTML, CSS, Javascript, PHP, Ajax\Beginning ASP.Net 4.5 in C# and VB (2013) - [Wiley] - Imar Spaanjaars.pdf</t>
  </si>
  <si>
    <t>W:\Livres\Informatique\Web, HTML, CSS, Javascript, PHP, Ajax\Beginning ASP.Net in VB (2012) - [Apress] - Matthew MacDonald.pdf</t>
  </si>
  <si>
    <t>W:\Livres\Informatique\Web, HTML, CSS, Javascript, PHP, Ajax\Beginning CSS (3rd ed, 2011) - [Wiley] - Ian Pouncey, Richard York.pdf</t>
  </si>
  <si>
    <t>W:\Livres\Informatique\Web, HTML, CSS, Javascript, PHP, Ajax\Beginning JavaScript (4th ed, 2010) - [Wiley] - Paul Wilton, Jeremy McPeak.pdf</t>
  </si>
  <si>
    <t>W:\Livres\Informatique\Web, HTML, CSS, Javascript, PHP, Ajax\Beginning JavaScript (5th ed, 2015) - [Wiley] - Paul Wilton, Jeremy McPeak.pdf</t>
  </si>
  <si>
    <t>W:\Livres\Informatique\Web, HTML, CSS, Javascript, PHP, Ajax\Beginning JavaScript and CSS Development with jQuery (2009) - [Wiley] - Richard York.pdf</t>
  </si>
  <si>
    <t>W:\Livres\Informatique\Web, HTML, CSS, Javascript, PHP, Ajax\Beginning JavaScript with DOM Scripting and Ajax (2nd ed, 2013) - [Apress] - Russ Ferguson, Christian Heilmann.pdf</t>
  </si>
  <si>
    <t>W:\Livres\Informatique\Web, HTML, CSS, Javascript, PHP, Ajax\Beginning jQuery (2013) - [Apress] - Jack Franklin.pdf</t>
  </si>
  <si>
    <t>W:\Livres\Informatique\Web, HTML, CSS, Javascript, PHP, Ajax\Beginning PhoneGap, Mobile Web Framework for JavaScript and HTML5 (2012) - [Apress] - Rohit Ghatol, Yogesh Patel.pdf</t>
  </si>
  <si>
    <t>W:\Livres\Informatique\Web, HTML, CSS, Javascript, PHP, Ajax\Bonnes pratiques des standards du Web (2010) - [Pearson] - Dan Cederholm.pdf</t>
  </si>
  <si>
    <t>W:\Livres\Informatique\Web, HTML, CSS, Javascript, PHP, Ajax\CGI Programming (1996) {Webdump} - [O'Reilly] - Shishir Gundavaram.pdf</t>
  </si>
  <si>
    <t>W:\Livres\Informatique\Web, HTML, CSS, Javascript, PHP, Ajax\CSS 2, Pratique du Design Web (2è ed, 2007) - [Eyrolles] - Raphaël Goetter.pdf</t>
  </si>
  <si>
    <t>W:\Livres\Informatique\Web, HTML, CSS, Javascript, PHP, Ajax\CSS3 pour les web designers (2è ed, 2016) - [Eyrolles] - Dan Cederholm.pdf</t>
  </si>
  <si>
    <t>W:\Livres\Informatique\Web, HTML, CSS, Javascript, PHP, Ajax\CSS3 pour les web designers (2è ed, 2016), Errata.rar</t>
  </si>
  <si>
    <t>W:\Livres\Informatique\Web, HTML, CSS, Javascript, PHP, Ajax\Designing Active Server Pages (2000) - [O'Reilly] - Scott Mitchell.pdf</t>
  </si>
  <si>
    <t>W:\Livres\Informatique\Web, HTML, CSS, Javascript, PHP, Ajax\Developing ASP Components (2nd ed, 2001) - [O'Reilly] - Shelley Powers.pdf</t>
  </si>
  <si>
    <t>W:\Livres\Informatique\Web, HTML, CSS, Javascript, PHP, Ajax\Développer avec Symfony 2 (2015) - [Eyrolles] - Clément Camin.pdf</t>
  </si>
  <si>
    <t>W:\Livres\Informatique\Web, HTML, CSS, Javascript, PHP, Ajax\Développez en Ajax (2006) - [Eyrolles] - Michel Plasse.pdf</t>
  </si>
  <si>
    <t>W:\Livres\Informatique\Web, HTML, CSS, Javascript, PHP, Ajax\Dynamic HTML, The Definitive Reference (1998) - [O'Reilly] - Danny Goodman.pdf</t>
  </si>
  <si>
    <t>W:\Livres\Informatique\Web, HTML, CSS, Javascript, PHP, Ajax\Eloquent JavaScript, A Modern Introduction to Programming (2014) - [No Starch] - Marijn Haverbeke.pdf</t>
  </si>
  <si>
    <t>W:\Livres\Informatique\Web, HTML, CSS, Javascript, PHP, Ajax\Foundations of Ajax (2006) - [Apress] - Ryan Asleson, Nathaniel T. Schutta.pdf</t>
  </si>
  <si>
    <t>W:\Livres\Informatique\Web, HTML, CSS, Javascript, PHP, Ajax\GIS for Web Developers (2007) - [The Pragmatic Programmers] - Scott Davis.pdf</t>
  </si>
  <si>
    <t>W:\Livres\Informatique\Web, HTML, CSS, Javascript, PHP, Ajax\Guide to HTML JavaScript and PHP, For Scientists and Engineers (2011) - [Springer] - Marc Rochkind.pdf</t>
  </si>
  <si>
    <t>W:\Livres\Informatique\Web, HTML, CSS, Javascript, PHP, Ajax\Head First HTML and CSS (2nd ed, 2012) - [O'Reilly] - Elisabeth Robson, Eric Freeman.pdf</t>
  </si>
  <si>
    <t>W:\Livres\Informatique\Web, HTML, CSS, Javascript, PHP, Ajax\Head First HTML with CSS &amp; XHTML (2006) - [O'Reilly] - Elisabeth Robson, Eric Freeman.pdf</t>
  </si>
  <si>
    <t>W:\Livres\Informatique\Web, HTML, CSS, Javascript, PHP, Ajax\Head First JavaScript (2008) - [O'Reilly] - Michael Morrison.pdf</t>
  </si>
  <si>
    <t>W:\Livres\Informatique\Web, HTML, CSS, Javascript, PHP, Ajax\Head First Web Design (2009) - [O'Reilly] - Ethan Watrall, Jeff Siarto.pdf</t>
  </si>
  <si>
    <t>W:\Livres\Informatique\Web, HTML, CSS, Javascript, PHP, Ajax\Hello JavaScript Programming Fundamentals (2016) - [Leanpub] - Rick Hernandez.epub</t>
  </si>
  <si>
    <t>W:\Livres\Informatique\Web, HTML, CSS, Javascript, PHP, Ajax\Hello JavaScript Programming Fundamentals (2016) - [Leanpub] - Rick Hernandez.pdf</t>
  </si>
  <si>
    <t>W:\Livres\Informatique\Web, HTML, CSS, Javascript, PHP, Ajax\HTML &amp; CSS, The Good Parts (2010) - [O'Reilly] - Ben Henick.pdf</t>
  </si>
  <si>
    <t>W:\Livres\Informatique\Web, HTML, CSS, Javascript, PHP, Ajax\HTML &amp; XHTML Pocket Reference (4th ed, 2010) - [O'Reilly] - Jennifer Niederst Robbins.pdf</t>
  </si>
  <si>
    <t>W:\Livres\Informatique\Web, HTML, CSS, Javascript, PHP, Ajax\HTML Pocket Reference (2nd ed, 2002) - [O'Reilly] - Jennifer Niederst.pdf</t>
  </si>
  <si>
    <t>W:\Livres\Informatique\Web, HTML, CSS, Javascript, PHP, Ajax\HTML, A Beginner's Guide (4th ed, 2009) - [McGraw-Hill] - Wendy Willard.pdf</t>
  </si>
  <si>
    <t>W:\Livres\Informatique\Web, HTML, CSS, Javascript, PHP, Ajax\HTML, XHTML, and CSS Bible (5th ed, 2010) - [Wiley] - Steven M. Schafer.pdf</t>
  </si>
  <si>
    <t>W:\Livres\Informatique\Web, HTML, CSS, Javascript, PHP, Ajax\HTML5 Animation with Javascript (2011) - [Apress] - Billy Lamberta.pdf</t>
  </si>
  <si>
    <t>W:\Livres\Informatique\Web, HTML, CSS, Javascript, PHP, Ajax\HTML5 et CSS3, Cours et exercices corrigés (2012) - [Eyrolles] - Jean Engels.pdf</t>
  </si>
  <si>
    <t>W:\Livres\Informatique\Web, HTML, CSS, Javascript, PHP, Ajax\HTML5 et CSS3, Cours et exercices corrigés (2012), Exemples HTML5.zip</t>
  </si>
  <si>
    <t>W:\Livres\Informatique\Web, HTML, CSS, Javascript, PHP, Ajax\HTML5, De la page Web à l'application Web (2è ed, 2012) - [Dunod] - Jean-Pierre Vincent, Jonathan Verrecchia.pdf</t>
  </si>
  <si>
    <t>W:\Livres\Informatique\Web, HTML, CSS, Javascript, PHP, Ajax\HTML5, Une référence pour le développeur Web (2011) - [Eyrolles] - Rodolphe Rimelé.pdf</t>
  </si>
  <si>
    <t>W:\Livres\Informatique\Web, HTML, CSS, Javascript, PHP, Ajax\Introduction to Tornado (2012) - [O'Reilly] - Michael Dory, Adam Parrish, and Brendan Berg.pdf</t>
  </si>
  <si>
    <t>W:\Livres\Informatique\Web, HTML, CSS, Javascript, PHP, Ajax\JavaScript and jQuery, The Missing Manual (2nd ed, 2012) - [O'Reilly] - David Sawyer McFarland.pdf</t>
  </si>
  <si>
    <t>W:\Livres\Informatique\Web, HTML, CSS, Javascript, PHP, Ajax\JavaScript Application Cookbook (1999) {Dump} - [O'Reilly] - Jerry Bradenbaugh.pdf</t>
  </si>
  <si>
    <t>W:\Livres\Informatique\Web, HTML, CSS, Javascript, PHP, Ajax\Javascript by Example (2nd ed, 2011) - [Prentice Hall] - Ellie Quigley.pdf</t>
  </si>
  <si>
    <t>W:\Livres\Informatique\Web, HTML, CSS, Javascript, PHP, Ajax\JavaScript Enlightenment (2013) - [O'Reilly] - Cody Lindley.pdf</t>
  </si>
  <si>
    <t>W:\Livres\Informatique\Web, HTML, CSS, Javascript, PHP, Ajax\JavaScript Pocket Reference (3rd ed, 2012) - [O'Reilly] - David Flanagan.pdf</t>
  </si>
  <si>
    <t>W:\Livres\Informatique\Web, HTML, CSS, Javascript, PHP, Ajax\JavaScript pour le Web 2.0 (2007) - [Eyrolles] - Thierry Templier, ArnaudGougeon.pdf</t>
  </si>
  <si>
    <t>W:\Livres\Informatique\Web, HTML, CSS, Javascript, PHP, Ajax\JavaScript Step by Step (2nd ed, 2010) - [O'Reilly] - Steve Suehring.pdf</t>
  </si>
  <si>
    <t>W:\Livres\Informatique\Web, HTML, CSS, Javascript, PHP, Ajax\JavaScript, The Ultimate Crash Course (2016) - JM Shepal.epub</t>
  </si>
  <si>
    <t>W:\Livres\Informatique\Web, HTML, CSS, Javascript, PHP, Ajax\JavaScript, The Ultimate Crash Course (2016) - JM Shepal.pdf</t>
  </si>
  <si>
    <t>W:\Livres\Informatique\Web, HTML, CSS, Javascript, PHP, Ajax\Learn CSS in a Day - [Acodemy].pdf</t>
  </si>
  <si>
    <t>W:\Livres\Informatique\Web, HTML, CSS, Javascript, PHP, Ajax\Learn HTML in a Day (2015) - [Acodemy].pdf</t>
  </si>
  <si>
    <t>W:\Livres\Informatique\Web, HTML, CSS, Javascript, PHP, Ajax\Learn Javascript in a Day (2015) - [Acodemy].pdf</t>
  </si>
  <si>
    <t>W:\Livres\Informatique\Web, HTML, CSS, Javascript, PHP, Ajax\Learn JSON in a Day (2015) - [Acodemy].pdf</t>
  </si>
  <si>
    <t>W:\Livres\Informatique\Web, HTML, CSS, Javascript, PHP, Ajax\Learn PHP in a Day (2015) - [Acodemy].pdf</t>
  </si>
  <si>
    <t>W:\Livres\Informatique\Web, HTML, CSS, Javascript, PHP, Ajax\Learning Web Design, A Beginners Guide (4th ed, 2012) - [O'Reilly] - Jennifer Niederst Robbins.pdf</t>
  </si>
  <si>
    <t>W:\Livres\Informatique\Web, HTML, CSS, Javascript, PHP, Ajax\Learning WML &amp; WMLScript (2000) {Dump} - [O'Reilly] - Martin Frost.pdf</t>
  </si>
  <si>
    <t>W:\Livres\Informatique\Web, HTML, CSS, Javascript, PHP, Ajax\Les Cahiers du Programmeur, PHP 5 (2005) - [Eyrolles] - Stéphane Mariel.pdf</t>
  </si>
  <si>
    <t>W:\Livres\Informatique\Web, HTML, CSS, Javascript, PHP, Ajax\Les Cahiers du Programmeur, XUL (2005) - [Eyrolles] - Jonathan Protzenko.pdf</t>
  </si>
  <si>
    <t>W:\Livres\Informatique\Web, HTML, CSS, Javascript, PHP, Ajax\Maîtrise des CSS (2è ed, 2010) - [Pearson] - Andy Budd.pdf</t>
  </si>
  <si>
    <t>W:\Livres\Informatique\Web, HTML, CSS, Javascript, PHP, Ajax\Manuel de PHP (2016) - [Dunod] - Jean-Michel Léry.pdf</t>
  </si>
  <si>
    <t>W:\Livres\Informatique\Web, HTML, CSS, Javascript, PHP, Ajax\Mobile JavaScript Application Development (2012) - [O'Reilly] - Adrian Kosmaczewski.pdf</t>
  </si>
  <si>
    <t>W:\Livres\Informatique\Web, HTML, CSS, Javascript, PHP, Ajax\Modern JavaScript Develop and Design (2012) - [Peachpit] - Larry Ullman.pdf</t>
  </si>
  <si>
    <t>W:\Livres\Informatique\Web, HTML, CSS, Javascript, PHP, Ajax\Murach's JavaScript and jQuery (2012) - Zak Ruvalcaba, Mike Rurach.pdf</t>
  </si>
  <si>
    <t>W:\Livres\Informatique\Web, HTML, CSS, Javascript, PHP, Ajax\Node.js for PHP Developers (2013) - [O'Reilly] - Daniel Howard.pdf</t>
  </si>
  <si>
    <t>W:\Livres\Informatique\Web, HTML, CSS, Javascript, PHP, Ajax\PHP 5 avancé (4è ed, 2007) - [Eyrolles] - Éric Daspet, Cyril Pierre de Geyer.pdf</t>
  </si>
  <si>
    <t>W:\Livres\Informatique\Web, HTML, CSS, Javascript, PHP, Ajax\PHP 5, Cours et Exercices (2è ed, 2009) - [Eyrolles] - Jean Engels.pdf</t>
  </si>
  <si>
    <t>W:\Livres\Informatique\Web, HTML, CSS, Javascript, PHP, Ajax\Plug-In PHP, 100 Power Solutions (2010) - [McGraw-Hill] - Robin Nixon.pdf</t>
  </si>
  <si>
    <t>W:\Livres\Informatique\Web, HTML, CSS, Javascript, PHP, Ajax\Premiers pas en CSS et XHTML (2è ed, 2008) - [Eyrolles] - Francis Draillard.pdf</t>
  </si>
  <si>
    <t>W:\Livres\Informatique\Web, HTML, CSS, Javascript, PHP, Ajax\Premiers pas en CSS3 et HTML5 (6è ed, 2015) - [Eyrolles] - Francis Draillard.pdf</t>
  </si>
  <si>
    <t>W:\Livres\Informatique\Web, HTML, CSS, Javascript, PHP, Ajax\Pro HTML5 Programming (2nd ed, 2011) - [Apress] - Lubers, Albers, Salim.pdf</t>
  </si>
  <si>
    <t>W:\Livres\Informatique\Web, HTML, CSS, Javascript, PHP, Ajax\Pro JavaScript for Web Apps (2012) - [Apress] - Adam Freeman.pdf</t>
  </si>
  <si>
    <t>W:\Livres\Informatique\Web, HTML, CSS, Javascript, PHP, Ajax\Pro JavaScript Performance Monitoring and Visualization (2012) - [Apress] - Tom Barker.pdf</t>
  </si>
  <si>
    <t>W:\Livres\Informatique\Web, HTML, CSS, Javascript, PHP, Ajax\Pro PHP MVC (2012) - [Apress] - Chris Pitt.pdf</t>
  </si>
  <si>
    <t>W:\Livres\Informatique\Web, HTML, CSS, Javascript, PHP, Ajax\Pro PHP Programming (2011) - [Apress] - Peter MacIntyre, Brian Danchilla, Mladen Gogala.pdf</t>
  </si>
  <si>
    <t>W:\Livres\Informatique\Web, HTML, CSS, Javascript, PHP, Ajax\Professional JavaScript for Web Developers (3rd ed, 2012) - [Wiley] - Nicholas C. Zakas.pdf</t>
  </si>
  <si>
    <t>W:\Livres\Informatique\Web, HTML, CSS, Javascript, PHP, Ajax\Programmation GWT 2 (2è ed, 2012) - [Eyrolles] - Sami Jaber.pdf</t>
  </si>
  <si>
    <t>W:\Livres\Informatique\Web, HTML, CSS, Javascript, PHP, Ajax\Programming Web Applications with XML-RPC (2001) {Dump} - [O'Reilly] - Simon St. Laurent, Joe Johnston, Edd Dumbill.pdf</t>
  </si>
  <si>
    <t>W:\Livres\Informatique\Web, HTML, CSS, Javascript, PHP, Ajax\Programming Web Services with SOAP (2001) {Dump} - [O'Reilly] - Doug Tidwell, James Snell, Pavel Kulchenko.pdf</t>
  </si>
  <si>
    <t>W:\Livres\Informatique\Web, HTML, CSS, Javascript, PHP, Ajax\RESTful Web Services (2007) - [O'Reilly] - Leonard Richardson, Sam Ruby.epub</t>
  </si>
  <si>
    <t>W:\Livres\Informatique\Web, HTML, CSS, Javascript, PHP, Ajax\RESTful Web Services (2007) - [O'Reilly] - Leonard Richardson, Sam Ruby.pdf</t>
  </si>
  <si>
    <t>W:\Livres\Informatique\Web, HTML, CSS, Javascript, PHP, Ajax\Secrets of the JavaScript Ninja (2013) - [Manning] - John Resig, Bear Bibeault.pdf</t>
  </si>
  <si>
    <t>W:\Livres\Informatique\Web, HTML, CSS, Javascript, PHP, Ajax\Sencha Touch Mobile JavaScript Framework (2012) - [Packt] - John E. Clark, Bryan P. Johnson.pdf</t>
  </si>
  <si>
    <t>W:\Livres\Informatique\Web, HTML, CSS, Javascript, PHP, Ajax\Teach Yourself HTML, CSS and JavaScript All in One (2012) - [Sams] - Julie C. Meloni.pdf</t>
  </si>
  <si>
    <t>W:\Livres\Informatique\Web, HTML, CSS, Javascript, PHP, Ajax\The Apache Definitive Guide (2nd ed, 1999) - [O'Reilly] - Ben Laurie, Peter Laurie.pdf</t>
  </si>
  <si>
    <t>W:\Livres\Informatique\Web, HTML, CSS, Javascript, PHP, Ajax\The Essential Guide to HTML5 and CSS3 Web Design (2012) - [Apress] - Grannell, Sumner, Synodinos.pdf</t>
  </si>
  <si>
    <t>W:\Livres\Informatique\Web, HTML, CSS, Javascript, PHP, Ajax\Tomcat, The Definitive Guide (2nd ed, 2007) - [O'Reilly] - Jason Brittain, Ian F. Darwin.pdf</t>
  </si>
  <si>
    <t>W:\Livres\Informatique\Web, HTML, CSS, Javascript, PHP, Ajax\Tout sur HTML5 et CSS3 (2012) - [Dunod] - Jean-Marie Cocheteau, Laurent Khouri.pdf</t>
  </si>
  <si>
    <t>W:\Livres\Informatique\Web, HTML, CSS, Javascript, PHP, Ajax\Visual QuickStart Guide JavaScript (8th ed, 2012) - [Peachpit] - Tom Negrino, Dori Smith.pdf</t>
  </si>
  <si>
    <t>W:\Livres\Informatique\Web, HTML, CSS, Javascript, PHP, Ajax\Web Design Confidential (2012) - [Rockable Press] - Amanda Hackwith.pdf</t>
  </si>
  <si>
    <t>W:\Livres\Informatique\Web, HTML, CSS, Javascript, PHP, Ajax\Web Design in a Nutshell (1999) - [O'Reilly] - Jennifer Niederst.pdf</t>
  </si>
  <si>
    <t>W:\Livres\Informatique\Web, HTML, CSS, Javascript, PHP, Ajax\Web Services Essentials (2002) {Dump} - [O'Reilly] - Ethan Cerami.pdf</t>
  </si>
  <si>
    <t>W:\Livres\Informatique\Web, HTML, CSS, Javascript, PHP, Ajax\Web Standards (2nd ed, 2014) - [Apress] - Leslie F. Sikos.pdf</t>
  </si>
  <si>
    <t>W:\Livres\Informatique\Web, HTML, CSS, Javascript, PHP, Ajax\Writing Apache Modules with Perl and C (1999) {Dump} - [O'Reilly] - Lincoln Stein, Doug MacEachern.pdf</t>
  </si>
  <si>
    <t>W:\Livres\Informatique\Web, HTML, CSS, Javascript, PHP, Ajax\You don't know JS, ES6 and Beyond (2015) {Prerelease} - [O'Reilly] - Kyle Simpson.pdf</t>
  </si>
  <si>
    <t>W:\Livres\Informatique\Web, HTML, CSS, Javascript, PHP, Ajax\You don't know JS, Scope and Closures (2014) - [O'Reilly] - Kyle Simpson.pdf</t>
  </si>
  <si>
    <t>W:\Livres\Informatique\Web, HTML, CSS, Javascript, PHP, Ajax\You don't know JS, This &amp; Object Prototypes (2014) - [O'Reilly] - Kyle Simpson.pdf</t>
  </si>
  <si>
    <t>W:\Livres\Informatique\Web, HTML, CSS, Javascript, PHP, Ajax\You don't know JS, Types and Grammar (2015) - [O'Reilly] - Kyle Simpson.pdf</t>
  </si>
  <si>
    <t>W:\Livres\Informatique\Algorithmes, Programmation divers\Algorithm Theory, SWAT 2002 (2002) - [Springer] - M. Penttonen, E. Meineche Schmidt.pdf</t>
  </si>
  <si>
    <t>Extension</t>
  </si>
  <si>
    <t>W:\Livres\Informatique\Algorithmes, Programmation divers\Algorithmique, Techniques fondamentales de programmation, Exemples en Java (2007) {Dump} - [ENI] - Sébastien Rohaut.pdf</t>
  </si>
  <si>
    <t>W:\Livres\Informatique\Algorithmes, Programmation divers\Algorithmique, Techniques fondamentales de programmation, Exemples en PHP (2009) {Dump} - [ENI] - Sébastien Rohaut.pdf</t>
  </si>
  <si>
    <t>W:\Livres\Informatique\Algorithmes, Programmation divers\Algorithms for Interviews (2010) - [CreateSpace] - Adnan Aziz, Amit Prakash.pdf</t>
  </si>
  <si>
    <t>W:\Livres\Informatique\Algorithmes, Programmation divers\Algorithms for Linear-quadratic Optimization (1996) - [Marcel Dekker] - Vasile Sima.djvu</t>
  </si>
  <si>
    <t>W:\Livres\Informatique\Algorithmes, Programmation divers\Clean Code Cheat Sheet v2.1 (2013) - [Bbv Software Services] - Urs Enzler.pdf</t>
  </si>
  <si>
    <t>W:\Livres\Informatique\Algorithmes, Programmation divers\Colonies de fourmis (2008) - [Developpez.com] - Pierre Schwartz.pdf</t>
  </si>
  <si>
    <t>W:\Livres\Informatique\Algorithmes, Programmation divers\Introduction to Algorithms, Instructor's Manual (2nd ed, 2001) - [MIT Press] - Thomas H. Cormen, Clara Lee, Erica Lin.pdf</t>
  </si>
  <si>
    <t>W:\Livres\Informatique\Algorithmes, Programmation divers\S'initier à la programmation avec des exemples (2008) - [Eyrolles] - Claude Delannoy.pdf</t>
  </si>
  <si>
    <t>W:\Livres\Informatique\Microsoft Office\Excel VBA Programming for Dummies (3rd ed, 2013), Example Files.rar</t>
  </si>
  <si>
    <t>Micro Application</t>
  </si>
  <si>
    <t>Leanpub</t>
  </si>
  <si>
    <t>Lua.org</t>
  </si>
  <si>
    <t>Future</t>
  </si>
  <si>
    <t>Bbv Software Services</t>
  </si>
  <si>
    <t>Edigo</t>
  </si>
  <si>
    <t>Artech House</t>
  </si>
  <si>
    <t>Penguin</t>
  </si>
  <si>
    <t>CreateSpace</t>
  </si>
  <si>
    <t>Au Diable Vauvert</t>
  </si>
  <si>
    <t>Secure Planet</t>
  </si>
  <si>
    <t>The Long Climb</t>
  </si>
  <si>
    <t>Marcel Dekker</t>
  </si>
  <si>
    <t>Developpez.com</t>
  </si>
  <si>
    <t>Les Applications Android</t>
  </si>
  <si>
    <t>Now</t>
  </si>
  <si>
    <t>Kluwer Academic Publishers</t>
  </si>
  <si>
    <t>Rockable Press</t>
  </si>
  <si>
    <t>W:\Livres\Informatique\Microsoft Books 2016\Configuring SharePoint Hybrid Capabilities (2016) {Mobile format} - [Microsoft Press] - Jeremy Taylor, Neil Hodgkinson, Manas Biswas.pdf</t>
  </si>
  <si>
    <t>W:\Livres\Informatique\Microsoft Books 2016\Deployment guide for SharePoint 2013 (2014) - [Microsoft].epub</t>
  </si>
  <si>
    <t>W:\Livres\Informatique\Microsoft Office\Construire un tableau de bord pertinent sous Excel (3è ed, 2013) - [Eyrolles] - Bernard Lebelle.pdf</t>
  </si>
  <si>
    <t>W:\Livres\Informatique\Microsoft Office\Excel expert, Fonctions, TCD, simulations, visualisation, bases de données (2è ed, 2014) - [Eyrolles] - Nathalie Barbary.pdf</t>
  </si>
  <si>
    <t>W:\Livres\Informatique\Microsoft Office\J'apprends à me servir de Word 2013 {Document} - Joël Green.pdf</t>
  </si>
  <si>
    <t>W:\Livres\Informatique\Microsoft Office\Modes opératoires Microsoft Office 2013, Office 365 et 2013 (2013) - [Le génie des glaciers] - Claude Terrier.pdf</t>
  </si>
  <si>
    <t>W:\Livres\Informatique\Neural Networks, Machine Learning, IA\Artificial Intelligence for Humans, Vol 3, Deep learning and neural networks (2015) - [Heaton Research] - Jeff Heaton.pdf</t>
  </si>
  <si>
    <t>ARM</t>
  </si>
  <si>
    <t>Le génie des glaciers</t>
  </si>
  <si>
    <t>Heaton Research</t>
  </si>
  <si>
    <t>New York University</t>
  </si>
  <si>
    <t>1978</t>
  </si>
  <si>
    <t>W:\Livres\Informatique\Algorithmes, Programmation divers\Algorithm Design (2006) {Scan} - [Pearson] - John Kleinberg, Éva Tardos.pdf</t>
  </si>
  <si>
    <t>W:\Livres\Informatique\A Practical Guide to Video And Audio Compression (2005) - [Elsevier] - Cliff Wootton.pdf</t>
  </si>
  <si>
    <t>W:\Livres\Informatique\Algorithmes, Programmation divers\Advanced Data Structures (2008) - [Cambridge] - Peter Brass.pdf</t>
  </si>
  <si>
    <t>W:\Livres\Informatique\Algorithmes, Programmation divers\Algorithms, A Functional Programming Approach (2nd ed, 1999) - [Addison-Wesley] - Fethi Rabhi, Guy Lapalme.djvu</t>
  </si>
  <si>
    <t>W:\Livres\Informatique\Algorithmes, Programmation divers\An Introduction to the Theory of Computation (1989) {Webdump} - [Computer Science Press] - Eitan M. Gurari.pdf</t>
  </si>
  <si>
    <t>W:\Livres\Informatique\Algorithmes, Programmation divers\Analysis of Algorithms, An Active Learning Approach (2001) - [Jones and Bartlett] - Jeffrey J. McConnell.pdf</t>
  </si>
  <si>
    <t>W:\Livres\Informatique\Algorithmes, Programmation divers\Computing Handbook (3rd ed, 2014) - [CRC Press] - Tucker, Allen, Gonzalez, Teofilo, Diaz-Herrera, Jorge.pdf</t>
  </si>
  <si>
    <t>W:\Livres\Informatique\Algorithmes, Programmation divers\Data Abstraction and Problem Solving with C++, Walls and Mirrors (3rd ed, 2002) - [Addison-Wesley] - Frank M Carrano, Janet J Prichard.pdf</t>
  </si>
  <si>
    <t>W:\Livres\Informatique\Algorithmes, Programmation divers\Data Compression, The Complete Reference (3rd ed, 2004) - [Springer] - David Salomon.pdf</t>
  </si>
  <si>
    <t>W:\Livres\Informatique\Algorithmes, Programmation divers\Data Structures and Algorithms (2001) {Dump} - Alfred V. Aho, John E. Hopcroft, Jeffrey D. Ullman.pdf</t>
  </si>
  <si>
    <t>W:\Livres\Informatique\Algorithmes, Programmation divers\Data Structures and Program Design in C++ (2000) - [Prentice Hall] - Robert L. Kruse, Alexander J. Ryba.pdf</t>
  </si>
  <si>
    <t>W:\Livres\Informatique\Algorithmes, Programmation divers\Design Concepts in Programming Languages (2008) - [MIT Press] - Franklyn Turbak, David Gifford.pdf</t>
  </si>
  <si>
    <t>W:\Livres\Informatique\Algorithmes, Programmation divers\Encyclopedia of Algorithms (2008) - [Springer] - Ming-Yang Kao.pdf</t>
  </si>
  <si>
    <t>W:\Livres\Informatique\Algorithmes, Programmation divers\Essentials of Programming Languages (3rd ed, 2008) - [MIT Press] - Daniel P. Friedman, Mitchell Wand.pdf</t>
  </si>
  <si>
    <t>W:\Livres\Informatique\Algorithmes, Programmation divers\Event Processing in Action (2009) {Dump} - [Manning] - Opher Etzion, Peter Niblett.pdf</t>
  </si>
  <si>
    <t>W:\Livres\Informatique\Algorithmes, Programmation divers\Head First Object-Oriented Analysis and Design (2007) - [O'Reilly] - Brett D. McLaughlin, Gary Pollice, David West.pdf</t>
  </si>
  <si>
    <t>W:\Livres\Informatique\Algorithmes, Programmation divers\How to Think about Algorithms (2008) - [Cambridge] - Jeff Edmonds.pdf</t>
  </si>
  <si>
    <t>W:\Livres\Informatique\Algorithmes, Programmation divers\Informatique et sciences du numérique, Édition spéciale Python (2013) - [Eyrolles] - Gilles Dowek.pdf</t>
  </si>
  <si>
    <t>W:\Livres\Informatique\Algorithmes, Programmation divers\Informatique et sciences du numérique, Spécialité ISN en terminale S (2012) - [Eyrolles] - Gilles Dowek.pdf</t>
  </si>
  <si>
    <t>W:\Livres\Informatique\Algorithmes, Programmation divers\Introduction to Automata Theory, Languages and Computation (2nd ed, 2001) - [Addison-Wesley] - John E. Hopcroft, Rajeev Motwani, Jeffrey D. Ullman.pdf</t>
  </si>
  <si>
    <t>W:\Livres\Informatique\Algorithmes, Programmation divers\Introduction to Data Compression (3rd ed, 2006) - [Elsevier] - Khalid Sayood.pdf</t>
  </si>
  <si>
    <t>W:\Livres\Informatique\Algorithmes, Programmation divers\Langages formels, Calculabilité et complexité, Cours et exercices corrigés (2014) - [Vuibert] - Olivier Carton.pdf</t>
  </si>
  <si>
    <t>W:\Livres\Informatique\Algorithmes, Programmation divers\Les bases de l'informatique et de la programmation (2004) - [Berti] - Robert Michel di Scala.pdf</t>
  </si>
  <si>
    <t>W:\Livres\Informatique\Algorithmes, Programmation divers\Mastering Algorithms with Perl (1999) {Dump} - [O'Reilly] - Jon Orwant, Jarkko Hietaniemi, John Macdonald.pdf</t>
  </si>
  <si>
    <t>W:\Livres\Informatique\Algorithmes, Programmation divers\Object Oriented Software Composition (1995) - [Prentice Hall] - Oscar Nierstrasz, Dennis Tsichritzis.pdf</t>
  </si>
  <si>
    <t>W:\Livres\Informatique\Algorithmes, Programmation divers\Object-Oriented Construction Handbook (2005) - [Elsevier] - Heinz Züllighoven.pdf</t>
  </si>
  <si>
    <t>W:\Livres\Informatique\Algorithmes, Programmation divers\Problems on Algorithms (2nd ed, 2002) - Ian Parberry, William Gasarch.pdf</t>
  </si>
  <si>
    <t>W:\Livres\Informatique\Algorithmes, Programmation divers\Programming Challenges (2003) - [Springer] - Steven S. Skiena Miguel A. Revilla.pdf</t>
  </si>
  <si>
    <t>W:\Livres\Informatique\Algorithmes, Programmation divers\Reverse Engineering of Object Oriented Code (2005) - [Springer] - Paolo Tonella, Alessandra Potrich.pdf</t>
  </si>
  <si>
    <t>W:\Livres\Informatique\Algorithmes, Programmation divers\Reversing, Secrets of Reverse Engineering (2005) - [Wiley] - Eldad Eilam.pdf</t>
  </si>
  <si>
    <t>W:\Livres\Informatique\Algorithmes, Programmation divers\Secure Programming with Static Analysis (2007) - [Addison-Wesley] - Brian Chess, Jacob West.pdf</t>
  </si>
  <si>
    <t>W:\Livres\Informatique\Algorithmes, Programmation divers\Structure and Interpretation of Computer Programs (2nd ed, 1996) - [MIT Press] - Abelson, Sussman.pdf</t>
  </si>
  <si>
    <t>W:\Livres\Informatique\Algorithmes, Programmation divers\The Algorithm Design Manual (2nd ed, 2008) - [Springer] - Steven S Skiena.pdf</t>
  </si>
  <si>
    <t>W:\Livres\Informatique\Algorithmes, Programmation divers\The Object-Oriented Thought Process (3rd ed, 2008) - [Addison-Wesley] - Matt Weisfeld.pdf</t>
  </si>
  <si>
    <t>W:\Livres\Informatique\Algorithmes, Programmation divers\Thinking Recursively (1986) - [Wiley] - Eric S Roberts.djvu</t>
  </si>
  <si>
    <t>W:\Livres\Informatique\Algorithmes, Programmation divers\What Every Programmer Should Know About Memory (2007) - [Red Hat] - Ulrich Drepper.pdf</t>
  </si>
  <si>
    <t>W:\Livres\Informatique\Architecture logicielle, Design Patterns\97 Things Every Software Architect Should Know (2009) - [O'Reilly] - Richard Monson-Haefel.epub</t>
  </si>
  <si>
    <t>W:\Livres\Informatique\Architecture logicielle, Design Patterns\97 Things Every Software Architect Should Know (2009) - [O'Reilly] - Richard Monson-Haefel.pdf</t>
  </si>
  <si>
    <t>W:\Livres\Informatique\Architecture logicielle, Design Patterns\Architecture Logicielle (2006) - [Dunod] - Jacques Printz.pdf</t>
  </si>
  <si>
    <t>W:\Livres\Informatique\Architecture logicielle, Design Patterns\Design Pattern Card (2007) - Jason S. McDonald.pdf</t>
  </si>
  <si>
    <t>W:\Livres\Informatique\Architecture logicielle, Design Patterns\Design Patterns for Dummies (2006) - [Wiley] - Steve Holzner.pdf</t>
  </si>
  <si>
    <t>W:\Livres\Informatique\Architecture logicielle, Design Patterns\Design Patterns, Elements of Reusable Object-Oriented Software (1994) - [Pearson] - Erich Gamma, Richard Helm, Ralph Johnson, John Vlissides.epub</t>
  </si>
  <si>
    <t>W:\Livres\Informatique\Architecture logicielle, Design Patterns\Framework Design Guidelines (2nd ed, 2009) - [Addison-Wesley] - Krzysztof Cwalina, Brad Abrams.pdf</t>
  </si>
  <si>
    <t>W:\Livres\Informatique\Architecture logicielle, Design Patterns\Object Oriented Design and Patterns (2nd ed, 2006) - [Wiley] - Cay Horstmann.pdf</t>
  </si>
  <si>
    <t>W:\Livres\Informatique\Architecture logicielle, Design Patterns\Patterns of Enterprise Application Architecture (2002) - [Addison-Wesley] - Martin Fowler et al.pdf</t>
  </si>
  <si>
    <t>W:\Livres\Informatique\Architecture métérielle, Électronique\A Practical Introduction to Computer Architecture (2009) - [Springer] - Daniel Page.pdf</t>
  </si>
  <si>
    <t>W:\Livres\Informatique\Architecture métérielle, Électronique\Acquisition de données, Du capteur à l'ordinateur (3è ed, 2011) - [Dunod] - Georges Asch.pdf</t>
  </si>
  <si>
    <t>W:\Livres\Informatique\Architecture métérielle, Électronique\Assembler upgrader et dépanner son PC (2010) - [Pearson] - Michel Martin.pdf</t>
  </si>
  <si>
    <t>W:\Livres\Informatique\Architecture métérielle, Électronique\Computer Architecture, A Quantitative Approach (4th ed, 2007) - [Elsevier] - John L. Hennessy, David A. Patterson.pdf</t>
  </si>
  <si>
    <t>W:\Livres\Informatique\Architecture métérielle, Électronique\Computer Architecture, A Quantitative Approach (4th ed, 2007), Companion CD Appendices.rar</t>
  </si>
  <si>
    <t>W:\Livres\Informatique\Architecture métérielle, Électronique\Computer Organization and Design, The Hardware Software Interface (3rd ed, 2005) - [Elsevier] - David a Patterson, John L Henne.pdf</t>
  </si>
  <si>
    <t>W:\Livres\Informatique\Architecture métérielle, Électronique\Computer Organization and Design, The Hardware Software Interface (3rd ed, 2005), Solutions.pdf</t>
  </si>
  <si>
    <t>W:\Livres\Informatique\Architecture métérielle, Électronique\Computer Organization and Design, The Hardware Software Interface (4th ed, 2009) {Scan} - [Elsevier] - David a Patterson, John L Henne.pdf</t>
  </si>
  <si>
    <t>W:\Livres\Informatique\Architecture métérielle, Électronique\Computer Organization and Design, The Hardware Software Interface (4th ed, 2009), CD.rar</t>
  </si>
  <si>
    <t>W:\Livres\Informatique\Architecture métérielle, Électronique\Learn Hardware, Firmware and Software Design (2005) - [Corollary Theorems] - OG Popa.pdf</t>
  </si>
  <si>
    <t>W:\Livres\Informatique\Architecture métérielle, Électronique\Learn Hardware, Firmware and Software Design (2005), Source Code.rar</t>
  </si>
  <si>
    <t>W:\Livres\Informatique\Architecture métérielle, Électronique\Memory Systems, Cache, DRAM, Disk (2008) - [Elsevier] - Bruce Jacob, Spencer W. Ng, David T. Wang.pdf</t>
  </si>
  <si>
    <t>W:\Livres\Informatique\Architecture métérielle, Électronique\Mini manuel d'architecture de l'ordinateur (2012) - [Dunod] - Jacques Zorda, Abdelaziz M'zoughi.pdf</t>
  </si>
  <si>
    <t>W:\Livres\Informatique\Architecture métérielle, Électronique\See MIPS Run Linux (2nd ed, 2007) - [Elsevier] - Dominic Sweetman.pdf</t>
  </si>
  <si>
    <t>W:\Livres\Informatique\Architecture métérielle, Électronique\The Computer Engineering Handbook (2002) - [CRC Press] - Vojin Oklobdzija.pdf</t>
  </si>
  <si>
    <t>W:\Livres\Informatique\Architecture métérielle, Électronique\USB Complete, The Developer's Guide (4th ed, 2009) - [Lakeview Research] - Jan Axelson.pdf</t>
  </si>
  <si>
    <t>W:\Livres\Informatique\Arduino, Raspberry Pi\Arduino\À l'aventure avec Arduino (2015) - [Eyrolles] - Becky Stewart.pdf</t>
  </si>
  <si>
    <t>W:\Livres\Informatique\Arduino, Raspberry Pi\Arduino\À l'aventure avec Arduino, Code.rar</t>
  </si>
  <si>
    <t>W:\Livres\Informatique\Arduino, Raspberry Pi\Arduino\Arduino (2011) - Floss Manuals.epub</t>
  </si>
  <si>
    <t>W:\Livres\Informatique\Arduino, Raspberry Pi\Arduino\Arduino (2011) - Floss Manuals.pdf</t>
  </si>
  <si>
    <t>W:\Livres\Informatique\Arduino, Raspberry Pi\Arduino\Arduino Adventures (2013) - [Apress] - James Floyd Kelly, Harold Timmis.pdf</t>
  </si>
  <si>
    <t>W:\Livres\Informatique\Arduino, Raspberry Pi\Arduino\Arduino and Kinect Projects (2012) - [Apress] - Enrique Ramos Melgar, Ciriaco Castro Díez, Przemek Jaworski.pdf</t>
  </si>
  <si>
    <t>W:\Livres\Informatique\Arduino, Raspberry Pi\Arduino\Arduino and Lego Projects (2013) - [Apress] - Jon Lazar.pdf</t>
  </si>
  <si>
    <t>W:\Livres\Informatique\Arduino, Raspberry Pi\Arduino\Arduino Android Blueprints (2014) - [Packt] - Marco Schwartz, Stefan Buttigieg.pdf</t>
  </si>
  <si>
    <t>W:\Livres\Informatique\Arduino, Raspberry Pi\Arduino\Arduino Bots and Gadgets (2011) - [O'Reilly] - Kimmo Karvinen, Tero Karvinen.pdf</t>
  </si>
  <si>
    <t>W:\Livres\Informatique\Arduino, Raspberry Pi\Arduino\Arduino Cookbook (1st ed, 2011) - [O'Reilly] - Michael Margolis.pdf</t>
  </si>
  <si>
    <t>W:\Livres\Informatique\Arduino, Raspberry Pi\Arduino\Arduino Cookbook (2nd ed, 2012) - [O'Reilly] - Michael Margolis.pdf</t>
  </si>
  <si>
    <t>W:\Livres\Informatique\Arduino, Raspberry Pi\Arduino\Arduino Development Cookbook (2015) - [Packt] - Cornel Amariei.pdf</t>
  </si>
  <si>
    <t>W:\Livres\Informatique\Arduino, Raspberry Pi\Arduino\Arduino Electronics Blueprints (2015) - [Packt] - Don Wilcher.pdf</t>
  </si>
  <si>
    <t>W:\Livres\Informatique\Arduino, Raspberry Pi\Arduino\Arduino for Secret Agents (2015) - [Packt] - Marco Schwartz.pdf</t>
  </si>
  <si>
    <t>W:\Livres\Informatique\Arduino, Raspberry Pi\Arduino\Arduino in Action (2013) - [Manning] - Martin Evans, Joshua Noble, Jordan Hochenbaum.pdf</t>
  </si>
  <si>
    <t>W:\Livres\Informatique\Arduino, Raspberry Pi\Arduino\Arduino Maîtrisez sa programmation et ses cartes d'interface (2è ed, 2014) - [Dunod] - Christian Tavernier.pdf</t>
  </si>
  <si>
    <t>W:\Livres\Informatique\Arduino, Raspberry Pi\Arduino\Arduino Music and Audio Projects (2015) - [Apress] - Mike Cook.pdf</t>
  </si>
  <si>
    <t>W:\Livres\Informatique\Arduino, Raspberry Pi\Arduino\Arduino Premiers pas en informatique embarquée (2014) - Simon Landrault, Hippolyte Weisslinger.epub</t>
  </si>
  <si>
    <t>W:\Livres\Informatique\Arduino, Raspberry Pi\Arduino\Arduino Premiers pas en informatique embarquée (2014) - Simon Landrault, Hippolyte Weisslinger.pdf</t>
  </si>
  <si>
    <t>W:\Livres\Informatique\Arduino, Raspberry Pi\Arduino\Arduino Projects to Save the World (2011) - [Apress] - Emery Premeaux, Brian Evans.pdf</t>
  </si>
  <si>
    <t>W:\Livres\Informatique\Arduino, Raspberry Pi\Arduino\Arduino Robotics (2011) - [Apress] - Warren, Adams, Holle.pdf</t>
  </si>
  <si>
    <t>W:\Livres\Informatique\Arduino, Raspberry Pi\Arduino\Arduino Sketches (2015) - [Wiley] - James A. Langbridge.pdf</t>
  </si>
  <si>
    <t>W:\Livres\Informatique\Arduino, Raspberry Pi\Arduino\Arduino Starter Kit Projects Book (1st ed, 2012).pdf</t>
  </si>
  <si>
    <t>W:\Livres\Informatique\Arduino, Raspberry Pi\Arduino\Arduino User Guide for Operating System (2nd ed, 2015) - [SS Publishing] - Robert Scott.epub</t>
  </si>
  <si>
    <t>W:\Livres\Informatique\Arduino, Raspberry Pi\Arduino\Arduino User Guide for Operating System (2nd ed, 2015) - [SS Publishing] - Robert Scott.pdf</t>
  </si>
  <si>
    <t>W:\Livres\Informatique\Arduino, Raspberry Pi\Arduino\Arduino Wearables (2012) - [Apress] - Tony Olsson.pdf</t>
  </si>
  <si>
    <t>W:\Livres\Informatique\Arduino, Raspberry Pi\Arduino\Arduino Workshop (2013) - [No Starch] - John Boxall.pdf</t>
  </si>
  <si>
    <t>W:\Livres\Informatique\Arduino, Raspberry Pi\Arduino\Arduino, A Quick-Start Guide (1st ed, 2011) - [The Pragmatic Programmers] - Maik Schmidf.pdf</t>
  </si>
  <si>
    <t>W:\Livres\Informatique\Arduino, Raspberry Pi\Arduino\Arduino, A Quick-Start Guide (2nd ed, 2015) - [The Pragmatic Programmers] - Maik Schmidf.pdf</t>
  </si>
  <si>
    <t>W:\Livres\Informatique\Arduino, Raspberry Pi\Arduino\Arduino, A Technical Reference (2016) - [O'Reilly] - J. M. Hughes.epub</t>
  </si>
  <si>
    <t>W:\Livres\Informatique\Arduino, Raspberry Pi\Arduino\Arduino, A Technical Reference (2016) - [O'Reilly] - J. M. Hughes.pdf</t>
  </si>
  <si>
    <t>W:\Livres\Informatique\Arduino, Raspberry Pi\Arduino\Atelier Arduino (2006) - Jean-Noël Montagné.pdf</t>
  </si>
  <si>
    <t>W:\Livres\Informatique\Arduino, Raspberry Pi\Arduino\Atmospheric Monitoring with Arduino (2012) - [O'Reilly] - Patrick Di Justo, Emily Gertz.pdf</t>
  </si>
  <si>
    <t>W:\Livres\Informatique\Arduino, Raspberry Pi\Arduino\Beginning Arduino (2nd ed, 2013) - [Apress] - Michal McRoberts.pdf</t>
  </si>
  <si>
    <t>W:\Livres\Informatique\Arduino, Raspberry Pi\Arduino\Beginning C for Arduino (1st ed, 2012) - [Apress] - Jack Purdum.pdf</t>
  </si>
  <si>
    <t>W:\Livres\Informatique\Arduino, Raspberry Pi\Arduino\Beginning C for Arduino (2nd ed, 2015) - [Apress] - Jack Purdum.pdf</t>
  </si>
  <si>
    <t>W:\Livres\Informatique\Arduino, Raspberry Pi\Arduino\Building Arduino Projects for the Internet of Things (2016) - [Apress] - Adeel Javed.pdf</t>
  </si>
  <si>
    <t>W:\Livres\Informatique\Arduino, Raspberry Pi\Arduino\C Programming for Arduino (2013) - [Packt] - Julien Bayle.pdf</t>
  </si>
  <si>
    <t>W:\Livres\Informatique\Arduino, Raspberry Pi\Arduino\Getting Started with Arduino (2nd ed, 2011) - [Maker Media] - Massimo Banzi.pdf</t>
  </si>
  <si>
    <t>W:\Livres\Informatique\Arduino, Raspberry Pi\Arduino\Getting Started with Arduino (3rd ed, 2014) - [Maker Media] - Massimo Banzi, Michael Shiloh.pdf</t>
  </si>
  <si>
    <t>W:\Livres\Informatique\Arduino, Raspberry Pi\Arduino\Getting Started with RFID (2012) - [O'Reilly] - Tom Igoe.pdf</t>
  </si>
  <si>
    <t>W:\Livres\Informatique\Arduino, Raspberry Pi\Arduino\Internet of Things with the Arduino Yún (2014) - [Packt] - Marco Schwartz.pdf</t>
  </si>
  <si>
    <t>W:\Livres\Informatique\Arduino, Raspberry Pi\Arduino\iOS Sensor Apps with Arduino (2011) - [O'Reilly] - Alasdair Allan.pdf</t>
  </si>
  <si>
    <t>W:\Livres\Informatique\Arduino, Raspberry Pi\Arduino\Le grand livre d'Arduino (2è ed, 2015) - [Eyrolles] - Erik Bartmann.pdf</t>
  </si>
  <si>
    <t>W:\Livres\Informatique\Arduino, Raspberry Pi\Arduino\Le grand livre d'Arduino (2è ed, 2015), Fichiers de travail.zip</t>
  </si>
  <si>
    <t>W:\Livres\Informatique\Arduino, Raspberry Pi\Arduino\Learn Electronics with Arduino (2012) - [Apress] - Don Wilcher.pdf</t>
  </si>
  <si>
    <t>W:\Livres\Informatique\Arduino, Raspberry Pi\Arduino\Make a Mind-Controlled Arduino Robot (2012) - [O'Reilly] - Tero Karvinen, Kimmo Karvinen.pdf</t>
  </si>
  <si>
    <t>W:\Livres\Informatique\Arduino, Raspberry Pi\Arduino\Practical Arduino Engineering (2011) - [Apress] - Harold Timmis.pdf</t>
  </si>
  <si>
    <t>W:\Livres\Informatique\Arduino, Raspberry Pi\Arduino\Practical Arduino, Cool Projects for Open Source Hardware (2009) - [Apress] - Jonathan Oxer, Hugh Blemings.pdf</t>
  </si>
  <si>
    <t>W:\Livres\Informatique\Arduino, Raspberry Pi\Arduino\Practical AVR Microcontrollers (2012) - [Apress] - Alan Trevennor.pdf</t>
  </si>
  <si>
    <t>W:\Livres\Informatique\Arduino, Raspberry Pi\Arduino\Professional Android Open Accessory Programming with Arduino (2013) - [Wiley] - Andreas Göransson, David Cuartielles Ruiz.pdf</t>
  </si>
  <si>
    <t>W:\Livres\Informatique\Arduino, Raspberry Pi\Arduino\Programming Arduino with LabVIEW (2015) - [Packt] - Marco Schwartz, Oliver Manickum.pdf</t>
  </si>
  <si>
    <t>W:\Livres\Informatique\Arduino, Raspberry Pi\Arduino\Programming Your Home, Automate with Arduino, Android, and Your Computer (2012) - [The Pragmatic Programmers] - Mike Riley.pdf</t>
  </si>
  <si>
    <t>W:\Livres\Informatique\Arduino, Raspberry Pi\Arduino\Python Programming for Arduino (2015) - [Packt] - Pratik Desai.pdf</t>
  </si>
  <si>
    <t>W:\Livres\Informatique\Arduino, Raspberry Pi\Getting Started with Sensors (2014) - [Maker Media] - Kimmo Karvinen, Tero Karvinen.pdf</t>
  </si>
  <si>
    <t>W:\Livres\Informatique\Arduino, Raspberry Pi\Les capteurs pour Arduino et Raspberry Pi (2014) - [Dunod] - Karvinen, Valtokari.pdf</t>
  </si>
  <si>
    <t>W:\Livres\Informatique\Arduino, Raspberry Pi\Make Sensors (2014) - [Maker Media] - Tero Karvinen, Kimmo Karvinen, Ville Valtokari.epub</t>
  </si>
  <si>
    <t>W:\Livres\Informatique\Arduino, Raspberry Pi\Mouvement, lumière et son avec Arduino et Raspberry Pi (2016) - [Eyrolles] - Simon Monk.pdf</t>
  </si>
  <si>
    <t>W:\Livres\Informatique\Arduino, Raspberry Pi\Raspberry Pi Home Automation with Arduino (1st ed, 2013) - [Packt] - Andrew K. Dennis.pdf</t>
  </si>
  <si>
    <t>W:\Livres\Informatique\Arduino, Raspberry Pi\Raspberry Pi Home Automation with Arduino (2nd ed, 2015) - [Packt] - Andrew K. Dennis.pdf</t>
  </si>
  <si>
    <t>W:\Livres\Informatique\Arduino, Raspberry Pi\Raspberry Pi\À la découverte du Raspberry Pi (2014) - [Eyrolles] - Matt Richardson, Shawn Wallace.pdf</t>
  </si>
  <si>
    <t>W:\Livres\Informatique\Arduino, Raspberry Pi\Raspberry Pi\Adventures in Raspberry Pi (2014) - [Wiley] - Carrie Anne Philbin.pdf</t>
  </si>
  <si>
    <t>W:\Livres\Informatique\Arduino, Raspberry Pi\Raspberry Pi\Beginning Raspberry Pi 2 (2015) - [Suntime Publishing] - Charles Daniels.pdf</t>
  </si>
  <si>
    <t>W:\Livres\Informatique\Arduino, Raspberry Pi\Raspberry Pi\Beginning Sensor Networks with Arduino and Raspberry Pi (2013) - [Apress] - Charles Bell.epub</t>
  </si>
  <si>
    <t>W:\Livres\Informatique\Arduino, Raspberry Pi\Raspberry Pi\Building a Home Security System with Raspberry Pi (2015) - [Packt] - Matthew Poole.pdf</t>
  </si>
  <si>
    <t>W:\Livres\Informatique\Arduino, Raspberry Pi\Raspberry Pi\Experimenting with Raspberry Pi (2014) - [Apress] - Warren Gay.pdf</t>
  </si>
  <si>
    <t>W:\Livres\Informatique\Arduino, Raspberry Pi\Raspberry Pi\Exploring Raspberry Pi Interfacing to the Real World (2016) - [Wiley] - Derek Molloy.epub</t>
  </si>
  <si>
    <t>W:\Livres\Informatique\Arduino, Raspberry Pi\Raspberry Pi\Exploring Raspberry Pi Interfacing to the Real World (2016) - [Wiley] - Derek Molloy.pdf</t>
  </si>
  <si>
    <t>W:\Livres\Informatique\Arduino, Raspberry Pi\Raspberry Pi\Exploring the Raspberry Pi 2 with C++ (2015) - [Apress] - Warren Gay.pdf</t>
  </si>
  <si>
    <t>W:\Livres\Informatique\Arduino, Raspberry Pi\Raspberry Pi\Getting Started with Raspberry Pi (2nd ed, 2015) - [Maker Media] - Matt Richardson, Shawn Wallace.epub</t>
  </si>
  <si>
    <t>W:\Livres\Informatique\Arduino, Raspberry Pi\Raspberry Pi\Getting Started with Raspberry Pi (2013) - [O'Reilly] - Matt Richardson, Shawn Wallace.pdf</t>
  </si>
  <si>
    <t>W:\Livres\Informatique\Arduino, Raspberry Pi\Raspberry Pi\Getting Started with Raspberry Pi 3 (2016) - Agus Kurniawan.epub</t>
  </si>
  <si>
    <t>W:\Livres\Informatique\Arduino, Raspberry Pi\Raspberry Pi\Getting Started with Raspberry Pi 3 (2016) - Agus Kurniawan.pdf</t>
  </si>
  <si>
    <t>W:\Livres\Informatique\Arduino, Raspberry Pi\Raspberry Pi\Getting Started with Raspberry Pi Zero (2016) - [Packt] - Richard Grimmett.epub</t>
  </si>
  <si>
    <t>W:\Livres\Informatique\Arduino, Raspberry Pi\Raspberry Pi\Getting Started with Raspberry Pi Zero (2016) - [Packt] - Richard Grimmett.pdf</t>
  </si>
  <si>
    <t>W:\Livres\Informatique\Arduino, Raspberry Pi\Raspberry Pi\Getting Started with the Raspberry Pi (2013) - Kevin Johnson.epub</t>
  </si>
  <si>
    <t>W:\Livres\Informatique\Arduino, Raspberry Pi\Raspberry Pi\Hello Raspberry Pi! Python programming for kids and other beginners (2016) - [Manning] - Ryan Heitz.epub</t>
  </si>
  <si>
    <t>W:\Livres\Informatique\Arduino, Raspberry Pi\Raspberry Pi\Hello Raspberry Pi! Python programming for kids and other beginners (2016) - [Manning] - Ryan Heitz.pdf</t>
  </si>
  <si>
    <t>W:\Livres\Informatique\Arduino, Raspberry Pi\Raspberry Pi\How to Mount an External Hard Drive on the Raspberry Pi {Document}.pdf</t>
  </si>
  <si>
    <t>W:\Livres\Informatique\Arduino, Raspberry Pi\Raspberry Pi\Learn Raspberry Pi 2 with Linux and Windows 10 (2nd ed, 2015) - [Apress] - Peter Membrey, David Hows.pdf</t>
  </si>
  <si>
    <t>W:\Livres\Informatique\Arduino, Raspberry Pi\Raspberry Pi\Learn Raspberry Pi Programming with Python (2014) - [Apress] - Wolfram Donat.pdf</t>
  </si>
  <si>
    <t>W:\Livres\Informatique\Arduino, Raspberry Pi\Raspberry Pi\Learn Raspberry Pi with Linux (2013) - [Apress] - Peter Membrey, David Hows.pdf</t>
  </si>
  <si>
    <t>W:\Livres\Informatique\Arduino, Raspberry Pi\Raspberry Pi\Learning Internet of Things (2015) - [Packt] - Peter Waher.pdf</t>
  </si>
  <si>
    <t>W:\Livres\Informatique\Arduino, Raspberry Pi\Raspberry Pi\Learning Python with Raspberry Pi (2014) - [Wiley] - Alex Bradbury, Ben Everard.pdf</t>
  </si>
  <si>
    <t>W:\Livres\Informatique\Arduino, Raspberry Pi\Raspberry Pi\Mastering the Raspberry Pi (2014) - [Apress] - Warren Gay.pdf</t>
  </si>
  <si>
    <t>W:\Livres\Informatique\Arduino, Raspberry Pi\Raspberry Pi\Movement, Light, and Sound with Arduino and Raspberry Pi (2016) - [Maker Media] - Simon Monk.pdf</t>
  </si>
  <si>
    <t>W:\Livres\Informatique\Arduino, Raspberry Pi\Raspberry Pi\Penetration Testing with Raspberry Pi (2015) - [Packt] - Aamir Lakhani, Joseph Muniz.pdf</t>
  </si>
  <si>
    <t>W:\Livres\Informatique\Arduino, Raspberry Pi\Raspberry Pi\Practical Raspberry Pi (2013) - [Apress] - Brendan Horan.pdf</t>
  </si>
  <si>
    <t>W:\Livres\Informatique\Arduino, Raspberry Pi\Raspberry Pi\Programmez un Raspberry Pi avec Python (2014) - [Dunod] - Simon Monk.pdf</t>
  </si>
  <si>
    <t>W:\Livres\Informatique\Arduino, Raspberry Pi\Raspberry Pi\Programming the Raspberry Pi, Getting Started with Python (1st ed, 2013) - [McGraw-Hill] - Simon Monk.epub</t>
  </si>
  <si>
    <t>W:\Livres\Informatique\Arduino, Raspberry Pi\Raspberry Pi\Programming the Raspberry Pi, Getting Started with Python (1st ed, 2013), Source Codes.rar</t>
  </si>
  <si>
    <t>W:\Livres\Informatique\Arduino, Raspberry Pi\Raspberry Pi\Programming the Raspberry Pi, Getting Started with Python (2nd ed, 2016) - [McGraw-Hill] - Simon Monk.pdf</t>
  </si>
  <si>
    <t>W:\Livres\Informatique\Arduino, Raspberry Pi\Raspberry Pi\Raspberry Pi Android Projects (2015) - [Packt] - Gokhan Kurt.epub</t>
  </si>
  <si>
    <t>W:\Livres\Informatique\Arduino, Raspberry Pi\Raspberry Pi\Raspberry Pi Blueprints (2015) - [Packt] - Dan Nixon.pdf</t>
  </si>
  <si>
    <t>W:\Livres\Informatique\Arduino, Raspberry Pi\Raspberry Pi\Raspberry Pi Computer Architecture Essentials (2016) - [Packt] - Andrew K. Dennis.epub</t>
  </si>
  <si>
    <t>W:\Livres\Informatique\Arduino, Raspberry Pi\Raspberry Pi\Raspberry Pi Computer Architecture Essentials (2016) - [Packt] - Andrew K. Dennis.pdf</t>
  </si>
  <si>
    <t>W:\Livres\Informatique\Arduino, Raspberry Pi\Raspberry Pi\Raspberry Pi Computer Vision Programming (2015) - [Packt] - Ashwin Pajankar.pdf</t>
  </si>
  <si>
    <t>W:\Livres\Informatique\Arduino, Raspberry Pi\Raspberry Pi\Raspberry Pi Cookbook (2nd ed, 2016) - [O'Reilly] - Simon Monk.epub</t>
  </si>
  <si>
    <t>W:\Livres\Informatique\Arduino, Raspberry Pi\Raspberry Pi\Raspberry Pi Cookbook (2nd ed, 2016) - [O'Reilly] - Simon Monk.pdf</t>
  </si>
  <si>
    <t>W:\Livres\Informatique\Arduino, Raspberry Pi\Raspberry Pi\Raspberry Pi Cookbook (2014) - [O'Reilly] - Simon Monk.pdf</t>
  </si>
  <si>
    <t>W:\Livres\Informatique\Arduino, Raspberry Pi\Raspberry Pi\Raspberry Pi Cookbook for Python Programmers (2014) - [Packt] - Tim Cox.pdf</t>
  </si>
  <si>
    <t>W:\Livres\Informatique\Arduino, Raspberry Pi\Raspberry Pi\Raspberry Pi Embedded Projects (2015) - [Packt] - Sai Yamanoor, Srihari Yamanoor.pdf</t>
  </si>
  <si>
    <t>W:\Livres\Informatique\Arduino, Raspberry Pi\Raspberry Pi\Raspberry Pi for Dummies (1st ed, 2013) - [Wiley] - Sean McManus, Mike Cook.pdf</t>
  </si>
  <si>
    <t>W:\Livres\Informatique\Arduino, Raspberry Pi\Raspberry Pi\Raspberry Pi for Dummies (2nd ed, 2014) - [Wiley] - Sean McManus, Mike Cook.epub</t>
  </si>
  <si>
    <t>W:\Livres\Informatique\Arduino, Raspberry Pi\Raspberry Pi\Raspberry Pi for Kids for Dummies (2015) - [Wiley] - Richard Wentk.epub</t>
  </si>
  <si>
    <t>W:\Livres\Informatique\Arduino, Raspberry Pi\Raspberry Pi\Raspberry Pi for Kids for Dummies (2015) - [Wiley] - Richard Wentk.pdf</t>
  </si>
  <si>
    <t>W:\Livres\Informatique\Arduino, Raspberry Pi\Raspberry Pi\Raspberry Pi for Secret Agents (2013) - [Packt] - Stefan Sjogelid.pdf</t>
  </si>
  <si>
    <t>W:\Livres\Informatique\Arduino, Raspberry Pi\Raspberry Pi\Raspberry Pi Gaming (2nd ed, 2015) - [Packt] - Shea Silverman.pdf</t>
  </si>
  <si>
    <t>W:\Livres\Informatique\Arduino, Raspberry Pi\Raspberry Pi\Raspberry Pi Hacks (2014) - [O'Reilly] - Ruth Suehle, Tom Callaway.epub</t>
  </si>
  <si>
    <t>W:\Livres\Informatique\Arduino, Raspberry Pi\Raspberry Pi\Raspberry Pi Hacks (2014) - [O'Reilly] - Ruth Suehle, Tom Callaway.pdf</t>
  </si>
  <si>
    <t>W:\Livres\Informatique\Arduino, Raspberry Pi\Raspberry Pi\Raspberry Pi Hardware Projects Vol. 1 - [Wiley] - Andrew Robinson, Mike Cook.pdf</t>
  </si>
  <si>
    <t>W:\Livres\Informatique\Arduino, Raspberry Pi\Raspberry Pi\Raspberry Pi Hardware Reference (2014) - [Apress] - Warren Gay.pdf</t>
  </si>
  <si>
    <t>W:\Livres\Informatique\Arduino, Raspberry Pi\Raspberry Pi\Raspberry Pi LED Blueprints (2015) - [Packt] - Agus Kurniawan.pdf</t>
  </si>
  <si>
    <t>W:\Livres\Informatique\Arduino, Raspberry Pi\Raspberry Pi\Raspberry Pi Mechatronics Projects (2015) - [Packt] - Sai+Srihari Yamanoor.pdf</t>
  </si>
  <si>
    <t>W:\Livres\Informatique\Arduino, Raspberry Pi\Raspberry Pi\Raspberry Pi Networking Cookbook (1st ed, 2013) - [Packt] - Rick Golden.pdf</t>
  </si>
  <si>
    <t>W:\Livres\Informatique\Arduino, Raspberry Pi\Raspberry Pi\Raspberry Pi Networking Cookbook (2nd ed, 2015) - [Packt] - Rick Golden.pdf</t>
  </si>
  <si>
    <t>W:\Livres\Informatique\Arduino, Raspberry Pi\Raspberry Pi\Raspberry Pi Projects for Kids (1st ed, 2014) - [Packt] - Daniel Bates.pdf</t>
  </si>
  <si>
    <t>W:\Livres\Informatique\Arduino, Raspberry Pi\Raspberry Pi\Raspberry Pi Projects for Kids (2nd ed, 2015) - [Packt] - Daniel Bates.pdf</t>
  </si>
  <si>
    <t>W:\Livres\Informatique\Arduino, Raspberry Pi\Raspberry Pi\Raspberry Pi Robotic Blueprints (2015) - [Packt] - Richard Grimmett.pdf</t>
  </si>
  <si>
    <t>W:\Livres\Informatique\Arduino, Raspberry Pi\Raspberry Pi\Raspberry Pi Robotics Essentials (2015) - [Packt] - Richard Grimmett.pdf</t>
  </si>
  <si>
    <t>W:\Livres\Informatique\Arduino, Raspberry Pi\Raspberry Pi\Raspberry Pi Robotics Projects (2nd ed, 2015) - [Packt] - Richard Grimmett.epub</t>
  </si>
  <si>
    <t>W:\Livres\Informatique\Arduino, Raspberry Pi\Raspberry Pi\Raspberry Pi Robotics Projects (2014) - [Packt] - Richard Grimmett.pdf</t>
  </si>
  <si>
    <t>W:\Livres\Informatique\Arduino, Raspberry Pi\Raspberry Pi\Raspberry Pi Server Essentials (2014) - [Packt] - Piotr J. Kula.epub</t>
  </si>
  <si>
    <t>W:\Livres\Informatique\Arduino, Raspberry Pi\Raspberry Pi\Raspberry Pi Server Essentials (2014) - [Packt] - Piotr J. Kula.pdf</t>
  </si>
  <si>
    <t>W:\Livres\Informatique\Arduino, Raspberry Pi\Raspberry Pi\Raspberry Pi System Software Reference (2014) - [Apress] - Warren Gay.pdf</t>
  </si>
  <si>
    <t>W:\Livres\Informatique\Arduino, Raspberry Pi\Raspberry Pi\Raspberry Pi User Guide (2nd ed, 2014) - [Wiley] - Eben Upton, Gareth Halfacree.pdf</t>
  </si>
  <si>
    <t>W:\Livres\Informatique\Arduino, Raspberry Pi\Raspberry Pi\Raspberry Pi User Guide (2014) - Vilros.pdf</t>
  </si>
  <si>
    <t>W:\Livres\Informatique\Arduino, Raspberry Pi\Raspberry Pi\Raspberry Pi, A Quick-Start Guide (1st ed, 2012) - [The Pragmatic Programmers] - Maik Schmidt.epub</t>
  </si>
  <si>
    <t>W:\Livres\Informatique\Arduino, Raspberry Pi\Raspberry Pi\Raspberry Pi, A Quick-Start Guide (1st ed, 2012) - [The Pragmatic Programmers] - Maik Schmidt.pdf</t>
  </si>
  <si>
    <t>W:\Livres\Informatique\Arduino, Raspberry Pi\Raspberry Pi\Raspberry Pi, A Quick-Start Guide (2nd ed, 2014) - [The Pragmatic Programmers] - Maik Schmidt.epub</t>
  </si>
  <si>
    <t>W:\Livres\Informatique\Arduino, Raspberry Pi\Raspberry Pi\Raspberry Pi, A Quick-Start Guide (2nd ed, 2014) - [The Pragmatic Programmers] - Maik Schmidt.pdf</t>
  </si>
  <si>
    <t>W:\Livres\Informatique\Arduino, Raspberry Pi\Raspberry Pi\Raspberry Pi, Prise en main et premières réalisations (2013) - [Dunod] - Christian Tavernier.pdf</t>
  </si>
  <si>
    <t>W:\Livres\Informatique\Arduino, Raspberry Pi\Raspberry Pi\Raspberry Pi, The Ultimate Beginner's Guide - Kevin Gray.epub</t>
  </si>
  <si>
    <t>W:\Livres\Informatique\Arduino, Raspberry Pi\Raspberry Pi\Raspberry Pi, The Ultimate Beginner's Guide - Kevin Gray.pdf</t>
  </si>
  <si>
    <t>W:\Livres\Informatique\Arduino, Raspberry Pi\Raspberry Pi\Raspberry Pi, The Ultimate User Guide - Patrick Hunter.epub</t>
  </si>
  <si>
    <t>W:\Livres\Informatique\Arduino, Raspberry Pi\Raspberry Pi\Raspberry Pi, The Ultimate User Guide - Patrick Hunter.pdf</t>
  </si>
  <si>
    <t>W:\Livres\Informatique\Arduino, Raspberry Pi\Raspberry Pi\Revues divers\Guru Guide - Raspberry Pi Projects 2015.pdf</t>
  </si>
  <si>
    <t>W:\Livres\Informatique\Arduino, Raspberry Pi\Raspberry Pi\Revues divers\Linux Journal - 2013-05 - Raspberry Pi.pdf</t>
  </si>
  <si>
    <t>W:\Livres\Informatique\Arduino, Raspberry Pi\Raspberry Pi\Revues divers\Linux Magazine HS 75 - Raspberry Pi.pdf</t>
  </si>
  <si>
    <t>W:\Livres\Informatique\Arduino, Raspberry Pi\Raspberry Pi\Revues divers\Linux User &amp; Developer - Practical Raspberry Pi Projects.pdf</t>
  </si>
  <si>
    <t>W:\Livres\Informatique\Arduino, Raspberry Pi\Raspberry Pi\Revues divers\Linux User &amp; Developer - Raspberry Pi 2.pdf</t>
  </si>
  <si>
    <t>W:\Livres\Informatique\Arduino, Raspberry Pi\Raspberry Pi\Revues divers\Linux User &amp; Developer - Raspberry Pi for Beginners (2nd ed, 2014).pdf</t>
  </si>
  <si>
    <t>W:\Livres\Informatique\Arduino, Raspberry Pi\Raspberry Pi\Revues divers\Linux User &amp; Developer - Raspberry Pi for Beginners (6th ed, 2016).pdf</t>
  </si>
  <si>
    <t>W:\Livres\Informatique\Arduino, Raspberry Pi\Raspberry Pi\Revues divers\Linux User &amp; Developer - Raspberry Pi Tips Tricks Hacks Vol 1 (2nd ed, 2015).pdf</t>
  </si>
  <si>
    <t>W:\Livres\Informatique\Arduino, Raspberry Pi\Raspberry Pi\Revues divers\Linux User &amp; Developer - Raspberry Pi, The Complete Manual (5th ed, 2015).pdf</t>
  </si>
  <si>
    <t>W:\Livres\Informatique\Arduino, Raspberry Pi\Raspberry Pi\Revues divers\Linux User &amp; Developer - Raspberry Pi, The Complete Manual (6th ed, 2016).pdf</t>
  </si>
  <si>
    <t>W:\Livres\Informatique\Arduino, Raspberry Pi\Raspberry Pi\Revues divers\Linux User &amp; Developer n°164 - Go Wireless! 25 Maker Projects for Raspberry Pi.pdf</t>
  </si>
  <si>
    <t>W:\Livres\Informatique\Arduino, Raspberry Pi\Raspberry Pi\Revues divers\Micro Mart - 2016-03-10 - Raspberry Pi 3.pdf</t>
  </si>
  <si>
    <t>W:\Livres\Informatique\Arduino, Raspberry Pi\Raspberry Pi\Revues divers\Pc Pro - 2012-10 - Office 2013, The Complete Guide Raspberry Pi.pdf</t>
  </si>
  <si>
    <t>W:\Livres\Informatique\Arduino, Raspberry Pi\Raspberry Pi\Revues divers\RasPi Magazine - Announcing the Raspberry 2.pdf</t>
  </si>
  <si>
    <t>W:\Livres\Informatique\Arduino, Raspberry Pi\Raspberry Pi\Revues divers\RasPi n°1 - 2015-07.pdf</t>
  </si>
  <si>
    <t>W:\Livres\Informatique\Arduino, Raspberry Pi\Raspberry Pi\Revues divers\Wired - 2013-07 - How Raspberry Pi Conquered the World.pdf</t>
  </si>
  <si>
    <t>W:\Livres\Informatique\Arduino, Raspberry Pi\Raspberry Pi\Teach Yourself Visually Raspberry Pi (2014) - [Wiley] - Richard Wentk.pdf</t>
  </si>
  <si>
    <t>W:\Livres\Informatique\Arduino, Raspberry Pi\Raspberry Pi\The MagPi\MagPi Education Edition n°02.pdf</t>
  </si>
  <si>
    <t>W:\Livres\Informatique\Arduino, Raspberry Pi\Raspberry Pi\The MagPi\The MagPi Essentials - Learn to code with Scratch.pdf</t>
  </si>
  <si>
    <t>W:\Livres\Informatique\Arduino, Raspberry Pi\Raspberry Pi\The MagPi\The MagPi Essentials - Learning to code with C.pdf</t>
  </si>
  <si>
    <t>W:\Livres\Informatique\Arduino, Raspberry Pi\Raspberry Pi\The MagPi\The MagPi Essentials - Minecraft.pdf</t>
  </si>
  <si>
    <t>W:\Livres\Informatique\Arduino, Raspberry Pi\Raspberry Pi\The MagPi\The MagPi Essentials - Python Games.pdf</t>
  </si>
  <si>
    <t>W:\Livres\Informatique\Arduino, Raspberry Pi\Raspberry Pi\The MagPi\The MagPi Essentials - Sense Hat.pdf</t>
  </si>
  <si>
    <t>W:\Livres\Informatique\Arduino, Raspberry Pi\Raspberry Pi\The MagPi\The MagPi Essentials - Simple Electronics with Gpio Zero.pdf</t>
  </si>
  <si>
    <t>W:\Livres\Informatique\Arduino, Raspberry Pi\Raspberry Pi\The MagPi\The MagPi Essentials - Terminal Guide.pdf</t>
  </si>
  <si>
    <t>W:\Livres\Informatique\Arduino, Raspberry Pi\Raspberry Pi\The MagPi\The MagPi n°01.pdf</t>
  </si>
  <si>
    <t>W:\Livres\Informatique\Arduino, Raspberry Pi\Raspberry Pi\The MagPi\The MagPi n°02.pdf</t>
  </si>
  <si>
    <t>W:\Livres\Informatique\Arduino, Raspberry Pi\Raspberry Pi\The MagPi\The MagPi n°03.pdf</t>
  </si>
  <si>
    <t>W:\Livres\Informatique\Arduino, Raspberry Pi\Raspberry Pi\The MagPi\The MagPi n°04.pdf</t>
  </si>
  <si>
    <t>W:\Livres\Informatique\Arduino, Raspberry Pi\Raspberry Pi\The MagPi\The MagPi n°05.pdf</t>
  </si>
  <si>
    <t>W:\Livres\Informatique\Arduino, Raspberry Pi\Raspberry Pi\The MagPi\The MagPi n°06.pdf</t>
  </si>
  <si>
    <t>W:\Livres\Informatique\Arduino, Raspberry Pi\Raspberry Pi\The MagPi\The MagPi n°07.pdf</t>
  </si>
  <si>
    <t>W:\Livres\Informatique\Arduino, Raspberry Pi\Raspberry Pi\The MagPi\The MagPi n°08.pdf</t>
  </si>
  <si>
    <t>W:\Livres\Informatique\Arduino, Raspberry Pi\Raspberry Pi\The MagPi\The MagPi n°09.pdf</t>
  </si>
  <si>
    <t>W:\Livres\Informatique\Arduino, Raspberry Pi\Raspberry Pi\The MagPi\The MagPi n°10.pdf</t>
  </si>
  <si>
    <t>W:\Livres\Informatique\Arduino, Raspberry Pi\Raspberry Pi\The MagPi\The MagPi n°11.pdf</t>
  </si>
  <si>
    <t>W:\Livres\Informatique\Arduino, Raspberry Pi\Raspberry Pi\The MagPi\The MagPi n°12.pdf</t>
  </si>
  <si>
    <t>W:\Livres\Informatique\Arduino, Raspberry Pi\Raspberry Pi\The MagPi\The MagPi n°13.pdf</t>
  </si>
  <si>
    <t>W:\Livres\Informatique\Arduino, Raspberry Pi\Raspberry Pi\The MagPi\The MagPi n°14.pdf</t>
  </si>
  <si>
    <t>W:\Livres\Informatique\Arduino, Raspberry Pi\Raspberry Pi\The MagPi\The MagPi n°15.pdf</t>
  </si>
  <si>
    <t>W:\Livres\Informatique\Arduino, Raspberry Pi\Raspberry Pi\The MagPi\The MagPi n°16.pdf</t>
  </si>
  <si>
    <t>W:\Livres\Informatique\Arduino, Raspberry Pi\Raspberry Pi\The MagPi\The MagPi n°17.pdf</t>
  </si>
  <si>
    <t>W:\Livres\Informatique\Arduino, Raspberry Pi\Raspberry Pi\The MagPi\The MagPi n°18.pdf</t>
  </si>
  <si>
    <t>W:\Livres\Informatique\Arduino, Raspberry Pi\Raspberry Pi\The MagPi\The MagPi n°19.pdf</t>
  </si>
  <si>
    <t>W:\Livres\Informatique\Arduino, Raspberry Pi\Raspberry Pi\The MagPi\The MagPi n°20.pdf</t>
  </si>
  <si>
    <t>W:\Livres\Informatique\Arduino, Raspberry Pi\Raspberry Pi\The MagPi\The MagPi n°21.pdf</t>
  </si>
  <si>
    <t>W:\Livres\Informatique\Arduino, Raspberry Pi\Raspberry Pi\The MagPi\The MagPi n°22.pdf</t>
  </si>
  <si>
    <t>W:\Livres\Informatique\Arduino, Raspberry Pi\Raspberry Pi\The MagPi\The MagPi n°23.pdf</t>
  </si>
  <si>
    <t>W:\Livres\Informatique\Arduino, Raspberry Pi\Raspberry Pi\The MagPi\The MagPi n°24.pdf</t>
  </si>
  <si>
    <t>W:\Livres\Informatique\Arduino, Raspberry Pi\Raspberry Pi\The MagPi\The MagPi n°25.pdf</t>
  </si>
  <si>
    <t>W:\Livres\Informatique\Arduino, Raspberry Pi\Raspberry Pi\The MagPi\The MagPi n°26.pdf</t>
  </si>
  <si>
    <t>W:\Livres\Informatique\Arduino, Raspberry Pi\Raspberry Pi\The MagPi\The MagPi n°27.pdf</t>
  </si>
  <si>
    <t>W:\Livres\Informatique\Arduino, Raspberry Pi\Raspberry Pi\The MagPi\The MagPi n°28.pdf</t>
  </si>
  <si>
    <t>W:\Livres\Informatique\Arduino, Raspberry Pi\Raspberry Pi\The MagPi\The MagPi n°29.pdf</t>
  </si>
  <si>
    <t>W:\Livres\Informatique\Arduino, Raspberry Pi\Raspberry Pi\The MagPi\The MagPi n°30.pdf</t>
  </si>
  <si>
    <t>W:\Livres\Informatique\Arduino, Raspberry Pi\Raspberry Pi\The MagPi\The MagPi n°31.pdf</t>
  </si>
  <si>
    <t>W:\Livres\Informatique\Arduino, Raspberry Pi\Raspberry Pi\The MagPi\The MagPi n°31b.pdf</t>
  </si>
  <si>
    <t>W:\Livres\Informatique\Arduino, Raspberry Pi\Raspberry Pi\The MagPi\The MagPi n°32.pdf</t>
  </si>
  <si>
    <t>W:\Livres\Informatique\Arduino, Raspberry Pi\Raspberry Pi\The MagPi\The MagPi n°33.pdf</t>
  </si>
  <si>
    <t>W:\Livres\Informatique\Arduino, Raspberry Pi\Raspberry Pi\The MagPi\The MagPi n°34.pdf</t>
  </si>
  <si>
    <t>W:\Livres\Informatique\Arduino, Raspberry Pi\Raspberry Pi\The MagPi\The MagPi n°35.pdf</t>
  </si>
  <si>
    <t>W:\Livres\Informatique\Arduino, Raspberry Pi\Raspberry Pi\The MagPi\The MagPi n°36.pdf</t>
  </si>
  <si>
    <t>W:\Livres\Informatique\Arduino, Raspberry Pi\Raspberry Pi\The MagPi\The MagPi n°37.pdf</t>
  </si>
  <si>
    <t>W:\Livres\Informatique\Arduino, Raspberry Pi\Raspberry Pi\The MagPi\The MagPi n°38.pdf</t>
  </si>
  <si>
    <t>W:\Livres\Informatique\Arduino, Raspberry Pi\Raspberry Pi\The MagPi\The MagPi n°39.pdf</t>
  </si>
  <si>
    <t>W:\Livres\Informatique\Arduino, Raspberry Pi\Raspberry Pi\The MagPi\The MagPi n°40.pdf</t>
  </si>
  <si>
    <t>W:\Livres\Informatique\Arduino, Raspberry Pi\Raspberry Pi\The MagPi\The MagPi n°41.pdf</t>
  </si>
  <si>
    <t>W:\Livres\Informatique\Arduino, Raspberry Pi\Raspberry Pi\The MagPi\The MagPi n°42.pdf</t>
  </si>
  <si>
    <t>W:\Livres\Informatique\Arduino, Raspberry Pi\Raspberry Pi\The MagPi\The MagPi n°43.pdf</t>
  </si>
  <si>
    <t>W:\Livres\Informatique\Arduino, Raspberry Pi\Raspberry Pi\The MagPi\The MagPi n°44.pdf</t>
  </si>
  <si>
    <t>W:\Livres\Informatique\Arduino, Raspberry Pi\Raspberry Pi\The MagPi\The MagPi n°45.pdf</t>
  </si>
  <si>
    <t>W:\Livres\Informatique\Arduino, Raspberry Pi\Raspberry Pi\The MagPi\The MagPi n°46.pdf</t>
  </si>
  <si>
    <t>W:\Livres\Informatique\Arduino, Raspberry Pi\Raspberry Pi\The MagPi\The MagPi n°47.pdf</t>
  </si>
  <si>
    <t>W:\Livres\Informatique\Arduino, Raspberry Pi\Raspberry Pi\The MagPi\The MagPi n°48.pdf</t>
  </si>
  <si>
    <t>W:\Livres\Informatique\Arduino, Raspberry Pi\Raspberry Pi\The MagPi\The MagPi n°49.pdf</t>
  </si>
  <si>
    <t>W:\Livres\Informatique\Arduino, Raspberry Pi\Raspberry Pi\The MagPi\The MagPi n°50.pdf</t>
  </si>
  <si>
    <t>W:\Livres\Informatique\Arduino, Raspberry Pi\Raspberry Pi\The MagPi\The MagPi n°51.pdf</t>
  </si>
  <si>
    <t>W:\Livres\Informatique\Arduino, Raspberry Pi\Raspberry Pi\The MagPi\The MagPi SE1.pdf</t>
  </si>
  <si>
    <t>W:\Livres\Informatique\Arduino, Raspberry Pi\Raspberry Pi\The MagPi\The Official Raspberry Pi Projects Book.pdf</t>
  </si>
  <si>
    <t>W:\Livres\Informatique\Arduino, Raspberry Pi\Raspberry Pi\The Maker's Guide to the Zombie Apocalypse (2016) - [No Starch] - Simon Monk.pdf</t>
  </si>
  <si>
    <t>W:\Livres\Informatique\Arduino, Raspberry Pi\Raspberry Pi\Ultimate Guide to Raspberry Pi (2014) - [Magbook] - Kevin Partner.pdf</t>
  </si>
  <si>
    <t>W:\Livres\Informatique\Arduino, Raspberry Pi\Raspberry Pi\Un Media Center dans mon salon avec un Raspberry Pi (2016) - [Mediaforma] - Michel Martin.pdf</t>
  </si>
  <si>
    <t>W:\Livres\Informatique\Arduino, Raspberry Pi\Raspberry Pi\Your Unofficial Raspberry Pi Manual {Document} - Christian Cawley.pdf</t>
  </si>
  <si>
    <t>W:\Livres\Informatique\Arduino, Raspberry Pi\The Internet of Things, Do-It-Yourself at Home Projects for Arduino, Raspberry Pi and BeagleBone Black (2015) - [McGraw-Hill] - Donald Norris.pdf</t>
  </si>
  <si>
    <t>W:\Livres\Informatique\Bases de données, SQL\Bases de données orientées graphes avec Neo4j (2016) - [Eyrolles] - Benhenni, Bois.pdf</t>
  </si>
  <si>
    <t>W:\Livres\Informatique\Bases de données, SQL\Beginning Database Design (2nd ed, 2012) - [Apress] - Clare Churcher.pdf</t>
  </si>
  <si>
    <t>W:\Livres\Informatique\Bases de données, SQL\Beginning SQL (2005) - [Wiley] - Paul Wilton, John W. Colby.pdf</t>
  </si>
  <si>
    <t>W:\Livres\Informatique\Bases de données, SQL\Beginning SQL Queries, From Novice to Professional (2nd ed, 2016) - [Apress] - Clare Churcher.pdf</t>
  </si>
  <si>
    <t>W:\Livres\Informatique\Bases de données, SQL\Database Programming with JDBC and Java (2nd ed, 2001) {Dump} - [O'Reilly] - George Reese.pdf</t>
  </si>
  <si>
    <t>W:\Livres\Informatique\Bases de données, SQL\Introduction pratique aux bases de données relationnelles (2è ed, 2006) - [Springer] - A. Meier.pdf</t>
  </si>
  <si>
    <t>W:\Livres\Informatique\Bases de données, SQL\Les bases de données NoSQL et le BigData, Comprendre et mettre en oeuvre (2è ed, 2013) - [Eyrolles] - Rudi Bruchez.pdf</t>
  </si>
  <si>
    <t>W:\Livres\Informatique\Bases de données, SQL\Microsoft SQL Server\Best Practices for Virtualizing and Managing SQL Server 2012 (2013) - [Microsoft].pdf</t>
  </si>
  <si>
    <t>W:\Livres\Informatique\Bases de données, SQL\Microsoft SQL Server\Expert SQL Server 2008 Development (2009) - [Apress] - Alastair Aitchison, Adam Machanic.pdf</t>
  </si>
  <si>
    <t>W:\Livres\Informatique\Bases de données, SQL\Microsoft SQL Server\Extracting and Loading SharePoint Data in SQL Server Integration Services (2012) - [Microsoft].epub</t>
  </si>
  <si>
    <t>W:\Livres\Informatique\Bases de données, SQL\Microsoft SQL Server\Extracting and Loading SharePoint Data in SQL Server Integration Services (2012) - [Microsoft].pdf</t>
  </si>
  <si>
    <t>W:\Livres\Informatique\Bases de données, SQL\Microsoft SQL Server\Introducing SQL Server 2008 R2 (2010) - [Microsoft] - Ross Mistry, Stacia Misner.epub</t>
  </si>
  <si>
    <t>W:\Livres\Informatique\Bases de données, SQL\Microsoft SQL Server\Introducing SQL Server 2008 R2 (2010) - [Microsoft] - Ross Mistry, Stacia Misner.pdf</t>
  </si>
  <si>
    <t>W:\Livres\Informatique\Bases de données, SQL\Microsoft SQL Server\Introducing SQL Server 2012 - [Microsoft] - Mistry, Misner.epub</t>
  </si>
  <si>
    <t>W:\Livres\Informatique\Bases de données, SQL\Microsoft SQL Server\Introducing SQL Server 2012 - [Microsoft] - Mistry, Misner.pdf</t>
  </si>
  <si>
    <t>W:\Livres\Informatique\Bases de données, SQL\Microsoft SQL Server\Introducing SQL Server 2014 - [Microsoft] - Mistry, Misner.epub</t>
  </si>
  <si>
    <t>W:\Livres\Informatique\Bases de données, SQL\Microsoft SQL Server\Introducing SQL Server 2014 - [Microsoft] - Mistry, Misner.pdf</t>
  </si>
  <si>
    <t>W:\Livres\Informatique\Bases de données, SQL\Microsoft SQL Server\Introducing SQL Server 2016 Preview 2 - [Microsoft] - Varga, Cherry, D'Antoni.epub</t>
  </si>
  <si>
    <t>W:\Livres\Informatique\Bases de données, SQL\Microsoft SQL Server\Introducing SQL Server 2016 Preview 2 - [Microsoft] - Varga, Cherry, D'Antoni.pdf</t>
  </si>
  <si>
    <t>W:\Livres\Informatique\Bases de données, SQL\Microsoft SQL Server\Murach's SQL Server 2016 for Developers (2016) - Suverson, Murach.pdf</t>
  </si>
  <si>
    <t>W:\Livres\Informatique\Bases de données, SQL\Microsoft SQL Server\Refactoring SQL Applications (2008) - [O'Reilly] - Stéphane Faroult.pdf</t>
  </si>
  <si>
    <t>W:\Livres\Informatique\Bases de données, SQL\Microsoft SQL Server\SQL Server 2008 Internals (2009) - [Microsoft Press] - Kalen Delaney.pdf</t>
  </si>
  <si>
    <t>W:\Livres\Informatique\Bases de données, SQL\Microsoft SQL Server\SQL Server 2012 Tutorials, Analysis Services Data Mining (2012) - [Microsoft].epub</t>
  </si>
  <si>
    <t>W:\Livres\Informatique\Bases de données, SQL\Microsoft SQL Server\SQL Server 2012 Tutorials, Analysis Services Data Mining (2012) - [Microsoft].pdf</t>
  </si>
  <si>
    <t>W:\Livres\Informatique\Bases de données, SQL\Microsoft SQL Server\SQL Server 2012 Tutorials, Analysis Services Multidimensional Modeling (2012) - [Microsoft].epub</t>
  </si>
  <si>
    <t>W:\Livres\Informatique\Bases de données, SQL\Microsoft SQL Server\SQL Server 2012 Tutorials, Analysis Services Multidimensional Modeling (2012) - [Microsoft].pdf</t>
  </si>
  <si>
    <t>W:\Livres\Informatique\Bases de données, SQL\Microsoft SQL Server\SQL Server 2012 Tutorials, Analysis Services Tabular Modeling (2012) - [Microsoft].epub</t>
  </si>
  <si>
    <t>W:\Livres\Informatique\Bases de données, SQL\Microsoft SQL Server\SQL Server 2012 Tutorials, Analysis Services Tabular Modeling (2012) - [Microsoft].pdf</t>
  </si>
  <si>
    <t>W:\Livres\Informatique\Bases de données, SQL\Microsoft SQL Server\SQL Server 2012 Tutorials, Reporting Services (2012) - [Microsoft].epub</t>
  </si>
  <si>
    <t>W:\Livres\Informatique\Bases de données, SQL\Microsoft SQL Server\SQL Server 2012 Tutorials, Reporting Services (2012) - [Microsoft].pdf</t>
  </si>
  <si>
    <t>W:\Livres\Informatique\Bases de données, SQL\Microsoft SQL Server\SQL Server 2012 Tutorials, Writing Transact SQL Statements (2012) - [Microsoft].epub</t>
  </si>
  <si>
    <t>W:\Livres\Informatique\Bases de données, SQL\Microsoft SQL Server\SQL Server 2012 Tutorials, Writing Transact SQL Statements (2012) - [Microsoft].pdf</t>
  </si>
  <si>
    <t>W:\Livres\Informatique\Bases de données, SQL\Microsoft SQL Server\SQL Server 2012 Upgrade Technical Guide (2010) {White Paper} - [Microsoft].epub</t>
  </si>
  <si>
    <t>W:\Livres\Informatique\Bases de données, SQL\Microsoft SQL Server\SQL Server 2012 Upgrade Technical Guide (2010) {White Paper} - [Microsoft].pdf</t>
  </si>
  <si>
    <t>W:\Livres\Informatique\Bases de données, SQL\Microsoft SQL Server\SQL Server 2012, 5 Tips for a Smooth SSIS Upgrade to SQL Server 2012 (2012) - [Microsoft].epub</t>
  </si>
  <si>
    <t>W:\Livres\Informatique\Bases de données, SQL\Microsoft SQL Server\SQL Server 2012, 5 Tips for a Smooth SSIS Upgrade to SQL Server 2012 (2012) - [Microsoft].pdf</t>
  </si>
  <si>
    <t>W:\Livres\Informatique\Bases de données, SQL\Microsoft SQL Server\SQL Server 2012, AlwaysOn Solutions Guide for High Availability and Disaster Recovery (2012) - [Microsoft] - Leroy Tuttle.epub</t>
  </si>
  <si>
    <t>W:\Livres\Informatique\Bases de données, SQL\Microsoft SQL Server\SQL Server 2012, AlwaysOn Solutions Guide for High Availability and Disaster Recovery (2012) - [Microsoft] - Leroy Tuttle.pdf</t>
  </si>
  <si>
    <t>W:\Livres\Informatique\Bases de données, SQL\Microsoft SQL Server\SQL Server 2012, Backup and Restore of SQL Server Databases - [Microsoft].epub</t>
  </si>
  <si>
    <t>W:\Livres\Informatique\Bases de données, SQL\Microsoft SQL Server\SQL Server 2012, Backup and Restore of SQL Server Databases - [Microsoft].pdf</t>
  </si>
  <si>
    <t>W:\Livres\Informatique\Bases de données, SQL\Microsoft SQL Server\SQL Server 2012, Data Analysis Expressions DAX Reference (2012) - [Microsoft].epub</t>
  </si>
  <si>
    <t>W:\Livres\Informatique\Bases de données, SQL\Microsoft SQL Server\SQL Server 2012, Data Analysis Expressions DAX Reference (2012) - [Microsoft].pdf</t>
  </si>
  <si>
    <t>W:\Livres\Informatique\Bases de données, SQL\Microsoft SQL Server\SQL Server 2012, Data Mining Extensions DMX Reference (2012) - [Microsoft].epub</t>
  </si>
  <si>
    <t>W:\Livres\Informatique\Bases de données, SQL\Microsoft SQL Server\SQL Server 2012, Data Mining Extensions DMX Reference (2012) - [Microsoft].pdf</t>
  </si>
  <si>
    <t>W:\Livres\Informatique\Bases de données, SQL\Microsoft SQL Server\SQL Server 2012, Data Quality Services (2012) - [Microsoft].epub</t>
  </si>
  <si>
    <t>W:\Livres\Informatique\Bases de données, SQL\Microsoft SQL Server\SQL Server 2012, Data Quality Services (2012) - [Microsoft].pdf</t>
  </si>
  <si>
    <t>W:\Livres\Informatique\Bases de données, SQL\Microsoft SQL Server\SQL Server 2012, Distributed Replay - [Microsoft].epub</t>
  </si>
  <si>
    <t>W:\Livres\Informatique\Bases de données, SQL\Microsoft SQL Server\SQL Server 2012, Distributed Replay - [Microsoft].pdf</t>
  </si>
  <si>
    <t>W:\Livres\Informatique\Bases de données, SQL\Microsoft SQL Server\SQL Server 2012, High Availability Solutions (2012) - [Microsoft].epub</t>
  </si>
  <si>
    <t>W:\Livres\Informatique\Bases de données, SQL\Microsoft SQL Server\SQL Server 2012, High Availability Solutions (2012) - [Microsoft].pdf</t>
  </si>
  <si>
    <t>W:\Livres\Informatique\Bases de données, SQL\Microsoft SQL Server\SQL Server 2012, Integration Services, Extending Packages with Scripting (2013) - [Microsoft].epub</t>
  </si>
  <si>
    <t>W:\Livres\Informatique\Bases de données, SQL\Microsoft SQL Server\SQL Server 2012, Integration Services, Extending Packages with Scripting (2013) - [Microsoft].pdf</t>
  </si>
  <si>
    <t>W:\Livres\Informatique\Bases de données, SQL\Microsoft SQL Server\SQL Server 2012, Monitor and Tune for Performance (2012) - [Microsoft].epub</t>
  </si>
  <si>
    <t>W:\Livres\Informatique\Bases de données, SQL\Microsoft SQL Server\SQL Server 2012, Monitor and Tune for Performance (2012) - [Microsoft].pdf</t>
  </si>
  <si>
    <t>W:\Livres\Informatique\Bases de données, SQL\Microsoft SQL Server\SQL Server 2012, Multidimensional Expressions MDX Reference (2010) - [Microsoft].epub</t>
  </si>
  <si>
    <t>W:\Livres\Informatique\Bases de données, SQL\Microsoft SQL Server\SQL Server 2012, Multidimensional Expressions MDX Reference (2010) - [Microsoft].pdf</t>
  </si>
  <si>
    <t>W:\Livres\Informatique\Bases de données, SQL\Microsoft SQL Server\SQL Server 2012, Multidimensional Model Programming (2012) - [Microsoft].epub</t>
  </si>
  <si>
    <t>W:\Livres\Informatique\Bases de données, SQL\Microsoft SQL Server\SQL Server 2012, Multidimensional Model Programming (2012) - [Microsoft].pdf</t>
  </si>
  <si>
    <t>W:\Livres\Informatique\Bases de données, SQL\Microsoft SQL Server\SQL Server 2012, Optimized Bulk Loading Data into Oracle (2012) - [Microsoft] - Carla Sabotta, Debarchan Sarkar.epub</t>
  </si>
  <si>
    <t>W:\Livres\Informatique\Bases de données, SQL\Microsoft SQL Server\SQL Server 2012, Optimized Bulk Loading Data into Oracle (2012) - [Microsoft] - Carla Sabotta, Debarchan Sarkar.pdf</t>
  </si>
  <si>
    <t>W:\Livres\Informatique\Bases de données, SQL\Microsoft SQL Server\SQL Server 2012, Planning Disaster Recovery for SQL Server Reporting Services SharePoint Integrated Mode (2012) - [Microsoft] - Jaime Tarquino.epub</t>
  </si>
  <si>
    <t>W:\Livres\Informatique\Bases de données, SQL\Microsoft SQL Server\SQL Server 2012, Planning Disaster Recovery for SQL Server Reporting Services SharePoint Integrated Mode (2012) - [Microsoft] - Jaime Tarquino.pdf</t>
  </si>
  <si>
    <t>W:\Livres\Informatique\Bases de données, SQL\Microsoft SQL Server\SQL Server 2012, Transact SQL Data Definition Language DDL Reference - [Microsoft].epub</t>
  </si>
  <si>
    <t>W:\Livres\Informatique\Bases de données, SQL\Microsoft SQL Server\SQL Server 2012, Transact SQL Data Definition Language DDL Reference - [Microsoft].pdf</t>
  </si>
  <si>
    <t>W:\Livres\Informatique\Bases de données, SQL\Microsoft SQL Server\SQL Server 2012, Transact SQL DML Reference (2012) - [Microsoft].epub</t>
  </si>
  <si>
    <t>W:\Livres\Informatique\Bases de données, SQL\Microsoft SQL Server\SQL Server 2012, Transact SQL DML Reference (2012) - [Microsoft].pdf</t>
  </si>
  <si>
    <t>W:\Livres\Informatique\Bases de données, SQL\Microsoft SQL Server\SQL Server 2012, XQuery Language Reference (2012) - [Microsoft].epub</t>
  </si>
  <si>
    <t>W:\Livres\Informatique\Bases de données, SQL\Microsoft SQL Server\SQL Server 2012, XQuery Language Reference (2012) - [Microsoft].pdf</t>
  </si>
  <si>
    <t>W:\Livres\Informatique\Bases de données, SQL\Microsoft SQL Server\SQL Server 2014, Database Backup Encryption (2014) - [Microsoft] - Sandeep Kumar.pdf</t>
  </si>
  <si>
    <t>W:\Livres\Informatique\Bases de données, SQL\Microsoft SQL Server\SQL Server 2014, In Memory OLTP TDM White Paper (2014) - [Microsoft] - Kalen Delaney.pdf</t>
  </si>
  <si>
    <t>W:\Livres\Informatique\Bases de données, SQL\Microsoft SQL Server\SQL Server Analysis Services Multidimensional Performance and Operations Guide (2012) - [Microsoft] - Thomas Kejser and Denny Lee.epub</t>
  </si>
  <si>
    <t>W:\Livres\Informatique\Bases de données, SQL\Microsoft SQL Server\SQL Server Analysis Services Multidimensional Performance and Operations Guide (2012) - [Microsoft] - Thomas Kejser and Denny Lee.pdf</t>
  </si>
  <si>
    <t>W:\Livres\Informatique\Bases de données, SQL\Microsoft SQL Server\SQL Server Community FAQs Manual (2013) - [Microsoft].epub</t>
  </si>
  <si>
    <t>W:\Livres\Informatique\Bases de données, SQL\Microsoft SQL Server\SQL Server Community FAQs Manual (2013) - [Microsoft].pdf</t>
  </si>
  <si>
    <t>W:\Livres\Informatique\Bases de données, SQL\Microsoft SQL Server\Troubleshooting SQL Server AlwaysOn (2014) - [Microsoft] - Vijay Rodrigues.pdf</t>
  </si>
  <si>
    <t>W:\Livres\Informatique\Bases de données, SQL\MySQL\Administrez vos bases de données avec MySQL (2012) - [Le site du zéro] - Chantal Gribaumont.pdf</t>
  </si>
  <si>
    <t>W:\Livres\Informatique\Bases de données, SQL\MySQL\Apprendre SQL avec MySQL (2006) - [Eyrolles] - Christian Soutou.pdf</t>
  </si>
  <si>
    <t>W:\Livres\Informatique\Bases de données, SQL\MySQL\Beginning PHP and MySQL (4th ed, 2010) - [Apress] - W. Jason Gilmore.pdf</t>
  </si>
  <si>
    <t>W:\Livres\Informatique\Bases de données, SQL\MySQL\Beginning PHP6, Apache, MySQL Web Development (2010) - [Wiley] - Boronczyk, Naramore, Gerner et al.pdf</t>
  </si>
  <si>
    <t>W:\Livres\Informatique\Bases de données, SQL\MySQL\Build Your Own Database Driven Web Site Using PHP &amp; MySQL (4th ed, 2009) - [Sitepoint] - Kevin Yank.pdf</t>
  </si>
  <si>
    <t>W:\Livres\Informatique\Bases de données, SQL\MySQL\Expert PHP and MySQL (2013) - [Apress] - Marc Rochkind.pdf</t>
  </si>
  <si>
    <t>W:\Livres\Informatique\Bases de données, SQL\MySQL\Head First PHP-MySQL (2009) - [O'Reilly] - Lynn Beighley, Michael Morrison.pdf</t>
  </si>
  <si>
    <t>W:\Livres\Informatique\Bases de données, SQL\MySQL\High Performance MySQL (2nd ed, 2008) - [O'Reilly] - Schwartz, Zaitsev, Tkachenko, Zawodny, Lentz, Balling,.pdf</t>
  </si>
  <si>
    <t>W:\Livres\Informatique\Bases de données, SQL\MySQL\High Performance MySQL (3rd ed, 2012) - [O'Reilly] - Baron Schwartz, Peter Zaitsev, and Vadim Tkachenko.pdf</t>
  </si>
  <si>
    <t>W:\Livres\Informatique\Bases de données, SQL\MySQL\Learn PHP, MySQL and CSS (2012) - [O'Reilly] - Robin Nixon.pdf</t>
  </si>
  <si>
    <t>W:\Livres\Informatique\Bases de données, SQL\MySQL\Murach's MySQL (2012) - Joel Murach.pdf</t>
  </si>
  <si>
    <t>W:\Livres\Informatique\Bases de données, SQL\MySQL\MySQL Admin Cookbook (2010) - [Packt] - Daniel Schneller, Udo Schwedt.pdf</t>
  </si>
  <si>
    <t>W:\Livres\Informatique\Bases de données, SQL\MySQL\MySQL Administrators Bible (2009) - [Wiley] - Sheeri Cabral, Keith Murphy.pdf</t>
  </si>
  <si>
    <t>W:\Livres\Informatique\Bases de données, SQL\MySQL\MySQL Cookbook (2002) {Dump} - [O'Reilly] - Paul DuBois.pdf</t>
  </si>
  <si>
    <t>W:\Livres\Informatique\Bases de données, SQL\MySQL\MySQL High Availability (2010) - [O'Reilly] - Charles Bell, Mats Kindahl, Lars Thalmann.pdf</t>
  </si>
  <si>
    <t>W:\Livres\Informatique\Bases de données, SQL\MySQL\MySQL Management and Administration with Navicat (2012) - [Packt] - Gökhan Ozar.pdf</t>
  </si>
  <si>
    <t>W:\Livres\Informatique\Bases de données, SQL\MySQL\MySQL Troubleshooting (2012) - [O'Reilly] - Sveta Smirnova.pdf</t>
  </si>
  <si>
    <t>W:\Livres\Informatique\Bases de données, SQL\MySQL\PHP &amp; MySQL et CSS (2009) - [Micro Application] - Jean Carfantan.pdf</t>
  </si>
  <si>
    <t>W:\Livres\Informatique\Bases de données, SQL\MySQL\PHP &amp; MySQL, The Missing Manual (2012) - [O'Reilly] - Brett McLaughlin.pdf</t>
  </si>
  <si>
    <t>W:\Livres\Informatique\Bases de données, SQL\MySQL\PHP 6 and MySQL Programming for Absolute Beginners (2009) - [Cengage Learning] - Andy Harris.pdf</t>
  </si>
  <si>
    <t>W:\Livres\Informatique\Bases de données, SQL\MySQL\PHP and MySQL, Novice to Ninja (5th ed, 2012) - [Sitepoint] - Kevin Yank.pdf</t>
  </si>
  <si>
    <t>W:\Livres\Informatique\Bases de données, SQL\MySQL\PHP et MySQL avec Dreamweaver 8 (2006) - [Eyrolles] - Jean-Marie Defrance.pdf</t>
  </si>
  <si>
    <t>W:\Livres\Informatique\Bases de données, SQL\MySQL\Pratique de MySQL et PHP (4è ed, 2009) - [Dunod] - Philippe Rigaux.pdf</t>
  </si>
  <si>
    <t>W:\Livres\Informatique\Bases de données, SQL\MySQL\Programmer avec MySQL (4è ed, 2015) - [Eyrolles] - Christian Soutou.epub</t>
  </si>
  <si>
    <t>W:\Livres\Informatique\Bases de données, SQL\MySQL\Programmer avec MySQL (4è ed, 2015) - [Eyrolles] - Christian Soutou.pdf</t>
  </si>
  <si>
    <t>W:\Livres\Informatique\Bases de données, SQL\MySQL\Programmer avec MySQL, Annexes.rar</t>
  </si>
  <si>
    <t>W:\Livres\Informatique\Bases de données, SQL\MySQL\Sécurité PHP 5 et MySQL (2007) - [Eyrolles] - Damien Seguy, Philippe Gamache.pdf</t>
  </si>
  <si>
    <t>W:\Livres\Informatique\Bases de données, SQL\MySQL\Teach Yourself PHP MySQL Apache (5th ed, 2012) - [Sams] - Julie C. Meloni.pdf</t>
  </si>
  <si>
    <t>W:\Livres\Informatique\Bases de données, SQL\Oracle\Building Oracle XML Applications (2000) {Dump} - [O'Reilly] - Steve Muench.pdf</t>
  </si>
  <si>
    <t>W:\Livres\Informatique\Bases de données, SQL\Oracle\Expert Oracle Database 10g Administration (2005) - [Apress] - Sam R. Alapati.pdf</t>
  </si>
  <si>
    <t>W:\Livres\Informatique\Bases de données, SQL\Oracle\Expert Oracle Database Architecture (3rd ed, 2015) - [Apress] - Thomas Kyte, Darl Kuhn.pdf</t>
  </si>
  <si>
    <t>W:\Livres\Informatique\Bases de données, SQL\Oracle\Expert Oracle Database Architecture 9i, 10g and 11g, Programming Techniques and Solutions (2nd ed, 2010) - [Apress] - Thomas Kyte.pdf</t>
  </si>
  <si>
    <t>W:\Livres\Informatique\Bases de données, SQL\Oracle\Oracle 10g sous Windows (2006) - [Eyrolles] - Gilles Briard.pdf</t>
  </si>
  <si>
    <t>W:\Livres\Informatique\Bases de données, SQL\Oracle\Oracle DBA Checklists Pocket Reference (2001) - [O'Reilly] - Quest Software.pdf</t>
  </si>
  <si>
    <t>W:\Livres\Informatique\Bases de données, SQL\Oracle\Oracle Distributed Systems (1999) {Dump} - [O'Reilly] - Charles Dye.pdf</t>
  </si>
  <si>
    <t>W:\Livres\Informatique\Bases de données, SQL\Oracle\Oracle Essentials, Oracle Database 12c (5th ed, 2013) {Dump} - [O'Reilly] - Rick Greenwald, Robert Stackowiak, Jonathan Stern.pdf</t>
  </si>
  <si>
    <t>W:\Livres\Informatique\Bases de données, SQL\Oracle\Oracle PL-SQL Language Pocket Reference (4th ed, 2008) - [O'Reilly] - Steven Feuerstein, Bill Pribyl, Chip Dawes.pdf</t>
  </si>
  <si>
    <t>W:\Livres\Informatique\Bases de données, SQL\Oracle\Oracle PL-SQL Programming (5th ed, 2009) - [O'Reilly] - Steven Feuerstein, Bill Pribyl.pdf</t>
  </si>
  <si>
    <t>W:\Livres\Informatique\Bases de données, SQL\Oracle\Oracle PL-SQL Programming (6th ed, 2014) - [O'Reilly] - Steven Feuerstein, Bill Pribyl.epub</t>
  </si>
  <si>
    <t>W:\Livres\Informatique\Bases de données, SQL\Oracle\Oracle PL-SQL Programming (6th ed, 2014) - [O'Reilly] - Steven Feuerstein, Bill Pribyl.pdf</t>
  </si>
  <si>
    <t>W:\Livres\Informatique\Bases de données, SQL\Oracle\Oracle RMAN Pocket Reference (2001) {Dump} - [O'Reilly] - Darl Kuhn, Scott Schulze.pdf</t>
  </si>
  <si>
    <t>W:\Livres\Informatique\Bases de données, SQL\Oracle\Oracle SQL Loader, The Definitive Guide (2001) - [O'Reilly] - Jonathan Gennick and Sanjay Mishra.pdf</t>
  </si>
  <si>
    <t>W:\Livres\Informatique\Bases de données, SQL\Oracle\Oracle SQL Tuning Pocket (2002) {Dump} - [O'Reilly] - Mark Gurry.pdf</t>
  </si>
  <si>
    <t>W:\Livres\Informatique\Bases de données, SQL\Oracle\Oracle SQL, The Essential Reference (2000) - [O'reilly] - David Kreines.pdf</t>
  </si>
  <si>
    <t>W:\Livres\Informatique\Bases de données, SQL\Oracle\SQL pour Oracle, Applications avec Java, PHP, XML (3è ed, 2008) - [Eyrolles] - Christian Soutou.pdf</t>
  </si>
  <si>
    <t>W:\Livres\Informatique\Bases de données, SQL\Oracle\UNIX for Oracle DBAs Pocket Reference (2001) {Dump} - [O'Reilly] - Donald K. Burleson.pdf</t>
  </si>
  <si>
    <t>W:\Livres\Informatique\Bases de données, SQL\Programming Entity Framework, Code First (2012) - [O'Reilly] - Julia Lerman, Rowan Miller.pdf</t>
  </si>
  <si>
    <t>W:\Livres\Informatique\Bases de données, SQL\Programming Entity Framework, DbContext (2012) - [O'Reilly] - Julia Lerman and Rowan Miller.pdf</t>
  </si>
  <si>
    <t>W:\Livres\Informatique\Build Your Own Firefox Extension (2009) - [Sitepoint] - James Edwards.pdf</t>
  </si>
  <si>
    <t>W:\Livres\Informatique\Camel in Action (2011) - [Manning] - Claus Ibsen, Jonathan Anstey.pdf</t>
  </si>
  <si>
    <t>W:\Livres\Informatique\Cloud\Microsoft Azure\Bring the cloud to your datacenter Microsoft Azure Stack (2016) - [Microsoft].pdf</t>
  </si>
  <si>
    <t>W:\Livres\Informatique\Cloud\Microsoft Azure\Continuous deployment using Microsoft Azure Web Sites (2014) {Whitepaper} - [Microsoft].pdf</t>
  </si>
  <si>
    <t>W:\Livres\Informatique\Cloud\Microsoft Azure\Introducing Microsoft Azure Hindsight (2014) - [Microsoft Press] - Chauhuan, Fontama, Hart, Hyong Tok, Woody.epub</t>
  </si>
  <si>
    <t>W:\Livres\Informatique\Cloud\Microsoft Azure\Introducing Microsoft Azure Hindsight (2014) - [Microsoft Press] - Chauhuan, Fontama, Hart, Hyong Tok, Woody.pdf</t>
  </si>
  <si>
    <t>W:\Livres\Informatique\Cloud\Microsoft Azure\Introducing Windows Azure for IT Professionals (2013) - [Microsoft Press] - Mitch Tulloch.epub</t>
  </si>
  <si>
    <t>W:\Livres\Informatique\Cloud\Microsoft Azure\Introducing Windows Azure for IT Professionals (2013) - [Microsoft Press] - Mitch Tulloch.pdf</t>
  </si>
  <si>
    <t>W:\Livres\Informatique\Cloud\Microsoft Azure\Microsoft Azure Essentials, Azure Automation (2015) - [Microsoft Press] - Michael McKeown.epub</t>
  </si>
  <si>
    <t>W:\Livres\Informatique\Cloud\Microsoft Azure\Microsoft Azure Essentials, Azure Automation (2015) - [Microsoft Press] - Michael McKeown.pdf</t>
  </si>
  <si>
    <t>W:\Livres\Informatique\Cloud\Microsoft Azure\Microsoft Azure Essentials, Azure Machine Learning (2015) - [Microsoft Press] - Jeff Barnes.epub</t>
  </si>
  <si>
    <t>W:\Livres\Informatique\Cloud\Microsoft Azure\Microsoft Azure Essentials, Azure Machine Learning (2015) - [Microsoft Press] - Jeff Barnes.pdf</t>
  </si>
  <si>
    <t>W:\Livres\Informatique\Cloud\Microsoft Azure\Microsoft Azure Essentials, Azure Web Apps for Developers (2015) - [Microsoft Press] - Rick Rainey.epub</t>
  </si>
  <si>
    <t>W:\Livres\Informatique\Cloud\Microsoft Azure\Microsoft Azure Essentials, Azure Web Apps for Developers (2015) - [Microsoft Press] - Rick Rainey.pdf</t>
  </si>
  <si>
    <t>W:\Livres\Informatique\Cloud\Microsoft Azure\Microsoft Azure Essentials, Fundamentals of Azure (2015) - [Microsoft Press] - Michael Collier, Robin Shahan.epub</t>
  </si>
  <si>
    <t>W:\Livres\Informatique\Cloud\Microsoft Azure\Microsoft Azure Essentials, Fundamentals of Azure (2015) - [Microsoft Press] - Michael Collier, Robin Shahan.pdf</t>
  </si>
  <si>
    <t>W:\Livres\Informatique\Cloud\Programming Google App Engine (2010) - [O'Reilly] - Dan Sanderson.pdf</t>
  </si>
  <si>
    <t>W:\Livres\Informatique\Développement\Android Dev\Android Programming Guide, Android App Development (2nd ed, 2015) - OS Swift.pdf</t>
  </si>
  <si>
    <t>W:\Livres\Informatique\Développement\Android Dev\Beginning Android 4 Application Development (2012) - [Wiley] - Wei-Meng Lee.pdf</t>
  </si>
  <si>
    <t>W:\Livres\Informatique\Développement\Android Dev\Building Android Apps with HTML CSS and JavaScript (2nd ed, 2012) - [O'Reilly] - Jonathan Stark.pdf</t>
  </si>
  <si>
    <t>W:\Livres\Informatique\Développement\Android Dev\Cookbook développement Android 4 (2013) - [Dunod] - Gosset, Impérial, Pybourdin, Zynovieff.pdf</t>
  </si>
  <si>
    <t>W:\Livres\Informatique\Développement\Android Dev\Cookbook développement Android 4 (2013), Sources Android.zip</t>
  </si>
  <si>
    <t>W:\Livres\Informatique\Développement\Android Dev\Créez des applications pour Android (2012) - [Le site du zéro] - AndroWiiid, Frédéric Espiau.pdf</t>
  </si>
  <si>
    <t>W:\Livres\Informatique\Développement\Android Dev\Hackez Google Android, Introduction à la programmation système (2009) - [Eyrolles] - Frédéric Brault.pdf</t>
  </si>
  <si>
    <t>W:\Livres\Informatique\Développement\Android Dev\Learn HTML5 and JavaScript for Android (2012) - [Apress] - Gavin Williams.pdf</t>
  </si>
  <si>
    <t>W:\Livres\Informatique\Développement\Android Dev\Programmation Android, De la conception au déploiement avec le SDK Google Android 2 (2010) - [Eyrolles] - Guignard, Chable, Robles.pdf</t>
  </si>
  <si>
    <t>W:\Livres\Informatique\Développement\Compilers\Advanced Compiler Design and Implementation (1997) - [Morgan Kaufmann] - Steven S. Muchnick.djvu</t>
  </si>
  <si>
    <t>W:\Livres\Informatique\Développement\Compilers\An Introduction to Compiler Construction (1993) - [Harper Collins] - William M. Waite, Lynn Robert Carter.djvu</t>
  </si>
  <si>
    <t>W:\Livres\Informatique\Développement\Compilers\Basics of Compiler Design (2007) - [DIKU] - Torben Ægidius Mogensen.pdf</t>
  </si>
  <si>
    <t>W:\Livres\Informatique\Développement\Compilers\Compiler Design in C (1990) - [Prentice Hall] - Allen I. Holub.djvu</t>
  </si>
  <si>
    <t>W:\Livres\Informatique\Développement\Compilers\Compiler Techniques (1972) - [Auerbach] - Bary W. Pollack.djvu</t>
  </si>
  <si>
    <t>W:\Livres\Informatique\Développement\Compilers\Compilers, Principles, Techniques, and Tools (2nd ed, 2007) - [Addison-Wesley] - Alfred V. Aho, Monica S. Lam, Ravi Sethi, Jeffrey D. Ullman.pdf</t>
  </si>
  <si>
    <t>W:\Livres\Informatique\Développement\Compilers\Engineering a Compiler (2nd ed, 2012) - [Elsevier] - Keith Cooper, Linda Torczon.pdf</t>
  </si>
  <si>
    <t>W:\Livres\Informatique\Développement\Compilers\Linkers and Loaders (2000) - [Morgan Kaufmann] - John R. Levine.djvu</t>
  </si>
  <si>
    <t>W:\Livres\Informatique\Développement\Compilers\Modern Compiler Implementation in C (1998) - [Cambridge] - Andrew W. Appel.djvu</t>
  </si>
  <si>
    <t>W:\Livres\Informatique\Développement\Compilers\Object-Oriented Compiler Construction (1995) - [Prentice Hall] - Jim Holmes.djvu</t>
  </si>
  <si>
    <t>W:\Livres\Informatique\Développement\Compilers\The Design and Construction of Compilers (1981) - [Wiley] - Robin Hunter.djvu</t>
  </si>
  <si>
    <t>W:\Livres\Informatique\Développement\Compilers\The Theory and Practice of Compiler Writing (1985) - [McGraw-Hill] - Jean-Paul Tremblay, Paul G. Sorenson.djvu</t>
  </si>
  <si>
    <t>W:\Livres\Informatique\Développement\Compilers\Understanding and Writing Compilers (2008) - Richard Bornat.pdf</t>
  </si>
  <si>
    <t>W:\Livres\Informatique\Développement\Compilers\Writing Interactive Compilers and Interpreters (1979) - [Wiley] - P.J. Brown.djvu</t>
  </si>
  <si>
    <t>W:\Livres\Informatique\Développement\Debugging\Debugging with GDB 5.1.1 (9th ed, 2002) - [GNU Press] - Richard Stallman, Roland Pesch, Stan Shebs et al.pdf</t>
  </si>
  <si>
    <t>W:\Livres\Informatique\Développement\Debugging\GDB Quick Reference for version 4 (1998) - [Free Software Foundation] - Roland H. Pesch.pdf</t>
  </si>
  <si>
    <t>W:\Livres\Informatique\Développement\Debugging\Memory Dump Analysis Anthology, Volume 1 (2008) - [Open Task] - Dmitry Vostokov.pdf</t>
  </si>
  <si>
    <t>W:\Livres\Informatique\Développement\Debugging\Why Programs Fail, A Guide to Systematic Debugging (2nd ed, 2009) - [Elsevier] - Andreas Zeller.pdf</t>
  </si>
  <si>
    <t>W:\Livres\Informatique\Développement\Développement de jeux\A Theory of Fun for Game Design (2005) {Scan} - [Paraglyph] - Raph Koster.pdf</t>
  </si>
  <si>
    <t>W:\Livres\Informatique\Développement\Développement de jeux\Android Game Programming for Dummies (2013) - [Wiley] - Derek James.pdf</t>
  </si>
  <si>
    <t>W:\Livres\Informatique\Développement\Développement de jeux\Beginning .Net Game Programming in VB.Net (2004) - [Apress] - David Weller, Alexandre Santos Lobão, Ellen Hatton.pdf</t>
  </si>
  <si>
    <t>W:\Livres\Informatique\Développement\Développement de jeux\Beginning C++ Through Game Programming (3rd ed, 2011) - [Cengage Learning] - Michael Dawson.pdf</t>
  </si>
  <si>
    <t>W:\Livres\Informatique\Développement\Développement de jeux\Beginning iPhone Games Development (2010) - [Apress] - Bakhirev, Cabrera, Marsh, Penberthy, Smith, Wing.pdf</t>
  </si>
  <si>
    <t>W:\Livres\Informatique\Développement\Développement de jeux\Beginning Java SE 6 Game Programming (3rd ed, 2012) - [Cengage Learning] - Jonathan S. Harbour.pdf</t>
  </si>
  <si>
    <t>W:\Livres\Informatique\Développement\Développement de jeux\C# Game Programming for Serious Game Creation (2011) - [Cengage Learning] - Daniel Schuller.pdf</t>
  </si>
  <si>
    <t>W:\Livres\Informatique\Développement\Développement de jeux\Comment devenir programmeur de jeux vidéo, Guide de survie - David Mekersa.pdf</t>
  </si>
  <si>
    <t>W:\Livres\Informatique\Développement\Développement de jeux\Core Techniques and Algorithms in Game Programming (2003) {Dump} - [New Riders Publishing] - Daniel Sánchez-Crespo.pdf</t>
  </si>
  <si>
    <t>W:\Livres\Informatique\Développement\Développement de jeux\Créez des jeux de A à Z avec Unity (2015) - [D-BookeR] - Anthony Cardinale.pdf</t>
  </si>
  <si>
    <t>W:\Livres\Informatique\Développement\Développement de jeux\Data Structures and Algorithms for Game Developers (2007) - [Charles River Media] - Allen Sherrod.pdf</t>
  </si>
  <si>
    <t>W:\Livres\Informatique\Développement\Développement de jeux\Développer des jeux en HTML5 et JavaScript (2013) - [Eyrolles] - Samuel Ronce.pdf</t>
  </si>
  <si>
    <t>W:\Livres\Informatique\Développement\Développement de jeux\GameMaker Studio for Dummies (2014) - [Wiley] - Michael Rohde.pdf</t>
  </si>
  <si>
    <t>W:\Livres\Informatique\Développement\Développement de jeux\Invent Your Own Computer Games with Python (2nd ed, 2010) - Al Sweigart.pdf</t>
  </si>
  <si>
    <t>W:\Livres\Informatique\Développement\Développement de jeux\Level Up! The Guide to Great Video Game Design (2010) - [Wiley] - Scott Rogers.pdf</t>
  </si>
  <si>
    <t>W:\Livres\Informatique\Développement\Développement de jeux\Making Games with Python &amp; Pygame (2012) - Al Sweigart.pdf</t>
  </si>
  <si>
    <t>W:\Livres\Informatique\Développement\Développement de jeux\Physics for Game Developers (2002) {Scan} - [O'Reilly] - David M. Bourg.pdf</t>
  </si>
  <si>
    <t>W:\Livres\Informatique\Développement\Développement de jeux\Pro Android Web Game Apps (2012) - [Apress] - Juriy Bura, Paul Coates.pdf</t>
  </si>
  <si>
    <t>W:\Livres\Informatique\Développement\Développement de jeux\Procedural Content Generation for C++ Game Development (2016) - [Packt] - Dale Green.pdf</t>
  </si>
  <si>
    <t>W:\Livres\Informatique\Développement\Développement de jeux\Procedural Content Generation for C++ Game Development (2016) - Dale Green.epub</t>
  </si>
  <si>
    <t>W:\Livres\Informatique\Développement\Développement de jeux\Rules of Play, Game Design Fundamentals (2004) {Weird page numbering} - [MIT Press] - Katie Salen, Eric Zimmerman.pdf</t>
  </si>
  <si>
    <t>W:\Livres\Informatique\Développement\Développement de jeux\Scratch 2.0 Game Development Hotshot - [Packt] - Sergio van Pul, Jessica Chiang.pdf</t>
  </si>
  <si>
    <t>W:\Livres\Informatique\Développement\Développement de jeux\SDL 2.0 Game Development (2013) - [Packt] - Shaun Mitchell.pdf</t>
  </si>
  <si>
    <t>W:\Livres\Informatique\Développement\Développement de jeux\The Art of Game Design, A Book of Lenses (2008) - [Elsevier] - Jesse Schell.pdf</t>
  </si>
  <si>
    <t>W:\Livres\Informatique\Développement\Git\Pro Git (2009) - Scott Chacon.pdf</t>
  </si>
  <si>
    <t>W:\Livres\Informatique\Développement\Git\Version Control with Git (2nd ed, 2012) - [O'Reilly] - Jon Loeliger, Matthew McCullough.pdf</t>
  </si>
  <si>
    <t>W:\Livres\Informatique\Développement\HLSL Development Cookbook (2013) - [Packt] - Doron Feinstein.pdf</t>
  </si>
  <si>
    <t>W:\Livres\Informatique\Développement\iOS Dev\Beginning iOS Application Development with HTML and JavaScript (2012) - [Wiley] - Richard Wagner.pdf</t>
  </si>
  <si>
    <t>W:\Livres\Informatique\Développement\iOS Dev\Cookbook Développement iOS 7 (2013) - [Dunod] - Zinovieff, Pybourdin, Impérial, Gosset.pdf</t>
  </si>
  <si>
    <t>W:\Livres\Informatique\Développement\iText in Action (2nd ed, 2011) - [Manning] - Bruno Lowagie.pdf</t>
  </si>
  <si>
    <t>W:\Livres\Informatique\Développement\iText in Action (2007) - [Manning] - Bruno Lowagie.pdf</t>
  </si>
  <si>
    <t>W:\Livres\Informatique\Développement\Latex\A Guide to Latex and Electronic Publishing (4th ed, 2004) - [Addison-Wesley] - Helmut Kopka, Patrick W. Daly.pdf</t>
  </si>
  <si>
    <t>W:\Livres\Informatique\Développement\Latex\A Simplified Introduction to LaTeX (1999) - Harvey J. Greenberg.pdf</t>
  </si>
  <si>
    <t>W:\Livres\Informatique\Développement\Latex\Latex en sciences humaines (2012) - [Atramenta] - Maïeul Rouquette.pdf</t>
  </si>
  <si>
    <t>W:\Livres\Informatique\Développement\Latex\Learning Latex (1997) {Scan} - [Siam] - David F. Griffiths, Desmond J. Higham.pdf</t>
  </si>
  <si>
    <t>W:\Livres\Informatique\Développement\Latex\Math into LaTeX, Introduction to LaTeX and AMS-LaTeX (1996) - [Birkhauser] - George Grätzer.pdf</t>
  </si>
  <si>
    <t>W:\Livres\Informatique\Développement\Latex\The TeXbook (1991) - [Addison-Wesley] - Donald Knuth.pdf</t>
  </si>
  <si>
    <t>W:\Livres\Informatique\Développement\Latex\Tout ce que vous avez toujours voulu savoir sur Latex sans jamais oser le demander (2013) - [Framabook] - Vincent Lozano.pdf</t>
  </si>
  <si>
    <t>W:\Livres\Informatique\Développement\Linux Dev\Advanced Bash-Scripting Guide v10 (2014) - Mendel Cooper.pdf</t>
  </si>
  <si>
    <t>W:\Livres\Informatique\Développement\Linux Dev\Advanced Linux Programming (2001) - [New Riders] - Mark Mitchell, Jeffrey Oldham, Alex Samuel.pdf</t>
  </si>
  <si>
    <t>W:\Livres\Informatique\Développement\Linux Dev\Bash, Le livre de recettes (2007) - [O'Reilly] - Albing, Vossen, Newham.pdf</t>
  </si>
  <si>
    <t>W:\Livres\Informatique\Développement\Linux Dev\Beginning Linux Programming (3rd ed, 2004) - [Wiley] - Neil Matthew, Richard Stones.pdf</t>
  </si>
  <si>
    <t>W:\Livres\Informatique\Développement\Linux Dev\Beginning Linux Programming (4th ed, 2008) - [Wiley] - Neil Matthew, Richard Stones.pdf</t>
  </si>
  <si>
    <t>W:\Livres\Informatique\Développement\Linux Dev\Expert Shell Scripting (2009) - [Apress] - Ron Peters.pdf</t>
  </si>
  <si>
    <t>W:\Livres\Informatique\Développement\Linux Dev\Guide avancé d'écriture des scripts Bash 5.3 (2008) - Mendel Cooper.pdf</t>
  </si>
  <si>
    <t>W:\Livres\Informatique\Développement\Linux Dev\Linux Command Line and Shell Scripting Bible (2nd ed, 2011) - [Wiley] - Richard Blum, Christine Bresnahan.pdf</t>
  </si>
  <si>
    <t>W:\Livres\Informatique\Développement\Linux Dev\Linux Command Line and Shell Scripting Bible (3rd ed, 2015) - [Wiley] - Richard Blum, Christine Bresnahan.pdf</t>
  </si>
  <si>
    <t>W:\Livres\Informatique\Développement\Linux Dev\Linux Complete Command Reference (1997) - [Red Hat Press] - J. Purcell.pdf</t>
  </si>
  <si>
    <t>W:\Livres\Informatique\Développement\Linux Dev\Linux Device Drivers (2nd ed, 2001) - [O'Reilly] - Alessandro Rubini, Jonathan Corbet.pdf</t>
  </si>
  <si>
    <t>W:\Livres\Informatique\Développement\Linux Dev\Linux Device Drivers (3rd ed, 2005) - [O'Reilly] - Jonathan Corbet, Alessandro Rubini, Greg Kroah-Hartman.pdf</t>
  </si>
  <si>
    <t>W:\Livres\Informatique\Développement\Linux Dev\Linux System Programming, Talking directly to the Kernel and C library (2007) - [O'Reilly] - Robert Love.pdf</t>
  </si>
  <si>
    <t>W:\Livres\Informatique\Développement\Linux Dev\Pro Bash Programming (1st ed, 2009) - [Apress] - Johnson, Varma.pdf</t>
  </si>
  <si>
    <t>W:\Livres\Informatique\Développement\Linux Dev\Pro Bash Programming (2nd ed, 2015) - [Apress] - Johnson, Varma.pdf</t>
  </si>
  <si>
    <t>W:\Livres\Informatique\Développement\Linux Dev\Professional Linux Programming (2007) - [Wiley] - Jon Masters, Richard Blum.pdf</t>
  </si>
  <si>
    <t>W:\Livres\Informatique\Développement\Linux Dev\Programmation système en C sous Linux (2000) - [Eyrolles] - Christophe Blaess.pdf</t>
  </si>
  <si>
    <t>W:\Livres\Informatique\Développement\Linux Dev\Shell Scripting (2011) - [Wiley] - Steve Parker.pdf</t>
  </si>
  <si>
    <t>W:\Livres\Informatique\Développement\Linux Dev\Shells Linux et Unix par la pratique (2008) - [Eyrolles] - Christophe Blaess.pdf</t>
  </si>
  <si>
    <t>W:\Livres\Informatique\Développement\Linux Dev\The Linux Command Line, A Complete Introduction (2012) - [No Starch] - William Shotts.pdf</t>
  </si>
  <si>
    <t>W:\Livres\Informatique\Développement\Linux Dev\The Linux Kernel Module Programming Guide (2007) - Peter Jay Salzman, Michael Burian, Ori Pomerantz.pdf</t>
  </si>
  <si>
    <t>W:\Livres\Informatique\Développement\Linux Dev\Unix and Shell Programming (2013) - [Oxford] - B.M. Harwani.pdf</t>
  </si>
  <si>
    <t>W:\Livres\Informatique\Développement\Linux Dev\Unix Network Programming Volume 2, Interprocess Communications (1998) {Scan} - [Prentice Hall] - W. Richard Stevens.pdf</t>
  </si>
  <si>
    <t>W:\Livres\Informatique\Développement\Mac OS Dev\Advanced Mac OS X Programming (2011) - [Big nerd ranch] - Mark Dalrymple.pdf</t>
  </si>
  <si>
    <t>W:\Livres\Informatique\Développement\Mac OS Dev\Beginning Mac Programming, Develop with Objective-C and Cocoa (2010) - [The Pragmatic Programmers] - Tim Isted.pdf</t>
  </si>
  <si>
    <t>W:\Livres\Informatique\Développement\Mac OS Dev\Cocoa and Objective C, Up and Running (2010) - [O'Reilly] - Scott Stevenson.pdf</t>
  </si>
  <si>
    <t>W:\Livres\Informatique\Développement\Mac OS Dev\Cocoa Developer Reference (2010) - [Wiley] - Richard Wentk.pdf</t>
  </si>
  <si>
    <t>W:\Livres\Informatique\Développement\Mac OS Dev\Cocoa Programming Developer's Handbook (2010) - [Addison-Wesley] - David Chisnall.pdf</t>
  </si>
  <si>
    <t>W:\Livres\Informatique\Développement\Mac OS Dev\Cocoa Programming, A Quick Start Guide for Developers (2010) - [The Pragmatic Programmers] - Daniel H Steinberg.pdf</t>
  </si>
  <si>
    <t>W:\Livres\Informatique\Développement\Mac OS Dev\Cocoa Recipes for Mac OS X (2nd ed, 2010) - [Peachpit] - Bill Cheeseman.pdf</t>
  </si>
  <si>
    <t>W:\Livres\Informatique\Développement\Mac OS Dev\Concurrent Programming in Mac OS X and iOS with Grand Central Dispatch (2011) - [O'Reilly] - Vandad Nahavandipoor.pdf</t>
  </si>
  <si>
    <t>W:\Livres\Informatique\Développement\Mac OS Dev\Mac Programming for Absolute Beginners (2011) - [Apress] - Wallace Wang.pdf</t>
  </si>
  <si>
    <t>W:\Livres\Informatique\Développement\Mac OS Dev\Mastering Xcode 4, Develop and Design (2012) - [Peachpit] - Joshua Nozzi.pdf</t>
  </si>
  <si>
    <t>W:\Livres\Informatique\Développement\Mac OS Dev\Xcode 3 Unleashed (2009) - [Sams] - Fritz Anderson.pdf</t>
  </si>
  <si>
    <t>W:\Livres\Informatique\Développement\Multicore Programming, Parallel Computing\How to Write Parallel Programs, A First Course (1990) - [MIT Press] - Nicholas Carriero, David Gelernter.pdf</t>
  </si>
  <si>
    <t>W:\Livres\Informatique\Développement\Multicore Programming, Parallel Computing\Intel Threading Building Blocks, Outfitting C++ for Multi-Core Processor Parallelism (2007) - [O'Reilly] - James Reinders.pdf</t>
  </si>
  <si>
    <t>W:\Livres\Informatique\Développement\Multicore Programming, Parallel Computing\Parallel Programming for Multicore and Cluster Systems (2010) - [Springer] - Thomas Rauber, Gudula Rünger.pdf</t>
  </si>
  <si>
    <t>W:\Livres\Informatique\Développement\Multicore Programming, Parallel Computing\Parallel Scientific Computing in C++ and MPI (2003) - [Cambridge] - George Karniadakis, Robert Kirby.pdf</t>
  </si>
  <si>
    <t>W:\Livres\Informatique\Développement\Multicore Programming, Parallel Computing\Patterns for Parallel Programming {Dump} - Timothy G. Mattson, Beverly A. Sanders, Berna L. Massingill.pdf</t>
  </si>
  <si>
    <t>W:\Livres\Informatique\Développement\Multicore Programming, Parallel Computing\Programming Massively Parallel Processors (2010) - [Elsevier] - David B. Kirk, Wen-mei W. Hwu.pdf</t>
  </si>
  <si>
    <t>W:\Livres\Informatique\Développement\Multicore Programming, Parallel Computing\Sourcebook of Parallel Computing (2003) - [Elsevier] - Dongarra, Foster, Fox, Gropp, Kennedy, Torczon, White.pdf</t>
  </si>
  <si>
    <t>W:\Livres\Informatique\Développement\Multicore Programming, Parallel Computing\The Art of Multiprocessor Programming (2008) - [Elsevier] - Maurice Herlihy, Nir Shavit.pdf</t>
  </si>
  <si>
    <t>W:\Livres\Informatique\Développement\Regular Expressions, sed, awk, grep\Beginning Regular Expressions (2005) - [Wiley] - Andrew Watt.pdf</t>
  </si>
  <si>
    <t>W:\Livres\Informatique\Développement\Regular Expressions, sed, awk, grep\Effective awk Programming (3rd ed, 2001) - [O'Reilly] - Arnold Robbins.pdf</t>
  </si>
  <si>
    <t>W:\Livres\Informatique\Développement\Regular Expressions, sed, awk, grep\grep Pocket Reference (2009) - [O'Reilly] - John Bambenek, Agnieszka Klus.pdf</t>
  </si>
  <si>
    <t>W:\Livres\Informatique\Développement\Regular Expressions, sed, awk, grep\Mastering Regular Expressions (3rd ed, 2006) - [O'Reilly] - Jeffrey Friedl.pdf</t>
  </si>
  <si>
    <t>W:\Livres\Informatique\Développement\Regular Expressions, sed, awk, grep\Mastering Regular Expressions, Java {Excerpt §8} - [O'Reilly] - Jeffrey E. F. Friedl.pdf</t>
  </si>
  <si>
    <t>W:\Livres\Informatique\Développement\Regular Expressions, sed, awk, grep\Parsing Techniques, A Practical Guide (2nd ed, 2008) - [Springer] - Dick Grune, Ceriel J.H. Jacobs.pdf</t>
  </si>
  <si>
    <t>W:\Livres\Informatique\Développement\Regular Expressions, sed, awk, grep\Regular Expression Pocket Reference (2nd ed, 2007) - [O'Reilly] - Tony Stubblebine.pdf</t>
  </si>
  <si>
    <t>W:\Livres\Informatique\Développement\Regular Expressions, sed, awk, grep\Regular Expressions Cookbook (2009) - [O'Reilly] - Jan Goyvaerts, Steven Levithan.pdf</t>
  </si>
  <si>
    <t>W:\Livres\Informatique\Développement\Regular Expressions, sed, awk, grep\sed &amp; awk (2nd ed, 1997) {Dump} - [O'Reilly] - Dale Dougherty, Arnold Robbins.pdf</t>
  </si>
  <si>
    <t>W:\Livres\Informatique\Développement\UI, UX\C++ GUI Programming with Qt 3 (2004) - [Prentice Hall] - Jasmin Blanchette, Mark Summerfield.pdf</t>
  </si>
  <si>
    <t>W:\Livres\Informatique\Développement\UI, UX\Débuter dans la création d'interfaces graphiques avec Qt 4 (2011) - [Développez.com].pdf</t>
  </si>
  <si>
    <t>W:\Livres\Informatique\Développement\UI, UX\Design d'expérience utilisateur, Principes et méthodes UX (2è ed, 2015) - [Eyrolles] - Sylvie Daumal.pdf</t>
  </si>
  <si>
    <t>W:\Livres\Informatique\Développement\UI, UX\Ergonomie des interfaces (5è ed, 2013) - [Dunod] - Nogier, Bouillot, Leclerc.pdf</t>
  </si>
  <si>
    <t>W:\Livres\Informatique\Développement\UI, UX\Méthodes de design UX (2016) - [Eyrolles] - Lallemand, Gronier.epub</t>
  </si>
  <si>
    <t>W:\Livres\Informatique\Développement\UI, UX\Méthodes de design UX (2016) - [Eyrolles] - Lallemand, Gronier.pdf</t>
  </si>
  <si>
    <t>W:\Livres\Informatique\Développement\UI, UX\Microsoft User Interaction Experience Guidelines (2010) {Web document} - [Microsoft] - Windows Vista and 7.pdf</t>
  </si>
  <si>
    <t>W:\Livres\Informatique\Développement\UI, UX\Qt4 et C++, Programmation d'interfaces GUI (2009) - [Pearson] - Jasmin Blanchette, Mark Summerfield.pdf</t>
  </si>
  <si>
    <t>W:\Livres\Informatique\Développement\UI, UX\Rapid GUI Programming with Python and Qt, The Definitive Guide to PyQt Programming (2007) {Rough cuts} - [Prentice Hall] - Mark Summerfield.pdf</t>
  </si>
  <si>
    <t>W:\Livres\Informatique\Développement\UML\UML 2 par la pratique, Études de cas et exercices corrigées (5è ed, 2006) - [Eyrolles] - Pascal Roques.pdf</t>
  </si>
  <si>
    <t>W:\Livres\Informatique\Développement\UML\UML 2 pour les bases de données (2007) - [Eyrolles] - Christian Soutou.pdf</t>
  </si>
  <si>
    <t>W:\Livres\Informatique\Développement\UML\UML 2 pour les développeurs, Cours avec exercices corrigés (2006) - [Eyrolles] - Xavier Blanc, Isabelle Mounier.pdf</t>
  </si>
  <si>
    <t>W:\Livres\Informatique\Développement\UML\UML Weekend Crash Course - [Wiley] - Thomas Pender.pdf</t>
  </si>
  <si>
    <t>W:\Livres\Informatique\Développement\Vi, Emacs\GNU Emacs Pocket Reference (1999) - [O'Reilly] - Debra Cameron.pdf</t>
  </si>
  <si>
    <t>W:\Livres\Informatique\Développement\Vi, Emacs\Hacking Vim (2007) - [Packt] - Kim Schulz.pdf</t>
  </si>
  <si>
    <t>W:\Livres\Informatique\Développement\Vi, Emacs\Learning the vi and Vim Editors (7th ed, 2008) - [O'Reilly] - Arnold Robbins, Elbert Hannah, Linda Lamb.pdf</t>
  </si>
  <si>
    <t>W:\Livres\Informatique\Développement\Vi, Emacs\Learning the vi Editor (6th ed, 1998) {Dump} - [O'Reilly] - Linda Lamb, Arnold Robbins.pdf</t>
  </si>
  <si>
    <t>W:\Livres\Informatique\Développement\Vi, Emacs\Use Vim Like a Pro (2014) - Tim Ottinger.pdf</t>
  </si>
  <si>
    <t>W:\Livres\Informatique\Développement\Vi, Emacs\Vim book.pdf</t>
  </si>
  <si>
    <t>W:\Livres\Informatique\Développement\Windows Dev\ADO ActiveX Data Objects (2001) {Dump} - [O'Reilly] - Jason T. Roff.pdf</t>
  </si>
  <si>
    <t>W:\Livres\Informatique\Développement\Windows Dev\COM and .Net Component Services (2001) - [O'Reilly] - Juval Lowy.pdf</t>
  </si>
  <si>
    <t>W:\Livres\Informatique\Développement\Windows Dev\Développement Windows 8, Créer des applications pour le Windows Store (2013) - [Eyrolles] - Morand, Vo Van, Zanchetta.pdf</t>
  </si>
  <si>
    <t>W:\Livres\Informatique\Développement\Windows Dev\Programming Windows (5th ed, 1998) {Dump} - [Microsoft Press] - Charles Petzold.pdf</t>
  </si>
  <si>
    <t>W:\Livres\Informatique\Développement\Windows Dev\Programming Windows 8 Apps with HTML CSS and Javascript (2012) - [Microsoft Press] - Kraig Brockschmidt.epub</t>
  </si>
  <si>
    <t>W:\Livres\Informatique\Développement\Windows Dev\Programming Windows 8 Apps with HTML CSS and Javascript (2012) - [Microsoft Press] - Kraig Brockschmidt.pdf</t>
  </si>
  <si>
    <t>W:\Livres\Informatique\Développement\Windows Dev\Programming Windows Phone 7, Microsoft XNA Framework Edition (2010) - [Microsoft Press] - Charles Petzold.pdf</t>
  </si>
  <si>
    <t>W:\Livres\Informatique\Développement\Windows Dev\Programming Windows Store Apps with HTML, CSS and JavaScript (2nd ed, 2014) - [Microsoft Press] - Kraig Brockschmidt.epub</t>
  </si>
  <si>
    <t>W:\Livres\Informatique\Développement\Windows Dev\Programming Windows Store Apps with HTML, CSS and JavaScript (2nd ed, 2014) - [Microsoft Press] - Kraig Brockschmidt.pdf</t>
  </si>
  <si>
    <t>W:\Livres\Informatique\Développement\Windows Dev\Programming Windows with Win32 API (5th ed, 1998) {Dump} - [Microsoft Press] - Charles Petzold.pdf</t>
  </si>
  <si>
    <t>W:\Livres\Informatique\Développement\Windows Dev\Programming Windows, Writing Windows 8 Apps with C# and XAML (6th ed, 2013) - [Microsoft Press] - Charles Petzold.pdf</t>
  </si>
  <si>
    <t>W:\Livres\Informatique\Développement\Windows Dev\Scripting Windows, Automatiser les taches d'administration (2005) - [Eyrolles] - Antoine Habert, Cédric Bravo.pdf</t>
  </si>
  <si>
    <t>W:\Livres\Informatique\Développement\Windows Dev\WCF\Essential Windows Communication Foundation for .Net Framework 3.5 (2008) - [Addison-Wesley] - Steve Resnick, Richard Crane, Chris Bowen.pdf</t>
  </si>
  <si>
    <t>W:\Livres\Informatique\Développement\Windows Dev\WCF\Professional WCF Programming (2007) - [Wiley] - Scott Klein.pdf</t>
  </si>
  <si>
    <t>W:\Livres\Informatique\Développement\Windows Dev\WCF\Programming WCF Services (3rd ed, 2010) - [O'Reilly] - Juval Löwy.pdf</t>
  </si>
  <si>
    <t>W:\Livres\Informatique\Développement\Windows Dev\Windows NT File System Internals, A Developer's Guide (1997) - [O'Reilly] - Rajeev Nagar.pdf</t>
  </si>
  <si>
    <t>W:\Livres\Informatique\Développement\Windows Dev\Windows System Programming (4th ed, 2010) - [Addison-Wesley] - Johnson M. Hart.pdf</t>
  </si>
  <si>
    <t>W:\Livres\Informatique\Développement\Windows Dev\WPF\Essential Windows Presentation Foundation (2007) - [Addison-Wesley] - Chris Anderson.pdf</t>
  </si>
  <si>
    <t>W:\Livres\Informatique\Développement\Windows Dev\WPF\Pro WPF in C# 2010 (2010) - [Apress] - Matthew MacDonald.pdf</t>
  </si>
  <si>
    <t>W:\Livres\Informatique\Développement\Windows Dev\WPF\Programming WPF (2nd ed, 2007) - [O'Reilly] - Chris Sells, Ian Griffiths.pdf</t>
  </si>
  <si>
    <t>W:\Livres\Informatique\Développement\Windows Dev\WPF\Windows Presentation Foundation Unleashed (2007) - [Sams] - Adam Nathan.pdf</t>
  </si>
  <si>
    <t>W:\Livres\Informatique\Développement\Windows Dev\WPF\WPF 4 Unleashed (2010) - [Sams] - Adam Nathan.pdf</t>
  </si>
  <si>
    <t>W:\Livres\Informatique\Développement\Windows Dev\WPF\WPF 4.5 Unleashed (2014) - [Sams] - Adam Nathan.epub</t>
  </si>
  <si>
    <t>W:\Livres\Informatique\Développement\Windows Dev\WPF\WPF Programmer's Reference, Windows Presentation Foundation with C# 2010 and .Net 4 (2010) - [Wiley] - Rod Stephens.pdf</t>
  </si>
  <si>
    <t>W:\Livres\Informatique\Développement\XML\Modélisation XML (2006) - [Eyrolles] - Antoine Lonjon Jean-Jacques Thomasson.pdf</t>
  </si>
  <si>
    <t>W:\Livres\Informatique\Développement\XML\Perl &amp; XML (2002) - [O'Reilly] - Eric T. Ray, Jason McIntosh.pdf</t>
  </si>
  <si>
    <t>W:\Livres\Informatique\Développement\XML\SAX2 (2002) - [O'Reilly] - David Brownell.pdf</t>
  </si>
  <si>
    <t>W:\Livres\Informatique\Développement\XML\XML 1.1 Bible (3rd ed, 2004) - [Wiley] - Elliotte Rusty Harold.pdf</t>
  </si>
  <si>
    <t>W:\Livres\Informatique\Développement\XML\XML Pocket Reference (2nd ed, 2001) - [O'Reilly] - Robert Eckstein, Michel Casabianca.pdf</t>
  </si>
  <si>
    <t>W:\Livres\Informatique\Développement\XML\XML pour l'édition (2011) - [Eyrolles] - Bernard Prost.pdf</t>
  </si>
  <si>
    <t>W:\Livres\Informatique\Développement\XML\XML Programming Bible (2003) - [Wiley] - Brian Benz.pdf</t>
  </si>
  <si>
    <t>W:\Livres\Informatique\Développement\XML\XML Schema (2002) {Dump} - [O'Reilly] - Eric van der Vlist.pdf</t>
  </si>
  <si>
    <t>W:\Livres\Informatique\Développement\XML\XML, Cours et exercices (2007) - [Eyrolles] - Alexandre Brillant.pdf</t>
  </si>
  <si>
    <t>W:\Livres\Informatique\Développement\XML\XML, Problem-Design-Solution (2006) - [Wiley] - Mitch Amiano, Conrad D'Cruz, Kay Ethier, Michael D. Thomas.pdf</t>
  </si>
  <si>
    <t>W:\Livres\Informatique\Développement\XML\XPath and XPointer (2002) {Dump} - [O'Reilly] - John E. Simpson.pdf</t>
  </si>
  <si>
    <t>W:\Livres\Informatique\Développement\XML\XSLT (2001) - [O'Reilly] - Doug Tidwell.pdf</t>
  </si>
  <si>
    <t>W:\Livres\Informatique\Digital Signal Processing\C Algorithms for Real-time DSP (1995) {Scan} - [Prentice Hall] - Paul M. Embree.pdf</t>
  </si>
  <si>
    <t>W:\Livres\Informatique\Digital Signal Processing\Digital Filter Designer's Handbook (1993) {Scan} - [McGraw-Hill] - C. Britton Rorabaugh.pdf</t>
  </si>
  <si>
    <t>W:\Livres\Informatique\Digital Signal Processing\Digital Image Processing, PIKS Inside (3rd ed, 2001) - [Wiley] - William K. Pratt.pdf</t>
  </si>
  <si>
    <t>W:\Livres\Informatique\Digital Signal Processing\Digital Signal Processing Handbook (1999) - [CRC Press].pdf</t>
  </si>
  <si>
    <t>W:\Livres\Informatique\Digital Signal Processing\Digital Signal Processing, An Experimental Approach (2008) - [Springer] - Shlomo Engelberg.pdf</t>
  </si>
  <si>
    <t>W:\Livres\Informatique\Digital Signal Processing\Practical Analog and Digital Filter Design (2004) - [Artech House] - Les Thede.pdf</t>
  </si>
  <si>
    <t>W:\Livres\Informatique\Digital Signal Processing\Real Time Digital Signal Processing (2001) - [Wiley] - Sen M. Kuo, Bob H. Lee.pdf</t>
  </si>
  <si>
    <t>W:\Livres\Informatique\Digital Signal Processing\The Scientist and Engineer's Guide to Digital Signal Processing (2nd ed, 1999) - [California Technical Publishing] - Steven W. Smith.pdf</t>
  </si>
  <si>
    <t>W:\Livres\Informatique\Digital Signal Processing\Understanding Digital Signal Processing (2001) {Scan} - [Prentice Hall] - Richard G. Lyons.pdf</t>
  </si>
  <si>
    <t>W:\Livres\Informatique\Digital Signal Processing\Understanding the Fast Fourier Transform (1995) {Scan} - [Citrus Press] - Anders E. Zonst.pdf</t>
  </si>
  <si>
    <t>W:\Livres\Informatique\Histoire, Histoires\97 Things Every Programmer Should Know, Collective Wisdom from the Experts (2010) - [O'Reilly].pdf</t>
  </si>
  <si>
    <t>W:\Livres\Informatique\Histoire, Histoires\A History of Algorithms, From the Pebble to the Microchip (1999) - [Springer] - Jean-Luc Chabert.djvu</t>
  </si>
  <si>
    <t>W:\Livres\Informatique\Histoire, Histoires\Being Geek, The Software Developer's Career Handbook (2010) - [O'Reilly] - Michael Lopp.pdf</t>
  </si>
  <si>
    <t>W:\Livres\Informatique\Histoire, Histoires\Dictionnaire biographique et historique de la micro-informatique (2000) - [Multi Mondes] - André Loranger.pdf</t>
  </si>
  <si>
    <t>W:\Livres\Informatique\Histoire, Histoires\Hackers, Heroes of the Computer Revolution (1994) - [Dell Publishing] - Steven Levy.pdf</t>
  </si>
  <si>
    <t>W:\Livres\Informatique\Histoire, Histoires\History of Programming Languages (1996) - [Apress] - Thomas J. Bergin, Richard G. Gibson.pdf</t>
  </si>
  <si>
    <t>W:\Livres\Informatique\Histoire, Histoires\History of Programming Languages (2004) - [O'Reilly].pdf</t>
  </si>
  <si>
    <t>W:\Livres\Informatique\Histoire, Histoires\How to be a Programmer, A Short, Comprehensive, and Personal Summary (2002) - Robert L. Read.pdf</t>
  </si>
  <si>
    <t>W:\Livres\Informatique\Histoire, Histoires\Lectures on Computation (2000) - [Westview] - Richard Feynman.pdf</t>
  </si>
  <si>
    <t>W:\Livres\Informatique\Histoire, Histoires\More Programming Pearls, Confessions of a coder (1988) - [Addison-Wesley] - Jon Bentley.pdf</t>
  </si>
  <si>
    <t>W:\Livres\Informatique\Histoire, Histoires\Programming Pearls (1986) - [Addison-Wesley] - Jon Bentley.pdf</t>
  </si>
  <si>
    <t>W:\Livres\Informatique\Histoire, Histoires\Selected Papers on Computer Science (1996) - [Cambridge] - Donald E. Knuth.pdf</t>
  </si>
  <si>
    <t>W:\Livres\Informatique\Histoire, Histoires\The Annotated Turing (2008) - [Wiley] - Charles Petzold.pdf</t>
  </si>
  <si>
    <t>W:\Livres\Informatique\Histoire, Histoires\The Design of Design, Essays from a Computer Scientist (2010) - [Addison-Wesley] - Frederick P. Brooks.pdf</t>
  </si>
  <si>
    <t>W:\Livres\Informatique\Histoire, Histoires\The Mythical Man-Month, Anniversary Edition (1995) {Scan} - [Addison-Wesley] - Frederick Brooks.pdf</t>
  </si>
  <si>
    <t>W:\Livres\Informatique\Histoire, Histoires\The Old New Thing, Practical Development Throughout the Evolution of Windows (2007) - [Addison-Wesley] - Raymond Chen.pdf</t>
  </si>
  <si>
    <t>W:\Livres\Informatique\Histoire, Histoires\The Passionate Programmer (2nd ed, 2009) - [The Pragmatic Programmers] - Chad Fowler.pdf</t>
  </si>
  <si>
    <t>W:\Livres\Informatique\Histoire, Histoires\The Pentium Chronicles, The People, Passion and Politics Behind Intel's Landmark Chips (2006) - [Wiley] - Robert P. Colwell.djvu</t>
  </si>
  <si>
    <t>W:\Livres\Informatique\Langages\ActionScript 3, Programmation séquentielle et orientée objet (2008) - [Eyrolles] - David Tardiveau.pdf</t>
  </si>
  <si>
    <t>W:\Livres\Informatique\Langages\Ada\Ada for Software Engineers (2005) - [Wiley] - Mordechai Ben-Ari.pdf</t>
  </si>
  <si>
    <t>W:\Livres\Informatique\Langages\Ada\Ada Programming (2013) - [Wikibooks].pdf</t>
  </si>
  <si>
    <t>W:\Livres\Informatique\Langages\Ada\Concurrent and Real-Time Programming in Ada (2007) - [Cambridge] - Alan Burns.pdf</t>
  </si>
  <si>
    <t>W:\Livres\Informatique\Langages\Algol\Informal Introduction to Algol 68 Revised (2nd ed, 1977) - [North-Holland] - Lindsey, Van der Meulen.pdf</t>
  </si>
  <si>
    <t>W:\Livres\Informatique\Langages\Algol\Programming Algol 68 Made Easy (2001) - [Phoenix Engineering] - Sian Leitch.pdf</t>
  </si>
  <si>
    <t>W:\Livres\Informatique\Langages\Algol\Report on the Algorithmic Language Algol 68 (1969) - Van Wijngaarden, Mailloux, Peck, Koster.pdf</t>
  </si>
  <si>
    <t>W:\Livres\Informatique\Langages\Algol\Revised Report on the Algorithmic Language Algol 68 (1972) - Aan Wijngaarden et al.pdf</t>
  </si>
  <si>
    <t>W:\Livres\Informatique\Langages\Assembleur\ARM Manuals\ARM instruction set {Presentation} - ARM University.pdf</t>
  </si>
  <si>
    <t>W:\Livres\Informatique\Langages\Assembleur\ARM Manuals\ARM v5 Architecture Reference Manual (2005) - [ARM].pdf</t>
  </si>
  <si>
    <t>W:\Livres\Informatique\Langages\Assembleur\ARM Manuals\ARM v6-M Architecture Reference Manual (2010) - [ARM].pdf</t>
  </si>
  <si>
    <t>W:\Livres\Informatique\Langages\Assembleur\ARM Manuals\ARM v7-AR Architecture Reference Manual (2014) - [ARM].pdf</t>
  </si>
  <si>
    <t>W:\Livres\Informatique\Langages\Assembleur\ARM Manuals\ARM v7-M Architecture Reference Manual (2014) - [ARM].pdf</t>
  </si>
  <si>
    <t>W:\Livres\Informatique\Langages\Assembleur\ARM Manuals\ARM v8-A Architecture Reference Manual (2016) - [ARM].pdf</t>
  </si>
  <si>
    <t>W:\Livres\Informatique\Langages\Assembleur\Assembly Language for Intel Based Computers (4th ed, 2002) - [Prentice Hall] - Kip R. Irvine.pdf</t>
  </si>
  <si>
    <t>W:\Livres\Informatique\Langages\Assembleur\Assembly Language for Intel Based Computers (4th ed, 2002), Workbook.pdf</t>
  </si>
  <si>
    <t>W:\Livres\Informatique\Langages\Assembleur\Assembly Language for x86 Processors (6th ed, 2011) - [Prentice Hall] - Kip R. Irvine.pdf</t>
  </si>
  <si>
    <t>W:\Livres\Informatique\Langages\Assembleur\Assembly Language for x86 Processors (7th ed, 2014) - [Prentice Hall] - Kip R. Irvine.pdf</t>
  </si>
  <si>
    <t>W:\Livres\Informatique\Langages\Assembleur\Guide to Assembly Language Programming in Linux (2005) - [Springer] - Sivarama P. Dandamudi.pdf</t>
  </si>
  <si>
    <t>W:\Livres\Informatique\Langages\Assembleur\Intel Code Table (2003) - Roger Jegerlehner.pdf</t>
  </si>
  <si>
    <t>W:\Livres\Informatique\Langages\Assembleur\Intel Manuals\Intel 64 and IA-32 Architectures Application Note TLBs, Paging structure Caches and their Invalidation (2008) - [Intel].pdf</t>
  </si>
  <si>
    <t>W:\Livres\Informatique\Langages\Assembleur\Intel Manuals\Intel 64 and IA-32 Architectures Optimization Reference Manual (2007) - [Intel].pdf</t>
  </si>
  <si>
    <t>W:\Livres\Informatique\Langages\Assembleur\Intel Manuals\Intel 64 and IA-32 Architectures Software Developer's Manual Volume 1, Basic Architecture (2009) - [Intel].pdf</t>
  </si>
  <si>
    <t>W:\Livres\Informatique\Langages\Assembleur\Intel Manuals\Intel 64 and IA-32 Architectures Software Developer's Manual Volume 2A, Instruction Set Reference, A-M (2009) - [Intel].pdf</t>
  </si>
  <si>
    <t>W:\Livres\Informatique\Langages\Assembleur\Intel Manuals\Intel 64 and IA-32 Architectures Software Developer's Manual Volume 2B, Instruction Set Reference, N-Z (2009) - [Intel].pdf</t>
  </si>
  <si>
    <t>W:\Livres\Informatique\Langages\Assembleur\Intel Manuals\Intel 64 and IA-32 Architectures Software Developer's Manual Volume 3A, System Programming Guide, Part 1 (2009) - [Intel].pdf</t>
  </si>
  <si>
    <t>W:\Livres\Informatique\Langages\Assembleur\Intel Manuals\Intel 64 and IA-32 Architectures Software Developer's Manual Volume 3B, System Programming Guide, Part 2 (2009) - [Intel].pdf</t>
  </si>
  <si>
    <t>W:\Livres\Informatique\Langages\Assembleur\Intel Manuals\Intel 64 Architecture x2APIC Specification (2008) - [Intel].pdf</t>
  </si>
  <si>
    <t>W:\Livres\Informatique\Langages\Assembleur\Intel Manuals\Intel SSE4 Programming Reference (2007) - [Intel].pdf</t>
  </si>
  <si>
    <t>W:\Livres\Informatique\Langages\Assembleur\Introduction au 8051 (2013) - Jean-Michel Gonet.pdf</t>
  </si>
  <si>
    <t>W:\Livres\Informatique\Langages\Assembleur\Introduction to 64-bit Intel Assembly Language Programming for Linux (2011) - Ray Seyfarth.pdf</t>
  </si>
  <si>
    <t>W:\Livres\Informatique\Langages\Assembleur\Linux Assembly Language Programming (2000) - [Prentice Hall] - Bob Neveln.pdf</t>
  </si>
  <si>
    <t>W:\Livres\Informatique\Langages\Assembleur\MIPS Assembly Language Programming (2003) - Robert Britton.pdf</t>
  </si>
  <si>
    <t>W:\Livres\Informatique\Langages\Assembleur\MIPS R4000 Microprocessor User's Manual (2nd ed, 1994) - [MIPS Technologies] - Joe Heinrich.pdf</t>
  </si>
  <si>
    <t>W:\Livres\Informatique\Langages\Assembleur\MIPS Reference (2009) - [Elsevier].pdf</t>
  </si>
  <si>
    <t>W:\Livres\Informatique\Langages\Assembleur\Modern x86 Assembly Language Programming, 32-bit, 64-bit, SSE and AVX (2014) - [Apress] - Daniel Kusswurm.pdf</t>
  </si>
  <si>
    <t>W:\Livres\Informatique\Langages\Assembleur\PC Assembly Language (5th ed, 2006) - Paul Carter.pdf</t>
  </si>
  <si>
    <t>W:\Livres\Informatique\Langages\Assembleur\Professional Assembly Language (2005) - [Wiley] - Richard Blum.pdf</t>
  </si>
  <si>
    <t>W:\Livres\Informatique\Langages\Assembleur\Programmation en assembleur du 68000 (1985) {Scan} - [Éditests] - Frank Brown.pdf</t>
  </si>
  <si>
    <t>W:\Livres\Informatique\Langages\Assembleur\Programming the Z-80 (2nd ed, 1980) - [Sybex] - Rodnay Zaks.pdf</t>
  </si>
  <si>
    <t>W:\Livres\Informatique\Langages\Assembleur\The Art of Assembly Language (2nd ed, 2010) - [No Starch] - Randall Hyde.pdf</t>
  </si>
  <si>
    <t>W:\Livres\Informatique\Langages\Assembleur\The Art of Assembly Language (3rd ed, 2000).pdf</t>
  </si>
  <si>
    <t>W:\Livres\Informatique\Langages\Assembleur\The IDA Pro Book, The Unofficial Guide (2008) {Scan} - [No Starch] - Chris Eagle.pdf</t>
  </si>
  <si>
    <t>W:\Livres\Informatique\Langages\Assembleur\Using 6502 Assembly Language (2nd ed, 1982) - [Datamost] - Randy Hyde.pdf</t>
  </si>
  <si>
    <t>W:\Livres\Informatique\Langages\Assembleur\Write Great Code, Volume II, Thinking Low-Level, Writing High-Level (2006) - [No Starch] - Randall Hyde.pdf</t>
  </si>
  <si>
    <t>W:\Livres\Informatique\Langages\Assembleur\X86 Assembly Language and C Fundamentals (2013) - [CRC Press] - Joseph Cavanagh.pdf</t>
  </si>
  <si>
    <t>W:\Livres\Informatique\Langages\C#, .Net Framework\A Programmer's Guide to C# 5.0 (4th ed, 2012) - [Apress] - Eric Gunnerson, Nick Wienholt.pdf</t>
  </si>
  <si>
    <t>W:\Livres\Informatique\Langages\C#, .Net Framework\Accelerated C# 2010 (2010) - [Apress] - Trey Nash.pdf</t>
  </si>
  <si>
    <t>W:\Livres\Informatique\Langages\C#, .Net Framework\Adaptive Code via C# (2014) - [Microsoft Press] - Gary McLean Hall.epub</t>
  </si>
  <si>
    <t>W:\Livres\Informatique\Langages\C#, .Net Framework\Applied Microsoft .NET Framework Programming (2002) - [Microsoft Press] - Jeffrey Richter.pdf</t>
  </si>
  <si>
    <t>W:\Livres\Informatique\Langages\C#, .Net Framework\Beginning Visual C# 2010 (2010) - [Wrox] - Watson, Nagel, Pedersen, Reid, Skinner.pdf</t>
  </si>
  <si>
    <t>W:\Livres\Informatique\Langages\C#, .Net Framework\C# 4.0 Unleashed (2011) - [Sams] - Bart De Smet.pdf</t>
  </si>
  <si>
    <t>W:\Livres\Informatique\Langages\C#, .Net Framework\C# 5 First Look (2012) - [Packt] - Joel Martinez.pdf</t>
  </si>
  <si>
    <t>W:\Livres\Informatique\Langages\C#, .Net Framework\C# 5.0 Unleashed (2013) - [Sams] - Bart De Smet.pdf</t>
  </si>
  <si>
    <t>W:\Livres\Informatique\Langages\C#, .Net Framework\C# 6.0 and the .Net 4.6 Framework (7th ed, 2015) - [Apress] - Andrew Troelsen, Philip Japikse.epub</t>
  </si>
  <si>
    <t>W:\Livres\Informatique\Langages\C#, .Net Framework\C# 6.0 and the .Net 4.6 Framework (7th ed, 2015) {Dump} - [Apress] - Andrew Troelsen, Philip Japikse.pdf</t>
  </si>
  <si>
    <t>W:\Livres\Informatique\Langages\C#, .Net Framework\C# et .Net version 2 (2è ed, 2006) - [Eyrolles] - Gérard Leblanc.pdf</t>
  </si>
  <si>
    <t>W:\Livres\Informatique\Langages\C#, .Net Framework\C# in Depth (2nd ed, 2011) - [Manning] - Jon Skeet.pdf</t>
  </si>
  <si>
    <t>W:\Livres\Informatique\Langages\C#, .Net Framework\C# in Depth (3rd ed, 2014) - [Manning] - Jon Skeet.epub</t>
  </si>
  <si>
    <t>W:\Livres\Informatique\Langages\C#, .Net Framework\C# in Depth (3rd ed, 2014) - [Manning] - Jon Skeet.pdf</t>
  </si>
  <si>
    <t>W:\Livres\Informatique\Langages\C#, .Net Framework\C# pour les nuls (2001) - [First] - Stephen Randy Davis.pdf</t>
  </si>
  <si>
    <t>W:\Livres\Informatique\Langages\C#, .Net Framework\C# Primer, A Practical Approach (2002) - Stanley B. Lippman.pdf</t>
  </si>
  <si>
    <t>W:\Livres\Informatique\Langages\C#, .Net Framework\C# Programming (2nd ed, 2010) - [University of Hull] - Rob Miles.pdf</t>
  </si>
  <si>
    <t>W:\Livres\Informatique\Langages\C#, .Net Framework\C# Your Visual Blueprint for Building .NET Applications (2002) - [Hungry Minds] - Eric Butow, Tommy Ryan.pdf</t>
  </si>
  <si>
    <t>W:\Livres\Informatique\Langages\C#, .Net Framework\CLR via C# (3rd ed, 2010) - [Microsoft Press] - Jeffrey Richter.pdf</t>
  </si>
  <si>
    <t>W:\Livres\Informatique\Langages\C#, .Net Framework\CLR via C# (3rd ed, 2010), Sample Codes.rar</t>
  </si>
  <si>
    <t>W:\Livres\Informatique\Langages\C#, .Net Framework\Concurrency in C# Cookbook (2014) - [O'Reilly] - Stephen Cleary.pdf</t>
  </si>
  <si>
    <t>W:\Livres\Informatique\Langages\C#, .Net Framework\ECMA Intl Standard 335, Common Language Infrastructure, Partitions I to VI (4th ed, 2006) - [ECMA].pdf</t>
  </si>
  <si>
    <t>W:\Livres\Informatique\Langages\C#, .Net Framework\Effective C#, 50 Specific Ways to Improve your C# (2nd ed, 2010) - [Addison-Wesley] - Bill Wagner.pdf</t>
  </si>
  <si>
    <t>W:\Livres\Informatique\Langages\C#, .Net Framework\Essential C# 4.0 (2010) - [Addison-Wesley] - Mark Michaelis.pdf</t>
  </si>
  <si>
    <t>W:\Livres\Informatique\Langages\C#, .Net Framework\Functional Programming in C# (3rd ed, 2011) - [Wrox] - Olivier Sturm.pdf</t>
  </si>
  <si>
    <t>W:\Livres\Informatique\Langages\C#, .Net Framework\Head First C# (2nd ed, 2010) - [O'Reilly] - Andrew Stellman, Jennifer Greene.pdf</t>
  </si>
  <si>
    <t>W:\Livres\Informatique\Langages\C#, .Net Framework\Head First C# (2nd ed, 2010), Files.zip</t>
  </si>
  <si>
    <t>W:\Livres\Informatique\Langages\C#, .Net Framework\Improving .Net Performance, Intel Whitepaper - Hanchinmani.pdf</t>
  </si>
  <si>
    <t>W:\Livres\Informatique\Langages\C#, .Net Framework\Introducing .NET 4.0 with Visual Studio 2010 (2010) - [Apress] - Alex Mackey.pdf</t>
  </si>
  <si>
    <t>W:\Livres\Informatique\Langages\C#, .Net Framework\Introducing .Net 4.5 (2nd ed, 2012) - [Apress] - Alex Mackey, William Tulloch, Mahesh Krishnan.pdf</t>
  </si>
  <si>
    <t>W:\Livres\Informatique\Langages\C#, .Net Framework\Microsoft 10226A, Programming in C# with Visual Studio 2010, Lab Manual - [Microsoft].pdf</t>
  </si>
  <si>
    <t>W:\Livres\Informatique\Langages\C#, .Net Framework\Microsoft 10226A, Programming in C# with Visual Studio 2010, Trainer Handbook Vol 1 - [Microsoft].pdf</t>
  </si>
  <si>
    <t>W:\Livres\Informatique\Langages\C#, .Net Framework\Microsoft 10226A, Programming in C# with Visual Studio 2010, Trainer Handbook Vol 2 - [Microsoft].pdf</t>
  </si>
  <si>
    <t>W:\Livres\Informatique\Langages\C#, .Net Framework\Pro .NET 4 Parallel Programming in C# (2010) - [Apress] - Adam Freeman.pdf</t>
  </si>
  <si>
    <t>W:\Livres\Informatique\Langages\C#, .Net Framework\Pro C# 2010 and the .Net 4 Platform (5th ed, 2010) - [Apress] - Andrew Troelsen.pdf</t>
  </si>
  <si>
    <t>W:\Livres\Informatique\Langages\C#, .Net Framework\Pro C# 2010 and the .Net 4 Platform (5th ed, 2010), Code.zip</t>
  </si>
  <si>
    <t>W:\Livres\Informatique\Langages\C#, .Net Framework\Professional C# 6 and .Net Core 1.0 (2016) {Webdump} - [Wiley] - Christian Nagel.pdf</t>
  </si>
  <si>
    <t>W:\Livres\Informatique\Langages\C#, .Net Framework\Programming C# 4.0 (6th ed, 2010) - [O'Reilly] - Griffiths, Adams, Liberty.pdf</t>
  </si>
  <si>
    <t>W:\Livres\Informatique\Langages\C#, .Net Framework\Writing High-Performance .Net Code (2014) - Ben Watson.pdf</t>
  </si>
  <si>
    <t>W:\Livres\Informatique\Langages\C, C++\21st Century C Programming (2012) - [O'Reilly] - Ben Klemens.pdf</t>
  </si>
  <si>
    <t>W:\Livres\Informatique\Langages\C, C++\A Complete Guide to Programming in C++ (2002) - [Jones &amp; Bartlett] - Ulla Kirch-Prinz, Peter Prinz.pdf</t>
  </si>
  <si>
    <t>W:\Livres\Informatique\Langages\C, C++\A Tour of C++ (2014) - [Addison-Wesley] - Bjarne Stroustrup.pdf</t>
  </si>
  <si>
    <t>W:\Livres\Informatique\Langages\C, C++\Absolute C++ (1st ed, 2001) - [Addison-Wesley] - Walter Savitch.pdf</t>
  </si>
  <si>
    <t>W:\Livres\Informatique\Langages\C, C++\Absolute C++ (5th ed, 2013) - [Pearson] - Walter Savitch.pdf</t>
  </si>
  <si>
    <t>W:\Livres\Informatique\Langages\C, C++\Accelerated C++ (2000) {Webdump} - [Addison-Wesley] - Andrew Koenig, Barbara E. Moo.pdf</t>
  </si>
  <si>
    <t>W:\Livres\Informatique\Langages\C, C++\Advanced C++ Template Techniques (2015) {Presentation} - Sanderson.pdf</t>
  </si>
  <si>
    <t>W:\Livres\Informatique\Langages\C, C++\Advanced Metaprogramming in Classic C++ (2015) - [Apress] - Davide Di Gennaro.pdf</t>
  </si>
  <si>
    <t>W:\Livres\Informatique\Langages\C, C++\ANSI C89 - American National Standard.txt</t>
  </si>
  <si>
    <t>W:\Livres\Informatique\Langages\C, C++\ANSI-ISO C++ Professional Programmer's Handbook (1999) {Dump} - [Que] - Danny Kale.pdf</t>
  </si>
  <si>
    <t>W:\Livres\Informatique\Langages\C, C++\Apprendre le C++ (2007) - [Eyrolles] - Claude Delannoy.pdf</t>
  </si>
  <si>
    <t>W:\Livres\Informatique\Langages\C, C++\Apprenez à programmer en C (2010) - [Le site du zéro] - Mathieu Nebra.pdf</t>
  </si>
  <si>
    <t>W:\Livres\Informatique\Langages\C, C++\Apprenez à programmer en C (2012) - [Le site du zéro] - Mathieu Nebra.pdf</t>
  </si>
  <si>
    <t>W:\Livres\Informatique\Langages\C, C++\Beginning Programming C with ++ for Dummies (2010) - [Wiley] - Stephen Davis.pdf</t>
  </si>
  <si>
    <t>W:\Livres\Informatique\Langages\C, C++\Beginning Visual C++ 2010 (2010) - [Wiley] - Ivor Horton.pdf</t>
  </si>
  <si>
    <t>W:\Livres\Informatique\Langages\C, C++\Boost C++ Application Development Cookbook (2013) - [Packt] - Antony Polukhin.pdf</t>
  </si>
  <si>
    <t>W:\Livres\Informatique\Langages\C, C++\C for Dummies (2nd ed, 2004) - [Wiley] - Dan Gookin.pdf</t>
  </si>
  <si>
    <t>W:\Livres\Informatique\Langages\C, C++\C Programming Language, The Ultimate Guide for Beginners (2016) - Darell Graham.epub</t>
  </si>
  <si>
    <t>W:\Livres\Informatique\Langages\C, C++\C Programming Language, The Ultimate Guide for Beginners (2016) - Darell Graham.pdf</t>
  </si>
  <si>
    <t>W:\Livres\Informatique\Langages\C, C++\C++ 11 14 Overview {Presentation} - Gian Lorenzo Meocci.pdf</t>
  </si>
  <si>
    <t>W:\Livres\Informatique\Langages\C, C++\C++ 11 for Programmers (2nd ed, 2014) - [Prentice Hall] - Paul J. Deitel, Harvey M. Deitel.epub</t>
  </si>
  <si>
    <t>W:\Livres\Informatique\Langages\C, C++\C++ Coding Standards (2005) - [Pearson] - Herb Sutter, Andrei Alexandrescu.pdf</t>
  </si>
  <si>
    <t>W:\Livres\Informatique\Langages\C, C++\C++ Concurrency in Action (2012) - [Manning] - Anthony Williams.pdf</t>
  </si>
  <si>
    <t>W:\Livres\Informatique\Langages\C, C++\C++ for C Programmers (1994) - JT Kalnay.pdf</t>
  </si>
  <si>
    <t>W:\Livres\Informatique\Langages\C, C++\C++ for Computer Science and Engine (4th ed, 2006) - [Broquard eBooks] - Vic Broquard.pdf</t>
  </si>
  <si>
    <t>W:\Livres\Informatique\Langages\C, C++\C++ for Dummies (5th ed, 2004) - [Wiley].pdf</t>
  </si>
  <si>
    <t>W:\Livres\Informatique\Langages\C, C++\C++ for Everyone (2nd ed, 2012) - [Wiley] - Cay Horstmann.pdf</t>
  </si>
  <si>
    <t>W:\Livres\Informatique\Langages\C, C++\C++ How to Program (7th ed, 2010) - [Pearson] - Paul Dietel, Harvey Deitel.pdf</t>
  </si>
  <si>
    <t>W:\Livres\Informatique\Langages\C, C++\C++ How to Program (8th ed, 2012) - [Pearson] - Paul Dietel, Harvey Deitel.pdf</t>
  </si>
  <si>
    <t>W:\Livres\Informatique\Langages\C, C++\C++ in a Nutshell (2003) - [O'Reilly] - Ray Lischner.pdf</t>
  </si>
  <si>
    <t>W:\Livres\Informatique\Langages\C, C++\C++ Language Tutorial (2007) - Juan Soulié.pdf</t>
  </si>
  <si>
    <t>W:\Livres\Informatique\Langages\C, C++\C++ L'essentiel du code et des commandes (2009) - [Pearson] - Vincent Gouvernelle.pdf</t>
  </si>
  <si>
    <t>W:\Livres\Informatique\Langages\C, C++\C++ pour les programmeurs C (2007) - [Eyrolles] - Claude Delannoy.pdf</t>
  </si>
  <si>
    <t>W:\Livres\Informatique\Langages\C, C++\C++ Primer (5th ed, 2013) {Dump} - [Addison-Wesley] - Stanley B. Lippman, Josée Lajoie, Barbara E. Moo.pdf</t>
  </si>
  <si>
    <t>W:\Livres\Informatique\Langages\C, C++\C++ Primer Plus (6th ed, 2012) - [Addison-Wesley] - Stephen Prata.pdf</t>
  </si>
  <si>
    <t>W:\Livres\Informatique\Langages\C, C++\C++ Programming (7th ed, 2015) - [Cengage Learning] - DS Malik.pdf</t>
  </si>
  <si>
    <t>W:\Livres\Informatique\Langages\C, C++\C++ Programming for the Absolute Beginner (2nd ed, 2009) - [Cengage Learning] - Mark Lee.pdf</t>
  </si>
  <si>
    <t>W:\Livres\Informatique\Langages\C, C++\C++ Quick Reference.pdf</t>
  </si>
  <si>
    <t>W:\Livres\Informatique\Langages\C, C++\C++ Solutions, Companion to C++ Programming Language 3rd ed (1998) - [Addison-Wesley] - David Vandevoorde.djvu</t>
  </si>
  <si>
    <t>W:\Livres\Informatique\Langages\C, C++\C++ Standard Library Quick Reference (2016) - [Apress] - Peter Van Weert, Marc Gregoire.pdf</t>
  </si>
  <si>
    <t>W:\Livres\Informatique\Langages\C, C++\C++ Without Fear (2nd ed, 2011) - [Prentice Hall] - Brian Overland.pdf</t>
  </si>
  <si>
    <t>W:\Livres\Informatique\Langages\C, C++\C++, The Complete Reference (3rd ed, 1998) - [McGraw-Hill] - Herbert Schildt.pdf</t>
  </si>
  <si>
    <t>W:\Livres\Informatique\Langages\C, C++\C++14 and early thoughts about C++ 17 (2013) {presentation} - Bjarne Stroustrup.pdf</t>
  </si>
  <si>
    <t>W:\Livres\Informatique\Langages\C, C++\Core C++, A Software Engineering Approach (2000) {Dump} - [Prentice Hall] - Victor Shtern.pdf</t>
  </si>
  <si>
    <t>W:\Livres\Informatique\Langages\C, C++\Cours de C et C++ (2002) - C. Casteyde.pdf</t>
  </si>
  <si>
    <t>W:\Livres\Informatique\Langages\C, C++\Cours de C et C++ (2005) - C. Casteyde.pdf</t>
  </si>
  <si>
    <t>W:\Livres\Informatique\Langages\C, C++\Cours programmation C++ et programmation orientée objet (2012) - Jamila Sam Haroud.pdf</t>
  </si>
  <si>
    <t>W:\Livres\Informatique\Langages\C, C++\Cryptography in C &amp; C++ (2nd ed, 2013) - [Apress] - Michael Welschenbach.pdf</t>
  </si>
  <si>
    <t>W:\Livres\Informatique\Langages\C, C++\Data Structures and Algorithms Made Easy (2010) - [CareerMonk] - Narashima Karumanchi.pdf</t>
  </si>
  <si>
    <t>W:\Livres\Informatique\Langages\C, C++\Data Structures Using C++ (2nd ed, 2010) - [Cengage Learning] - DS Malik.pdf</t>
  </si>
  <si>
    <t>W:\Livres\Informatique\Langages\C, C++\Designing Components with the C++ STL (3rd ed, 2002) - [Addison-Wesley] - Ulrich Breymann.pdf</t>
  </si>
  <si>
    <t>W:\Livres\Informatique\Langages\C, C++\Effective C++, 55 Specific Ways to Improve Your Programs and Designs (3rd ed, 2008) - [Addison-Wesley] - Scott Meyers.pdf</t>
  </si>
  <si>
    <t>W:\Livres\Informatique\Langages\C, C++\Effective Modern C++, 42 Specific Ways to Improve Your Use of C++ 11 And C++ 14 (2015) - [O'Reilly] - Scott Meyers.epub</t>
  </si>
  <si>
    <t>W:\Livres\Informatique\Langages\C, C++\Effective Modern C++, 42 Specific Ways to Improve Your Use of C++ 11 And C++ 14 (2015) - [O'Reilly] - Scott Meyers.pdf</t>
  </si>
  <si>
    <t>W:\Livres\Informatique\Langages\C, C++\Effective STL (2001) - [Addison-Wesley] - Scott Meyers.pdf</t>
  </si>
  <si>
    <t>W:\Livres\Informatique\Langages\C, C++\Even Simpler C++ with C++14 {Presentation} - Peter Sommerlad.pdf</t>
  </si>
  <si>
    <t>W:\Livres\Informatique\Langages\C, C++\Evolution of C++ (2012) {Presentation} - Torsten Sehy.pdf</t>
  </si>
  <si>
    <t>W:\Livres\Informatique\Langages\C, C++\Exercices en C++ (3è ed, 2007) - [Eyrolles] - Claude Delannoy.pdf</t>
  </si>
  <si>
    <t>W:\Livres\Informatique\Langages\C, C++\Expert C Programming Deep C Secrets (1994) - [Prentice Hall] - Peter van der Linden.pdf</t>
  </si>
  <si>
    <t>W:\Livres\Informatique\Langages\C, C++\Expert C Programming Deep C Secrets (1994) {Cropped} - [Prentice Hall] - Peter van der Linden.pdf</t>
  </si>
  <si>
    <t>W:\Livres\Informatique\Langages\C, C++\Fundamentals of Programming C++ (2016) {Draft Cropped} - Richard L. Halterman.pdf</t>
  </si>
  <si>
    <t>W:\Livres\Informatique\Langages\C, C++\Fundamentals of Programming C++ (2016) {Draft} - Richard L. Halterman.pdf</t>
  </si>
  <si>
    <t>W:\Livres\Informatique\Langages\C, C++\GCC 4.1.2 (2005) - [GNU Press] - Richard M. Stallman.pdf</t>
  </si>
  <si>
    <t>W:\Livres\Informatique\Langages\C, C++\GCC 4.6.2 (2010) - [GNU Press] - Richard M. Stallman.pdf</t>
  </si>
  <si>
    <t>W:\Livres\Informatique\Langages\C, C++\GCC 5.2.0 (2015) - [GNU Press] - Richard M. Stallman.pdf</t>
  </si>
  <si>
    <t>W:\Livres\Informatique\Langages\C, C++\GCC 7.0.0 (2016) {Pre-release} - [GNU Press] - Richard M. Stallman.pdf</t>
  </si>
  <si>
    <t>W:\Livres\Informatique\Langages\C, C++\GCC, The Complete Reference (2002) - [McGraw-Hill] - Arthur Griffith.pdf</t>
  </si>
  <si>
    <t>W:\Livres\Informatique\Langages\C, C++\Illustrating C (1992) - [Cambridge] - Donald Alcock.pdf</t>
  </si>
  <si>
    <t>W:\Livres\Informatique\Langages\C, C++\Initiation à l'algorithmique et à la programmation en C (2è ed, 2011) - [Dunod] - Rémy Malgouyres, Rita Zrour, Fabien Feschet.pdf</t>
  </si>
  <si>
    <t>W:\Livres\Informatique\Langages\C, C++\Langage C++ et calcul scientifique (2013) - Pierre Saramito.pdf</t>
  </si>
  <si>
    <t>W:\Livres\Informatique\Langages\C, C++\Le C en 20 heures (2010) - [Framabook] - Eric Berthomier, Daniel Schang.pdf</t>
  </si>
  <si>
    <t>W:\Livres\Informatique\Langages\C, C++\Le C++ pour les pros (1999) - Ours blanc des Carpathes.pdf</t>
  </si>
  <si>
    <t>W:\Livres\Informatique\Langages\C, C++\Le C++14 est arrivé (2016) - Zeste de savoir.pdf</t>
  </si>
  <si>
    <t>W:\Livres\Informatique\Langages\C, C++\Le langage C (2006) - H. Garreta.pdf</t>
  </si>
  <si>
    <t>W:\Livres\Informatique\Langages\C, C++\Le langage C++, Initiez-vous à la programmation en C++ (2009) - [Pearson] - Jesse Liberty, Bradley Jones.pdf</t>
  </si>
  <si>
    <t>W:\Livres\Informatique\Langages\C, C++\Le livre du C, Premier langage, Pour les vrais débutants en programmation (2007) - [Eyrolles] - Claude Delannoy.pdf</t>
  </si>
  <si>
    <t>W:\Livres\Informatique\Langages\C, C++\Learn C on the Mac (4th ed, 2009) - [Apress] - Dave Mark.pdf</t>
  </si>
  <si>
    <t>W:\Livres\Informatique\Langages\C, C++\Learn C on the Mac (2009) - [Apress] - Dave Mark.pdf</t>
  </si>
  <si>
    <t>W:\Livres\Informatique\Langages\C, C++\Learn C++ (2014) - [Tutorials Point].pdf</t>
  </si>
  <si>
    <t>W:\Livres\Informatique\Langages\C, C++\Learn C++ in a Day (2015) - [Acodemy].epub</t>
  </si>
  <si>
    <t>W:\Livres\Informatique\Langages\C, C++\Learn C++ in a Day (2015) - [Acodemy].pdf</t>
  </si>
  <si>
    <t>W:\Livres\Informatique\Langages\C, C++\Learning OpenCV 2.5, Computer Vision in C++ {Early Release} (2nd ed, 2016) - [O'Reilly] - Adrian Kaehler.pdf</t>
  </si>
  <si>
    <t>W:\Livres\Informatique\Langages\C, C++\Let Us C (5th ed, 2004) - [BPB] - Yashwant Kanetkar.pdf</t>
  </si>
  <si>
    <t>W:\Livres\Informatique\Langages\C, C++\Mieux programmer en C++ (2000) - [Eyrolles] - Herb Sutter.pdf</t>
  </si>
  <si>
    <t>W:\Livres\Informatique\Langages\C, C++\Mini manuel de C++, Cours+exos corrigés (2010) - [Dunod] - Jean-Michel Révillac.pdf</t>
  </si>
  <si>
    <t>W:\Livres\Informatique\Langages\C, C++\Modern C++ Design (2001) - [Addison-Wesley] - Andrei Alexandrescu.pdf</t>
  </si>
  <si>
    <t>W:\Livres\Informatique\Langages\C, C++\More Effective C++, 35 New Ways to Improve Your Programs and Designs (2008) - [Addison-Wesley] - Scott Meyers.pdf</t>
  </si>
  <si>
    <t>W:\Livres\Informatique\Langages\C, C++\More Exceptional C++, 40 New Engineering Puzzles Programming Problems and Solutions (2001) - [Addison-Wesley] - Herb Sutter.pdf</t>
  </si>
  <si>
    <t>W:\Livres\Informatique\Langages\C, C++\Move Semantics, Rvalue References and Perfect Forwarding (2010) {Presentation} - Scott Meyers.pdf</t>
  </si>
  <si>
    <t>W:\Livres\Informatique\Langages\C, C++\N1256 ISO-IEC 9899-TC3 Programming languages, C99 (2007) - Committee Draft.pdf</t>
  </si>
  <si>
    <t>W:\Livres\Informatique\Langages\C, C++\N1570 ISO-IEC 9899 201x C11 (2011) - Standard Draft.pdf</t>
  </si>
  <si>
    <t>W:\Livres\Informatique\Langages\C, C++\N3242 Standard for Programming Language C++, 2011-02-28 (2011) - Working Draft.pdf</t>
  </si>
  <si>
    <t>W:\Livres\Informatique\Langages\C, C++\N3337 Standard for Programming Language C++, 2012-01-16 (2012) - Working Draft.pdf</t>
  </si>
  <si>
    <t>W:\Livres\Informatique\Langages\C, C++\N3797 Standard for Programming Language C++, 2013-10-13 (2013) - Working Draft.pdf</t>
  </si>
  <si>
    <t>W:\Livres\Informatique\Langages\C, C++\N4567 Standard for Programming Language C++, 2015-11-09 (2015) - Working Draft.pdf</t>
  </si>
  <si>
    <t>W:\Livres\Informatique\Langages\C, C++\N4594 Standard for Programming Language C++, 2016-05-30 (2016) - Working Draft.pdf</t>
  </si>
  <si>
    <t>W:\Livres\Informatique\Langages\C, C++\Object-Oriented Programming in C++ (4th ed, 2002) - [Sams] - Robert Lafore.pdf</t>
  </si>
  <si>
    <t>W:\Livres\Informatique\Langages\C, C++\OOP with C++ - Pooja Chawla.pdf</t>
  </si>
  <si>
    <t>W:\Livres\Informatique\Langages\C, C++\Overview of the New C++, C++0x (2010) - [Artima] - Scott Meyers.pdf</t>
  </si>
  <si>
    <t>W:\Livres\Informatique\Langages\C, C++\Overview of the New C++, C++11-14 (2015) {Extract, 42 pages} - [Artima] - Scott Meyers.pdf</t>
  </si>
  <si>
    <t>W:\Livres\Informatique\Langages\C, C++\Pont entre C et C++ (2001) - [Addison-Wesley] - Pierre-Nicolas Lapointe.pdf</t>
  </si>
  <si>
    <t>W:\Livres\Informatique\Langages\C, C++\Practical C Programming (3rd ed, 1997) - [O'Reilly] - Steve Oualline.pdf</t>
  </si>
  <si>
    <t>W:\Livres\Informatique\Langages\C, C++\Practical C++ Programming (2nd ed, 2003) - [O'Reilly] - Steve Ouallin.pdf</t>
  </si>
  <si>
    <t>W:\Livres\Informatique\Langages\C, C++\Pratical C++ Programming (1995) - [O'Reilly] - Steve Oualline.pdf</t>
  </si>
  <si>
    <t>W:\Livres\Informatique\Langages\C, C++\Problem Solving with C++ (9th ed, 2014) - [Pearson] - Walter Savitch.pdf</t>
  </si>
  <si>
    <t>W:\Livres\Informatique\Langages\C, C++\Programmation en C++ et génie logiciel (2007) - [Dunod] - Vincent T'kindt.pdf</t>
  </si>
  <si>
    <t>W:\Livres\Informatique\Langages\C, C++\Programmer efficacement en C++, 42 conseils pour mieux maîtriser le C++ 11 et le C++ 14 (2016) - [Dunod] - Scott Meyers.pdf</t>
  </si>
  <si>
    <t>W:\Livres\Informatique\Langages\C, C++\Programmer en langage C, Cours et exercices (5è ed, 2009) - [Eyrolles] - Claude Delannoy.pdf</t>
  </si>
  <si>
    <t>W:\Livres\Informatique\Langages\C, C++\Programmer en langage C, Cours et exercices corrigés (5è ed, 2009) - [Eyrolles] - Claude Delannoy.pdf</t>
  </si>
  <si>
    <t>W:\Livres\Informatique\Langages\C, C++\Programmez avec le langage C++ (2011) - [Le site du zéro] - Mathieu Nebra, Matthieu Schaller.pdf</t>
  </si>
  <si>
    <t>W:\Livres\Informatique\Langages\C, C++\Programmez avec le langage C++ (2011) {Dump} - [Le site du zéro] - Mathieu Nebra, Matthieu Schaller.pdf</t>
  </si>
  <si>
    <t>W:\Livres\Informatique\Langages\C, C++\Programming Principles and Practices C++ (2nd ed, 2014) - [Pearson] - Bjarne Stroustrup.epub</t>
  </si>
  <si>
    <t>W:\Livres\Informatique\Langages\C, C++\Programming Principles and Practices C++ (2009) - [Addison-Wesley] - Bjarne Stroustrup.pdf</t>
  </si>
  <si>
    <t>W:\Livres\Informatique\Langages\C, C++\Safe C++ (2012) - [O'Reilly] - Vladimir Kushnir.pdf</t>
  </si>
  <si>
    <t>W:\Livres\Informatique\Langages\C, C++\Secure Programming Cookbook for C and C++ (2003) - [O'Reilly] - John Viega, Matt Messier.pdf</t>
  </si>
  <si>
    <t>W:\Livres\Informatique\Langages\C, C++\Standard C++ Course Reader (2009) - Keith Schwarz.pdf</t>
  </si>
  <si>
    <t>W:\Livres\Informatique\Langages\C, C++\Starting Out with C++ Early Objects (8th ed, 2014) - [Pearson] - Tony Gaddis, Judy Walters, Godfrey Muganda.pdf</t>
  </si>
  <si>
    <t>W:\Livres\Informatique\Langages\C, C++\The C Programming Language (2nd ed, 1988) - [Prentice Hall] - Brian W. Kernighan, Dennis Ritchie.pdf</t>
  </si>
  <si>
    <t>W:\Livres\Informatique\Langages\C, C++\The C Programming Language, ANSI C (2nd ed, 1988) - [Prentice Hall] - Kernighan, Ritchie.pdf</t>
  </si>
  <si>
    <t>W:\Livres\Informatique\Langages\C, C++\The C Programming Language, ANSI C (2nd ed, 1988) {Scan} - [Prentice Hall] - Brian W. Kernighan, Dennis Ritchie.pdf</t>
  </si>
  <si>
    <t>W:\Livres\Informatique\Langages\C, C++\The C++ Programming Language (3rd ed, 1997) {Special Edition} - [Addison-Wesley] - Bjarne Stroustrup.pdf</t>
  </si>
  <si>
    <t>W:\Livres\Informatique\Langages\C, C++\The C++ Programming Language (3rd ed, 1997) {With appendices} - [Addison-Wesley] - Bjarne Stroustrup.pdf</t>
  </si>
  <si>
    <t>W:\Livres\Informatique\Langages\C, C++\The C++ Programming Language (4th ed, 2013) - [Addison-Wesley] - Bjarne Stroustrup.epub</t>
  </si>
  <si>
    <t>W:\Livres\Informatique\Langages\C, C++\The C++ Programming Language (4th ed, 2013) - [Addison-Wesley] - Bjarne Stroustrup.pdf</t>
  </si>
  <si>
    <t>W:\Livres\Informatique\Langages\C, C++\The C++ Programming Language with appendixes (3rd ed, 1997) - [Addison-Wesley] - Bjarne Stroustrup.pdf</t>
  </si>
  <si>
    <t>W:\Livres\Informatique\Langages\C, C++\The C++ Standard Library, A Tutorial and Reference (2nd ed, 2012) - [Addison-Wesley] - NM Josuttis.pdf</t>
  </si>
  <si>
    <t>W:\Livres\Informatique\Langages\C, C++\The C++ Standard Library, A Tutorial and Reference (1999) - [Addison-Wesley] - Nicolai M Josuttis.pdf</t>
  </si>
  <si>
    <t>W:\Livres\Informatique\Langages\C, C++\The Design and Evolution of C++ (1994) - [Addison-Wesley] - Bjarne Stroustrup.pdf</t>
  </si>
  <si>
    <t>W:\Livres\Informatique\Langages\C, C++\The Design of C++ 11 (2012) {Presentation} - Bjarne Stroustrup.pdf</t>
  </si>
  <si>
    <t>W:\Livres\Informatique\Langages\C, C++\The Essence of C++ with examples in C++84, C++98, C++11, and C++14 (2014) {Presentation} - Bjarne Stroustrup.pdf</t>
  </si>
  <si>
    <t>W:\Livres\Informatique\Langages\C, C++\The Evolution of C++, 1985 to 1989 {Scan} - Bjarne Stroustrup.pdf</t>
  </si>
  <si>
    <t>W:\Livres\Informatique\Langages\C, C++\The GNU C Library Reference Manual, for version 2.23 (2016) - [Free Software Foundation] - Sandra Loosemore.pdf</t>
  </si>
  <si>
    <t>W:\Livres\Informatique\Langages\C, C++\The GNU C Reference Manual (2015) - [Free Software Foundation] - Trevis Rothwell, James Youngman.pdf</t>
  </si>
  <si>
    <t>W:\Livres\Informatique\Langages\C, C++\The Rook's Guide to C++ (2013) - Jeremy A. Hansen.pdf</t>
  </si>
  <si>
    <t>W:\Livres\Informatique\Langages\C, C++\The Standard Template Library (1995) - [HP] - Alexander Stepanov, Meng Lee.pdf</t>
  </si>
  <si>
    <t>W:\Livres\Informatique\Langages\C, C++\Thinking in C++ Vol 1 (2nd ed, 2000) - [Prentice Hall] - Bruce Eckel.pdf</t>
  </si>
  <si>
    <t>W:\Livres\Informatique\Langages\C, C++\Thinking in C++ Vol 2 (2nd ed, 2000) - [Prentice Hall] - Bruce Eckel.pdf</t>
  </si>
  <si>
    <t>W:\Livres\Informatique\Langages\Caml\Le langage Caml (2è ed, 2009) - [Dunod] - Pierre Weis, Xavier Leroy.pdf</t>
  </si>
  <si>
    <t>W:\Livres\Informatique\Langages\Caml\Le langage Caml (1998) - [Inria] - Pierre Weis.pdf</t>
  </si>
  <si>
    <t>W:\Livres\Informatique\Langages\Delphi in a Nutshell (2000) - [O'Reilly] - Ray Lischner.pdf</t>
  </si>
  <si>
    <t>W:\Livres\Informatique\Langages\F#\Beginning F# (2009) - [Apress] - Robert Pickering.pdf</t>
  </si>
  <si>
    <t>W:\Livres\Informatique\Langages\F#\Expert F# 2.0 (2nd ed, 2010) - [Apress] - Don Syme, Adam Granicz, Antonio Cisternino.pdf</t>
  </si>
  <si>
    <t>W:\Livres\Informatique\Langages\Fortran\Computational Physics Fortran (1990) - [Westview] - Koonin, Meredith.pdf</t>
  </si>
  <si>
    <t>W:\Livres\Informatique\Langages\Fortran\Modern Fortran Explained (7th ed, 2011) - [Oxford] - Metcalf, Reid, Cohen.pdf</t>
  </si>
  <si>
    <t>W:\Livres\Informatique\Langages\Fortran\Modern Fortran, Style and Usage (2012) - [Cambridge] - Clerman, Spektor.pdf</t>
  </si>
  <si>
    <t>W:\Livres\Informatique\Langages\Fortran\Numerical Recipes in Fortran 77 (1997) - [Cambridge] - Press, Teukolsky, Vetterling, Flannery.pdf</t>
  </si>
  <si>
    <t>W:\Livres\Informatique\Langages\Fortran\Programmer en Fortran, Fortran 90 et ses évolutions, Fortran 95, 2003 et 2008 - [Eyrolles] - Claude Delannoy.pdf</t>
  </si>
  <si>
    <t>W:\Livres\Informatique\Langages\Fortran\The Fortran 2003 Handbook, The Complete Syntax, Features and Procedures (2009) - [Springer] - Adams, Brainerd, Hendrickson, Maine, Martin, Smith.pdf</t>
  </si>
  <si>
    <t>W:\Livres\Informatique\Langages\Functional Programming for the Real World with examples in C# and F# (2009) - [Manning] - Thomas Petricek, Jon Skeet.pdf</t>
  </si>
  <si>
    <t>W:\Livres\Informatique\Langages\Fuze Basic\Fuze Basic, Project Workbook (2015) - [Fuze] - Jon Silvera, Colin Bodley.pdf</t>
  </si>
  <si>
    <t>W:\Livres\Informatique\Langages\Fuze Basic\Fuze Basic, Reference Guide v1.4 Basic 3.3 (2016) - [Fuze] - Jon Silvera, Colin Bodley.pdf</t>
  </si>
  <si>
    <t>W:\Livres\Informatique\Langages\Fuze Basic\Fuze Basic, Reference Guide v2 Basic 3.5 (2016) - [Fuze] - Jon Silvera, Colin Bodley.pdf</t>
  </si>
  <si>
    <t>W:\Livres\Informatique\Langages\Haskell\Haskell Programming Language - [Wikibooks].pdf</t>
  </si>
  <si>
    <t>W:\Livres\Informatique\Langages\Haskell\Haskell, The Craft of Functional Programming (2nd ed, 1999) {Scan} - [Addison-Wesley] - Suimon Thompson.pdf</t>
  </si>
  <si>
    <t>W:\Livres\Informatique\Langages\Haskell\Haskell, The Craft of Functional Programming (2nd ed, 1999), Files.zip</t>
  </si>
  <si>
    <t>W:\Livres\Informatique\Langages\Haskell\Learn You a Haskell for Great Good! (2011) - [O'Reilly] - Miran Lipovača.pdf</t>
  </si>
  <si>
    <t>W:\Livres\Informatique\Langages\Haskell\The Haskell Road to Logic, Maths and Programming (2004) - [College Publications] - Kees Doets, Jan van Eijck.pdf</t>
  </si>
  <si>
    <t>W:\Livres\Informatique\Langages\Haskell\Why Functional Programming Matters (2004) - John Hughes.pdf</t>
  </si>
  <si>
    <t>W:\Livres\Informatique\Langages\Haskell\Yet Another Haskell Tutorial (2006) - Hal Daumé III.pdf</t>
  </si>
  <si>
    <t>W:\Livres\Informatique\Langages\Haxe 3 Manual (2016) - Haxe Foundation.pdf</t>
  </si>
  <si>
    <t>W:\Livres\Informatique\Langages\Introduction to Functional Programming (1997) - John Harrison.pdf</t>
  </si>
  <si>
    <t>W:\Livres\Informatique\Langages\Java\A Programmer's Guide to Java SCJP Certification (3rd ed, 2009) - [Addison-Wesley] - Khalid A. Mughal, Rolf W. Rasmussen.pdf</t>
  </si>
  <si>
    <t>W:\Livres\Informatique\Langages\Java\Absolute Java (6th ed, 2016) {Global Edition} - [Pearson] - Walter Savitch.pdf</t>
  </si>
  <si>
    <t>W:\Livres\Informatique\Langages\Java\Algorithmique et programmation en Java (4è ed, 2014) - [Dunod] - Vincent Granet.pdf</t>
  </si>
  <si>
    <t>W:\Livres\Informatique\Langages\Java\Ant, The Definitive Guide (2002) - [O'Reilly] - Jesse Tilly, Eric Burke.pdf</t>
  </si>
  <si>
    <t>W:\Livres\Informatique\Langages\Java\Apprendre Java et C++ en parallèle (4è ed, 2008) - [Eyrolles] - Jean-Bernard Boichat.pdf</t>
  </si>
  <si>
    <t>W:\Livres\Informatique\Langages\Java\Apprenez à programmer en Java (2010) - [Le site du zéro] - Cisboy.pdf</t>
  </si>
  <si>
    <t>W:\Livres\Informatique\Langages\Java\Architectures réparties en Java (3è ed, 2015) - [Dunod] - Annick Fron.pdf</t>
  </si>
  <si>
    <t>W:\Livres\Informatique\Langages\Java\Architectures réparties en Java (3è ed, 2015), Sources.zip</t>
  </si>
  <si>
    <t>W:\Livres\Informatique\Langages\Java\Beginning Java 7 (2011) - [Apress] - Jeff Friesen.pdf</t>
  </si>
  <si>
    <t>W:\Livres\Informatique\Langages\Java\Beginning Programming with Java for Dummies (3rd ed, 2012) - [Wiley] - Barry Burd.pdf</t>
  </si>
  <si>
    <t>W:\Livres\Informatique\Langages\Java\Big Java (4th ed, 2010) - [Wiley] - Cay Horstmann.pdf</t>
  </si>
  <si>
    <t>W:\Livres\Informatique\Langages\Java\Building Java Enterprise Applications Vol 1, Architecture (2002) - [O'Reilly] - Brett McLaughlin.pdf</t>
  </si>
  <si>
    <t>W:\Livres\Informatique\Langages\Java\Core Java for the Impatient (2015) - [Addison-Wesley] - Cay Horstmann.epub</t>
  </si>
  <si>
    <t>W:\Livres\Informatique\Langages\Java\Core Java for the Impatient (2015) {eBook converted} - [Addison-Wesley] - Cay Horstmann.pdf</t>
  </si>
  <si>
    <t>W:\Livres\Informatique\Langages\Java\Core Java Vol 1 (8th ed, 2008) - [Prentice Hall] - Horstmann, Cornell.pdf</t>
  </si>
  <si>
    <t>W:\Livres\Informatique\Langages\Java\Core Java Vol 1 (9th ed, 2013) - [Prentice Hall] - Horstmann, Cornell.epub</t>
  </si>
  <si>
    <t>W:\Livres\Informatique\Langages\Java\Core Java Vol 1 (9th ed, 2013) - [Prentice Hall] - Horstmann, Cornell.pdf</t>
  </si>
  <si>
    <t>W:\Livres\Informatique\Langages\Java\Core Java Vol 1 (10th ed, 2016) - [Prentice Hall] - Horstmann.pdf</t>
  </si>
  <si>
    <t>W:\Livres\Informatique\Langages\Java\Core Java Vol 2 (9th ed, 2013) {Bad quality} - [Prentice Hall] - Horstmann, Cornell.epub</t>
  </si>
  <si>
    <t>W:\Livres\Informatique\Langages\Java\Creating Effective JavaHelp (2000) - [O'Reilly] - Kevin Lewis.pdf</t>
  </si>
  <si>
    <t>W:\Livres\Informatique\Langages\Java\Design Patterns in Java (1st ed, 2016) - Devendra Singh.pdf</t>
  </si>
  <si>
    <t>W:\Livres\Informatique\Langages\Java\Designing Enterprise Applications with Java 2 Enterprise Edition (2000) - [Sun Microsystems] - Nicholas Kassem.pdf</t>
  </si>
  <si>
    <t>W:\Livres\Informatique\Langages\Java\Developing Java Beans (1997) - [O'Reilly] - Robert Englander.pdf</t>
  </si>
  <si>
    <t>W:\Livres\Informatique\Langages\Java\Essential App Engine, Building High-Performance Java Apps with Google App Engine (2012) - [Pearson] - Adriaan de Jonge.pdf</t>
  </si>
  <si>
    <t>W:\Livres\Informatique\Langages\Java\Exercices en Java (2è ed, 2006) - [Eyrolles] - Claude Delannoy.pdf</t>
  </si>
  <si>
    <t>W:\Livres\Informatique\Langages\Java\Exercices en Java, 175 exercices corrigés (4è ed, 2014) - [Eyrolles] - Claude Delannoy.pdf</t>
  </si>
  <si>
    <t>W:\Livres\Informatique\Langages\Java\Functional Programming for Java Developers (2011) - [O'Reilly] - Dean Wampler.pdf</t>
  </si>
  <si>
    <t>W:\Livres\Informatique\Langages\Java\Functional Programming in Java (2014) - [The Pragmatic Programmers] - Venkat Subramaniam.pdf</t>
  </si>
  <si>
    <t>W:\Livres\Informatique\Langages\Java\Getting Started with Roo (2011) - [O'Reilly] - Josh Long, Steve Mayzak.pdf</t>
  </si>
  <si>
    <t>W:\Livres\Informatique\Langages\Java\J2ME in a Nutshell (2002) - [O'Reilly] - Kim Topley.pdf</t>
  </si>
  <si>
    <t>W:\Livres\Informatique\Langages\Java\Java 1.4 et 5.0 (3è ed, 2006) - [Eyrolles] - Emmanuel Puybaret.pdf</t>
  </si>
  <si>
    <t>W:\Livres\Informatique\Langages\Java\Java 2D Graphics (1999) - [O'Reilly] - Jonathan Knudsen.pdf</t>
  </si>
  <si>
    <t>W:\Livres\Informatique\Langages\Java\Java 7 Concurrency Cookbook (2012) - [Packt] - Javier Fernández González.pdf</t>
  </si>
  <si>
    <t>W:\Livres\Informatique\Langages\Java\Java and Mac OS X Developer Reference (2010) - [Wiley] - T. Gene Davis.pdf</t>
  </si>
  <si>
    <t>W:\Livres\Informatique\Langages\Java\Java and SOAP (2002) - [O'Reilly] - Robert Englander.pdf</t>
  </si>
  <si>
    <t>W:\Livres\Informatique\Langages\Java\Java and XML (2nd ed, 2001) - [O'Reilly] - Brett McLaughlin.pdf</t>
  </si>
  <si>
    <t>W:\Livres\Informatique\Langages\Java\Java and XML Data Binding (2002) - [O'Reilly] - Brett McLaughlin.pdf</t>
  </si>
  <si>
    <t>W:\Livres\Informatique\Langages\Java\Java and XSLT (2001) {Dump} - [O'Reilly] - Eric M. Burke.pdf</t>
  </si>
  <si>
    <t>W:\Livres\Informatique\Langages\Java\Java Distributed Computing (1998) {Dump} - [O'Reilly] - Jim Farley.pdf</t>
  </si>
  <si>
    <t>W:\Livres\Informatique\Langages\Java\Java Enterprise in a Nutshell (2001) {Dump} - [O'Reilly] - David Flanagan, Jim Farley, William Crawford, Kris Magnusson.pdf</t>
  </si>
  <si>
    <t>W:\Livres\Informatique\Langages\Java\Java IO (1999) - [O'Reilly] - Elliotte Rusty Harold.pdf</t>
  </si>
  <si>
    <t>W:\Livres\Informatique\Langages\Java\Java Management Extensions (2002) - [O'Reilly] - J. Steven Perry.pdf</t>
  </si>
  <si>
    <t>W:\Livres\Informatique\Langages\Java\Java Message Service (2001) - [O'Reilly] - Richard Monson-Haefel, David A. Chappell.pdf</t>
  </si>
  <si>
    <t>W:\Livres\Informatique\Langages\Java\Java Network Programming (2nd ed, 2000) {Dump} - [O'Reilly] - Elliotte Rusty Harold.pdf</t>
  </si>
  <si>
    <t>W:\Livres\Informatique\Langages\Java\Java NIO (2002) - [O'Reilly] - Ron Hitchens.pdf</t>
  </si>
  <si>
    <t>W:\Livres\Informatique\Langages\Java\Java Performance (2012) - [Addison-Wesley] - Charlie Hunt, Binu John.pdf</t>
  </si>
  <si>
    <t>W:\Livres\Informatique\Langages\Java\Java Persistence et Hibernate (2008) - [Eyrolles] - Anthony Patricio.pdf</t>
  </si>
  <si>
    <t>W:\Livres\Informatique\Langages\Java\Java Programming 24-Hour Trainer (2nd ed, 2015) - [Wiley] - Yakov Fain.pdf</t>
  </si>
  <si>
    <t>W:\Livres\Informatique\Langages\Java\Java Programming 24-Hour Trainer (2011) - [Wiley] - Yakov Fain.pdf</t>
  </si>
  <si>
    <t>W:\Livres\Informatique\Langages\Java\Java Programming for Android Developers for Dummies (2014) - [Wiley] - Barry Burd.epub</t>
  </si>
  <si>
    <t>W:\Livres\Informatique\Langages\Java\Java Programming for Android Developers for Dummies (2014) - [Wiley] - Barry Burd.pdf</t>
  </si>
  <si>
    <t>W:\Livres\Informatique\Langages\Java\Java Programming Learn Advanced Skills (2012) - [McGraw-Hill] - Poornachandra Sarang.pdf</t>
  </si>
  <si>
    <t>W:\Livres\Informatique\Langages\Java\Java Programming with Oracle JDBC (2002) {Dump} - [O'Reilly] - Donald Bales.pdf</t>
  </si>
  <si>
    <t>W:\Livres\Informatique\Langages\Java\Java Reference Library 1.2 (1997) {Dump} - [O'Reilly].pdf</t>
  </si>
  <si>
    <t>W:\Livres\Informatique\Langages\Java\Java Reference Library 1.3 (1998) {Dump} - [O'Reilly].pdf</t>
  </si>
  <si>
    <t>W:\Livres\Informatique\Langages\Java\Java RMI (2001) {Dump} - [O'Reilly] - William Grosso.pdf</t>
  </si>
  <si>
    <t>W:\Livres\Informatique\Langages\Java\Java Security (2nd ed, 2001) - [O'Reilly] - Scott Oaks.pdf</t>
  </si>
  <si>
    <t>W:\Livres\Informatique\Langages\Java\Java Servlet Programming (1998) - [O'Reilly] - Jason Hunter.pdf</t>
  </si>
  <si>
    <t>W:\Livres\Informatique\Langages\Java\Java Threads (2nd ed, 1999) - [O'Reilly] - Scott Oaks &amp; Henry Wong.pdf</t>
  </si>
  <si>
    <t>W:\Livres\Informatique\Langages\Java\Java Web Services (2002) - [O'Reilly] - David Chappell, Tyler Jewell.pdf</t>
  </si>
  <si>
    <t>W:\Livres\Informatique\Langages\Java\Java, How to program (9th ed, 2012) - [Prentice Hall] - Deitel.pdf</t>
  </si>
  <si>
    <t>W:\Livres\Informatique\Langages\Java\Java, The Good Parts (2010) - [O'Reilly] - Jim Waldo.pdf</t>
  </si>
  <si>
    <t>W:\Livres\Informatique\Langages\Java\JBoss 3.2 Workbook for Enterprise JavaBeans (3rd ed, 2003) - [O'Reilly] - Bill Burke, Sacha Labourey.pdf</t>
  </si>
  <si>
    <t>W:\Livres\Informatique\Langages\Java\JUnit in Action (2nd ed, 2011) - [Manning] - Tahchiev, Leme, Massol, Gregory.pdf</t>
  </si>
  <si>
    <t>W:\Livres\Informatique\Langages\Java\Just Spring (2011) - [O'Reilly] - Madhusudhan Konda.pdf</t>
  </si>
  <si>
    <t>W:\Livres\Informatique\Langages\Java\La programmation objet en Java (2006) - [Dunod] - Michel Divay.pdf</t>
  </si>
  <si>
    <t>W:\Livres\Informatique\Langages\Java\Le livre de java (10è ed, 2015) - [Eyrolles] - Anne Tasso.pdf</t>
  </si>
  <si>
    <t>W:\Livres\Informatique\Langages\Java\Learn Java for Android Development (1st ed, 2010) - [Apress] - Jeff Friesen.pdf</t>
  </si>
  <si>
    <t>W:\Livres\Informatique\Langages\Java\Learn Java for Android Development (2nd ed, 2013) - [Apress] - Jeff Friesen.pdf</t>
  </si>
  <si>
    <t>W:\Livres\Informatique\Langages\Java\Learning Wireless Java (2001) - [O'Reilly] - Qusay Mahmoud.pdf</t>
  </si>
  <si>
    <t>W:\Livres\Informatique\Langages\Java\Murach's Java Programming (4th ed, 2012) - Joel Murach.pdf</t>
  </si>
  <si>
    <t>W:\Livres\Informatique\Langages\Java\OCP Java SE 6 Programmer Practice Exams 310-065 (2011) - [McGraw-Hill] - Bert Bates, Kathy Sierra.pdf</t>
  </si>
  <si>
    <t>W:\Livres\Informatique\Langages\Java\Pro Java 8 Programming (3rd ed, 2015) - [Apress] - Brett Spell.pdf</t>
  </si>
  <si>
    <t>W:\Livres\Informatique\Langages\Java\Pro Java ME Apps (2011) - [Apress] - Ovidiu Iliescu.pdf</t>
  </si>
  <si>
    <t>W:\Livres\Informatique\Langages\Java\Programmation Java, pour les enfants, les parents et les grands-parents (2005) - [Smart Data Processing] - Yakov Fain.pdf</t>
  </si>
  <si>
    <t>W:\Livres\Informatique\Langages\Java\Programmer en Java (3è ed, 2006) - [Eyrolles] - Claude Delannoy.pdf</t>
  </si>
  <si>
    <t>W:\Livres\Informatique\Langages\Java\Programmer en Java (5è ed, 2008) - [Eyrolles] - Claude Delannoy.pdf</t>
  </si>
  <si>
    <t>W:\Livres\Informatique\Langages\Java\Programmer en Java (9è ed, 2014) - [Eyrolles] - Claude Delannoy.pdf</t>
  </si>
  <si>
    <t>W:\Livres\Informatique\Langages\Java\Refactoring des application Java J2EE (2005) - [Eyrolles] - Jean-Philippe Retaillé.pdf</t>
  </si>
  <si>
    <t>W:\Livres\Informatique\Langages\Java\Starting Out with Java (6th ed, 2015) - [Prentice Hall] - Tony Gaddis.pdf</t>
  </si>
  <si>
    <t>W:\Livres\Informatique\Langages\Java\Sun Certified Enterprise Architect for Java EE Study Guide (2nd ed, 2010) - [Prentice Hall] - Mark Cade, Humphrey Sheil.pdf</t>
  </si>
  <si>
    <t>W:\Livres\Informatique\Langages\Java\Thinking in Java (4th ed, 2006) - [Prentice Hall] - Bruce Eckel.pdf</t>
  </si>
  <si>
    <t>W:\Livres\Informatique\Langages\Learning ClojureScript (2016) - [Packt] - W. David Jarvis, Rafik Naccache, Allen Rohner.epub</t>
  </si>
  <si>
    <t>W:\Livres\Informatique\Langages\Learning ClojureScript (2016) - [Packt] - W. David Jarvis, Rafik Naccache, Allen Rohner.pdf</t>
  </si>
  <si>
    <t>W:\Livres\Informatique\Langages\Learning Google Apps Script (2016) - [Packt] - Ramalingam Ganapathy.pdf</t>
  </si>
  <si>
    <t>W:\Livres\Informatique\Langages\LINQ\Essential LINQ (2009) - [Addison-Wesley] - Charlie Calvert, Dinesh Kulkarni.pdf</t>
  </si>
  <si>
    <t>W:\Livres\Informatique\Langages\LINQ\Pro LINQ in C# 2010 (2010) - [Apress] - Adam Freeman, Joseph C. Rattz Jr.pdf</t>
  </si>
  <si>
    <t>W:\Livres\Informatique\Langages\LINQ\Pro LINQ in C# 2010 (2010) - [Apress] - Adam Freeman, Joseph C. Rattz.pdf</t>
  </si>
  <si>
    <t>W:\Livres\Informatique\Langages\LINQ\Professional LINQ (2008) - [Wiley] - Scott Klein.pdf</t>
  </si>
  <si>
    <t>W:\Livres\Informatique\Langages\Lisp\An Introduction to Programming in Emacs Lisp (2nd ed, 2002) - [Free Software Foundation] - Robert J. Chassell.pdf</t>
  </si>
  <si>
    <t>W:\Livres\Informatique\Langages\Lisp\ANSI Common Lisp (1996) - [Prentice Hall] - Paul Graham.pdf</t>
  </si>
  <si>
    <t>W:\Livres\Informatique\Langages\Lisp\Basic Lisp Techniques (2000) - David J. Cooper.pdf</t>
  </si>
  <si>
    <t>W:\Livres\Informatique\Langages\Lisp\Common Lisp, A Gentle Introduction to Symbolic Computation (1990) - [Benjamin-Cummings] - David S. Touretzky.pdf</t>
  </si>
  <si>
    <t>W:\Livres\Informatique\Langages\Lisp\Common Lisp, A Gentle Introduction to Symbolic Computation (1990), Sources.rar</t>
  </si>
  <si>
    <t>W:\Livres\Informatique\Langages\Lisp\Common Lisp, An Interactive Approach (1992) - [Computer Science press] - Stuart C. Shapiro.pdf</t>
  </si>
  <si>
    <t>W:\Livres\Informatique\Langages\Lisp\Common Lisp, The Language (2nd ed, 1990) - Guy L. Steele.pdf</t>
  </si>
  <si>
    <t>W:\Livres\Informatique\Langages\Lisp\Common Lisp, Une introduction à la programmation (2è ed, 1991) {Scan} - Harald Wertzr.pdf</t>
  </si>
  <si>
    <t>W:\Livres\Informatique\Langages\Lisp\Land of Lisp (2011) - [No Starch] - Conrad Barski.pdf</t>
  </si>
  <si>
    <t>W:\Livres\Informatique\Langages\Lisp\Lisp book (1997) - Gary D. Knott.pdf</t>
  </si>
  <si>
    <t>W:\Livres\Informatique\Langages\Lisp\LISP in small pieces (1996) - [Cambridge] - Christian Queinnec.djvu</t>
  </si>
  <si>
    <t>W:\Livres\Informatique\Langages\Lisp\On Lisp, Advanced Techniques for Common Lisp (1993) - [Prentice Hall] - Paul Graham.pdf</t>
  </si>
  <si>
    <t>W:\Livres\Informatique\Langages\Lisp\Practical Common Lisp (2005) - [Apress] - Peter Siebel.epub</t>
  </si>
  <si>
    <t>W:\Livres\Informatique\Langages\Lisp\Successful Lisp, How to Understand and Use Common Lisp (2001) - David B. Lamkins.pdf</t>
  </si>
  <si>
    <t>W:\Livres\Informatique\Langages\Lua\Programming in Lua (3rd ed, 2013) - [Lua.org] - Roberto Ierusalimschy.epub</t>
  </si>
  <si>
    <t>W:\Livres\Informatique\Langages\Lua\Programming in Lua (3rd ed, 2013) - [Lua.org] - Roberto Ierusalimschy.pdf</t>
  </si>
  <si>
    <t>W:\Livres\Informatique\Langages\Objective-C\Become an Xcoder, Start Programming the Mac Using Objective-C (2006) - [CocoaLab] - Bert Altenburg, Alex Clarke and Philippe Mougin.pdf</t>
  </si>
  <si>
    <t>W:\Livres\Informatique\Langages\Objective-C\Learn Objective-C on the Mac (2009) - [Apress] - Mark Dalrymple, Scott Knaster.pdf</t>
  </si>
  <si>
    <t>W:\Livres\Informatique\Langages\Objective-C\Learning Objective-C 2.0 (2011) - [Addison-Wesley] - Robert Clair.pdf</t>
  </si>
  <si>
    <t>W:\Livres\Informatique\Langages\Objective-C\Objective C-2.0 Runtime Reference (2007) - [Apple].pdf</t>
  </si>
  <si>
    <t>W:\Livres\Informatique\Langages\Objective-C\Objective-C Developer Reference (2011) - [Wiley] - Jiva DeVoe.pdf</t>
  </si>
  <si>
    <t>W:\Livres\Informatique\Langages\Objective-C\Objective-C for Absolute Beginners (2010) - [Apress] - Gary Benett, Mitch Fischer, Brad Lees.pdf</t>
  </si>
  <si>
    <t>W:\Livres\Informatique\Langages\Objective-C\Objective-C Phrasebook (2011) - [Pearson] - David Chisnall.pdf</t>
  </si>
  <si>
    <t>W:\Livres\Informatique\Langages\Objective-C\Objective-C Visual QuickStart Guide (2010) - [Peachpit Press] - Steven Holzner.pdf</t>
  </si>
  <si>
    <t>W:\Livres\Informatique\Langages\Objective-C\Object-Oriented Programming with Objective-C (2007) - [Apple].pdf</t>
  </si>
  <si>
    <t>W:\Livres\Informatique\Langages\Objective-C\Pro Objective-C Design Patterns for iOS (2010) - [Apress] - Carlo Chung.pdf</t>
  </si>
  <si>
    <t>W:\Livres\Informatique\Langages\Objective-C\Programming in Objective-C 2.0 (2nd ed, 2008) {Dump} - [Addison-Wesley] - Stephen G. Kochan.pdf</t>
  </si>
  <si>
    <t>W:\Livres\Informatique\Langages\Objective-C\Programming in Objective-C 2.0 (3rd ed, 2011) - [Addison-Wesley] - Stephen G. Kochan.pdf</t>
  </si>
  <si>
    <t>W:\Livres\Informatique\Langages\Objective-C\Programming in Objective-C 2.0 (2009) - [Addison-Wesley] - Stephen G. Kochan.pdf</t>
  </si>
  <si>
    <t>W:\Livres\Informatique\Langages\Objective-C\The Objective C 2.0 Programming language (2008) - [Apple].pdf</t>
  </si>
  <si>
    <t>W:\Livres\Informatique\Langages\Objective-C\The Objective-C Programming Language (2010) - [Apple].pdf</t>
  </si>
  <si>
    <t>W:\Livres\Informatique\Langages\Pascal\Microsoft Pascal Compiler, Lib Reference Manual (1985) {Scan} - [Microsoft].pdf</t>
  </si>
  <si>
    <t>W:\Livres\Informatique\Langages\Pascal\Microsoft Pascal Compiler, Quick Reference Guide (1985) {Scan} - [Microsoft].pdf</t>
  </si>
  <si>
    <t>W:\Livres\Informatique\Langages\Pascal\Microsoft Pascal Compiler, Reference Manual (1985) {Scan} - [Microsoft].pdf</t>
  </si>
  <si>
    <t>W:\Livres\Informatique\Langages\Pascal\Microsoft Pascal Compiler, User Guide (1985) {Scan} - [Microsoft].pdf</t>
  </si>
  <si>
    <t>W:\Livres\Informatique\Langages\Perl\Advanced Perl Programming (1997) {Dump} - [O'Reilly] - Sriram Srinivasan.pdf</t>
  </si>
  <si>
    <t>W:\Livres\Informatique\Langages\Perl\Beginning Perl (2012) - [Wrox] - Curtis Poe.pdf</t>
  </si>
  <si>
    <t>W:\Livres\Informatique\Langages\Perl\Effective Perl Programming, Write Better More Idiomatic Perl (2nd ed, 2010) - [Addison-Wesley] - Joseph Hall, Joshua McAdams, Brian Foy.pdf</t>
  </si>
  <si>
    <t>W:\Livres\Informatique\Langages\Perl\Graphics Programming with Perl (2002) - [Manning] - Martien Verbruggen.pdf</t>
  </si>
  <si>
    <t>W:\Livres\Informatique\Langages\Perl\Intermediate Perl (2nd ed, 2012) - [O'Reilly] - Randal L. Schwartz, Brian Doy, Tom Phoenix.pdf</t>
  </si>
  <si>
    <t>W:\Livres\Informatique\Langages\Perl\Learning Perl (5th ed, 2008) - [O'Reilly] - Randal L. Schwartz, Tom Phoenix, Brian Foy.pdf</t>
  </si>
  <si>
    <t>W:\Livres\Informatique\Langages\Perl\Learning Perl (6th ed, 2011) - [O'Reilly] - Randal L. Schwartz, Brian Foy, Tom Phoenix.pdf</t>
  </si>
  <si>
    <t>W:\Livres\Informatique\Langages\Perl\Mastering Perl (2nd ed, 2014) - [O'Reilly] - Brian D Foy.pdf</t>
  </si>
  <si>
    <t>W:\Livres\Informatique\Langages\Perl\Mastering Perl (2007) - [O'Reilly] - Brian D Foy.pdf</t>
  </si>
  <si>
    <t>W:\Livres\Informatique\Langages\Perl\Modern Perl (2010) - [Onyx Neon Press] - Chromatic.pdf</t>
  </si>
  <si>
    <t>W:\Livres\Informatique\Langages\Perl\Object Oriented Perl (2000) - [Manning] - Damian Conway.pdf</t>
  </si>
  <si>
    <t>W:\Livres\Informatique\Langages\Perl\Perl in a Nutshell (1998) {Dump} - [O'Reilly] - Ellen Siever, Stephen Spainhour, Nathan Patwardhan.pdf</t>
  </si>
  <si>
    <t>W:\Livres\Informatique\Langages\Perl\Perl Pocket Reference (5th ed, 2011) - [O'Reilly] - Johan Vromans.pdf</t>
  </si>
  <si>
    <t>W:\Livres\Informatique\Langages\Perl\Perl Power!, The Comprehensive Guide (2006) - [Thomson] - John P. Flynt.pdf</t>
  </si>
  <si>
    <t>W:\Livres\Informatique\Langages\Perl\Perl Quick Reference Guide 5.004 - Johan Vromans.pdf</t>
  </si>
  <si>
    <t>W:\Livres\Informatique\Langages\Perl\Perl, The Complete Reference (2nd ed, 2001) - [McGraw-Hill] - Martin C. Brown.pdf</t>
  </si>
  <si>
    <t>W:\Livres\Informatique\Langages\Perl\Professional Perl Programming (2001) - [Wrox] - Peter Wainwright.pdf</t>
  </si>
  <si>
    <t>W:\Livres\Informatique\Langages\Perl\Programmation en Perl (2005) - [Digit Books] - Wall, Christiansen, Orwant.pdf</t>
  </si>
  <si>
    <t>W:\Livres\Informatique\Langages\Perl\Programming Perl (2nd ed, 1996) {Dump} - [O'Reilly] - Larry Wall, Tom Christiansen, Randal L. Schwartz.pdf</t>
  </si>
  <si>
    <t>W:\Livres\Informatique\Langages\Perl\Programming Perl (4th ed, 2012) - [O'Reilly] - Tom Christiansen, Brian D Foy, Larry Wall.pdf</t>
  </si>
  <si>
    <t>W:\Livres\Informatique\Langages\Perl\Teach yourself Perl in 24 hours (3rd ed, 2005) {Dump} - [Sams] - Clinton Pierce.pdf</t>
  </si>
  <si>
    <t>W:\Livres\Informatique\Langages\PL-1\A PL-1 primer (1965) - [IBM].pdf</t>
  </si>
  <si>
    <t>W:\Livres\Informatique\Langages\PL-1\Enterprise PL-1 for z-OS Programming Guide (2013) - [IBM].pdf</t>
  </si>
  <si>
    <t>W:\Livres\Informatique\Langages\PL-1\PL-1 Language Programmer's Guide (1982) - [Digital Research].pdf</t>
  </si>
  <si>
    <t>W:\Livres\Informatique\Langages\PL-1\PL-1 MVS &amp; VM Language Reference (2nd ed, 1995) - [IBM].pdf</t>
  </si>
  <si>
    <t>W:\Livres\Informatique\Langages\PL-1\PL-1 Presentation (2003) {Presentation} - Sanjay Sinha.pdf</t>
  </si>
  <si>
    <t>W:\Livres\Informatique\Langages\PL-1\The PL-1 Programming Language (1978) {Research Report} - [New York University] - Paul Abrahams.pdf</t>
  </si>
  <si>
    <t>W:\Livres\Informatique\Langages\Pragmatic Programming Erlang (2007) - [The Pragmatic Programmers] - Joe Armstrong.pdf</t>
  </si>
  <si>
    <t>W:\Livres\Informatique\Langages\Programming Rust (2016) {Prerelease} - [O'Reilly] - Jim Blandy, Jason Orendorff.pdf</t>
  </si>
  <si>
    <t>W:\Livres\Informatique\Langages\Python\A Primer on Scientific Programming with Python (2nd ed, 2011) - [Springer] - Hans Petter Langtangen.pdf</t>
  </si>
  <si>
    <t>W:\Livres\Informatique\Langages\Python\Advanced Python Programming (2000) {Presentation} - David M. Beazley.pdf</t>
  </si>
  <si>
    <t>W:\Livres\Informatique\Langages\Python\Apprendre à coder en Python grâce à Minecraft dès 10 ans (2016) - [Eyrolles] - Martin O'Hanlon, David Whale.pdf</t>
  </si>
  <si>
    <t>W:\Livres\Informatique\Langages\Python\Apprendre à coder en Python grâce à Minecraft dès 10 ans (2016), Fichiers de travail.rar</t>
  </si>
  <si>
    <t>W:\Livres\Informatique\Langages\Python\Apprendre à programmer avec Phyton (2008) - Gérard Swinnen.pdf</t>
  </si>
  <si>
    <t>W:\Livres\Informatique\Langages\Python\Apprendre à programmer avec Python (2009) - [Eyrolles] - Gérard Swinnen.pdf</t>
  </si>
  <si>
    <t>W:\Livres\Informatique\Langages\Python\Apprendre à programmer avec Python 3 (2012) - Gérard Swinnen.pdf</t>
  </si>
  <si>
    <t>W:\Livres\Informatique\Langages\Python\Apprendre Python! - [Le site du zéro] - Prolixe.pdf</t>
  </si>
  <si>
    <t>W:\Livres\Informatique\Langages\Python\Beginning Python (2005) - [Wiley] - Norton et al.pdf</t>
  </si>
  <si>
    <t>W:\Livres\Informatique\Langages\Python\Cahier d'activités Python pour les kids (2016) - [Eyrolles] - David Weinachter.pdf</t>
  </si>
  <si>
    <t>W:\Livres\Informatique\Langages\Python\Core Python Applications Programming (3rd ed, 2012) - [Prentice Hall] - Wesley J. Chun.pdf</t>
  </si>
  <si>
    <t>W:\Livres\Informatique\Langages\Python\Data Science from Scratch, First Principles with Python (2015) - [O'Reilly] - Joel Grus.epub</t>
  </si>
  <si>
    <t>W:\Livres\Informatique\Langages\Python\Data Science from Scratch, First Principles with Python (2015) - [O'Reilly] - Joel Grus.pdf</t>
  </si>
  <si>
    <t>W:\Livres\Informatique\Langages\Python\Data Science, Fondamentaux et études de cas, Machine learning avec Python et R (2015) - [Eyrolles] - Éric Biernat, Michel Lutz.epub</t>
  </si>
  <si>
    <t>W:\Livres\Informatique\Langages\Python\Data Science, Fondamentaux et études de cas, Machine learning avec Python et R (2015) - [Eyrolles] - Éric Biernat, Michel Lutz.pdf</t>
  </si>
  <si>
    <t>W:\Livres\Informatique\Langages\Python\Data Wrangling with Python (2016) - [O'Reilly] - Jacqueline Kazil, Katharine Jarmul.pdf</t>
  </si>
  <si>
    <t>W:\Livres\Informatique\Langages\Python\Doing Math with Python (2015) - [No Starch] - Amit Saha.pdf</t>
  </si>
  <si>
    <t>W:\Livres\Informatique\Langages\Python\Expert Python Programming (2nd ed, 2016) - [Packt] - Michał Jaworski, Tarek Ziadé.epub</t>
  </si>
  <si>
    <t>W:\Livres\Informatique\Langages\Python\Expert Python Programming (2nd ed, 2016) - [Packt] - Michał Jaworski, Tarek Ziadé.pdf</t>
  </si>
  <si>
    <t>W:\Livres\Informatique\Langages\Python\Fluent Python (2015) {Early release 7} - [O'Reilly] - Luciano Ramalho.epub</t>
  </si>
  <si>
    <t>W:\Livres\Informatique\Langages\Python\Fluent Python (2015) {Early release 7} - [O'Reilly] - Luciano Ramalho.pdf</t>
  </si>
  <si>
    <t>W:\Livres\Informatique\Langages\Python\Foundations of Python Network Programming (2nd ed, 2010) - [Apress] - Brandon Rhodes, John Goerzen.pdf</t>
  </si>
  <si>
    <t>W:\Livres\Informatique\Langages\Python\Fundamentals of Python from First Programs through Data Structures (2010) - [Course Technology, Cengage Learning] - Kenneth A. Lambert.pdf</t>
  </si>
  <si>
    <t>W:\Livres\Informatique\Langages\Python\Head First Python (2011) - [O'Reilly] - Paul Barry.pdf</t>
  </si>
  <si>
    <t>W:\Livres\Informatique\Langages\Python\Hello Python (2012) - [Manning] - Anthony Briggs.pdf</t>
  </si>
  <si>
    <t>W:\Livres\Informatique\Langages\Python\Initiation à la programmation avec Python et C++ (2009) - [Pearson] - Yves Bailly.pdf</t>
  </si>
  <si>
    <t>W:\Livres\Informatique\Langages\Python\Introducing Python, Modern Computing in Simple Packages (2015) - [O'Reilly] - Bill Lubanovic.epub</t>
  </si>
  <si>
    <t>W:\Livres\Informatique\Langages\Python\Introduction to Programming Using Python (2013) - [Pearson] - Y. Daniel Liang.pdf</t>
  </si>
  <si>
    <t>W:\Livres\Informatique\Langages\Python\Learn Python in a Day (2015) - [Acodemy].pdf</t>
  </si>
  <si>
    <t>W:\Livres\Informatique\Langages\Python\Learning Python (4th ed, 2009) - [O'Reilly] - Mark Lutz.pdf</t>
  </si>
  <si>
    <t>W:\Livres\Informatique\Langages\Python\Learning Python (5th ed, 2013) - [O'Reilly] - Mark Lutz.pdf</t>
  </si>
  <si>
    <t>W:\Livres\Informatique\Langages\Python\Learning Python Design Patterns (2nd ed, 2016) - [Packt] - Chetan Giridhar.epub</t>
  </si>
  <si>
    <t>W:\Livres\Informatique\Langages\Python\Learning Python Design Patterns (2nd ed, 2016) - [Packt] - Chetan Giridhar.pdf</t>
  </si>
  <si>
    <t>W:\Livres\Informatique\Langages\Python\Making Use of Python (2002) - [Wiley] - Rashi Gupta.pdf</t>
  </si>
  <si>
    <t>W:\Livres\Informatique\Langages\Python\Mastering Python Data Visualization (2015) - [Packt] - Kirthi Raman.pdf</t>
  </si>
  <si>
    <t>W:\Livres\Informatique\Langages\Python\Mastering Python Design Patterns (2015) - [Packt] - Sakis Kasampalis.epub</t>
  </si>
  <si>
    <t>W:\Livres\Informatique\Langages\Python\Mastering Python Scientific Computing (2015) - [Packt] - Hemant Kumar Mehta.epub</t>
  </si>
  <si>
    <t>W:\Livres\Informatique\Langages\Python\Numerical Methods in Engineering with Python (2nd ed, 2010) - [Cambridge] - Jaan Kiusalaas.pdf</t>
  </si>
  <si>
    <t>W:\Livres\Informatique\Langages\Python\Pro Android Python with SL4A (2011) - [Apress] - Paul Ferrill.pdf</t>
  </si>
  <si>
    <t>W:\Livres\Informatique\Langages\Python\Pro Python (2010) - [Apress] - Marty Alchin.pdf</t>
  </si>
  <si>
    <t>W:\Livres\Informatique\Langages\Python\Pro Python System Administration (2010) - [Apress] - Rytis Sileika.pdf</t>
  </si>
  <si>
    <t>W:\Livres\Informatique\Langages\Python\Programmation en Python pour les mathématiques (2è ed, 2016) - [Dunod] - Casamou-Boucau, Chauvin, Connan.pdf</t>
  </si>
  <si>
    <t>W:\Livres\Informatique\Langages\Python\Programmation Python, Conception et optimisation (2è ed, 2009) - [Eyrolles] - Tarek Ziadé.pdf</t>
  </si>
  <si>
    <t>W:\Livres\Informatique\Langages\Python\Programming Computer Vision with Python (2012) - [O'Reilly] - Jan Erik Solem.pdf</t>
  </si>
  <si>
    <t>W:\Livres\Informatique\Langages\Python\Programming in Python 3 (2nd ed, 2009) - [Addison-Wesley] - Mark Summerfield.pdf</t>
  </si>
  <si>
    <t>W:\Livres\Informatique\Langages\Python\Programming in Python 3 (2nd ed, 2010) - [Addison-Wesley] - Mark Summerfield.pdf</t>
  </si>
  <si>
    <t>W:\Livres\Informatique\Langages\Python\Programming Python (4th ed, 2010) - [O'Reilly] - Mark Lutz.pdf</t>
  </si>
  <si>
    <t>W:\Livres\Informatique\Langages\Python\Python &amp; XML (2002) {Dump} - [O'Reilly] - Christopher A. Jones.pdf</t>
  </si>
  <si>
    <t>W:\Livres\Informatique\Langages\Python\Python 2.6 Graphics Cookbook (2010) - [Packt] - Mike Ohlson de Fine.pdf</t>
  </si>
  <si>
    <t>W:\Livres\Informatique\Langages\Python\Python 3 Web Development, Beginner's Guide (2011) - [Packt] - Michel Anders.pdf</t>
  </si>
  <si>
    <t>W:\Livres\Informatique\Langages\Python\Python 3.4.3 Library Reference (2015) - [Python Software Foundation] - Guido van Rossum.pdf</t>
  </si>
  <si>
    <t>W:\Livres\Informatique\Langages\Python\Python 3.5.2 Library Reference (2016) - [Python Software Foundation] - Guido van Rossum.pdf</t>
  </si>
  <si>
    <t>W:\Livres\Informatique\Langages\Python\Python Algorithms, Mastering Basic Algorithms in the Python Language (2010) - [Apress] - Magnus Lie Hetland.pdf</t>
  </si>
  <si>
    <t>W:\Livres\Informatique\Langages\Python\Python Essential Reference (3rd ed, 2006) - [Sams] - Beazley.pdf</t>
  </si>
  <si>
    <t>W:\Livres\Informatique\Langages\Python\Python for Data Analysis (2013) - Wes McKinney.pdf</t>
  </si>
  <si>
    <t>W:\Livres\Informatique\Langages\Python\Python Multimedia, Beginner's Guide (2010) - Ninad Sathaye.pdf</t>
  </si>
  <si>
    <t>W:\Livres\Informatique\Langages\Python\Python pour les kids (2015) - [Eyrolles] - Jason Briggs.pdf</t>
  </si>
  <si>
    <t>W:\Livres\Informatique\Langages\Python\Python Programming Fundamentals (2011) - [Springer] - Kent D. Lee.pdf</t>
  </si>
  <si>
    <t>W:\Livres\Informatique\Langages\Python\Python Testing Cookbook (2011) - [Packt] - Greg L. Turnquist.pdf</t>
  </si>
  <si>
    <t>W:\Livres\Informatique\Langages\Python\Spring Python 1.1 (2010) - [Packt] - Greg Lee Turnquist.pdf</t>
  </si>
  <si>
    <t>W:\Livres\Informatique\Langages\Python\Starting Out with Python (2nd ed, 2012) - [Addison-Wesley] - Tony Gaddis.pdf</t>
  </si>
  <si>
    <t>W:\Livres\Informatique\Langages\Python\The Python Standard Library by Example (2011) - [Addison-Wesley] - Doug Hellmann.pdf</t>
  </si>
  <si>
    <t>W:\Livres\Informatique\Langages\Python\The Quick Python Book 2nd Ed. (2nd ed, 2010) - [Manning] - Vernon L. Ceder.pdf</t>
  </si>
  <si>
    <t>W:\Livres\Informatique\Langages\Python\Think Python (2012) - [O'Reilly] - Allen B. Downey.pdf</t>
  </si>
  <si>
    <t>W:\Livres\Informatique\Langages\Python\Think Python, How to Think Like a Computer Scientist (3rd ed, 2008) - [Green Tea] - Downey.pdf</t>
  </si>
  <si>
    <t>W:\Livres\Informatique\Langages\Python\Tkinter 8.4 reference, A GUI for Python (2010) - John W. Shipman.pdf</t>
  </si>
  <si>
    <t>W:\Livres\Informatique\Langages\Python\Violent Python, A Cookbook for Hackers, Forensic Analysts, Penetration Testers and Security Engineers (2013) - [Syngress] - TJ. O'Connor.pdf</t>
  </si>
  <si>
    <t>W:\Livres\Informatique\Langages\Python\wxPython 2.8 Application Development Cookbook (2010) - [Packt] - Cody Precord.pdf</t>
  </si>
  <si>
    <t>W:\Livres\Informatique\Langages\R\Beginning R, An Introduction to Statistical Programming (2nd ed, 2015) - [Apress] - Wiley, Pace.pdf</t>
  </si>
  <si>
    <t>W:\Livres\Informatique\Langages\R\Data Mining Algorithms Explained Using R (2015) - [Wiley] - Paweł Cichosz.pdf</t>
  </si>
  <si>
    <t>W:\Livres\Informatique\Langages\R\Foundations of Statistical Algorithms (2014) - [CRC Press] - Claus Weihs, Olaf Mersmann, Uwe Ligges.pdf</t>
  </si>
  <si>
    <t>W:\Livres\Informatique\Langages\R\Learn R Programming in a Day (2015) - [Acodemy].pdf</t>
  </si>
  <si>
    <t>W:\Livres\Informatique\Langages\R\R for Dummies (2012) - [Wiley] - Andrie de Vries, Joris Meys.pdf</t>
  </si>
  <si>
    <t>W:\Livres\Informatique\Langages\R\Régression avec R (2011) - [Springer] - Pierre-André Cornillon, Eric Matzner-Løber.pdf</t>
  </si>
  <si>
    <t>W:\Livres\Informatique\Langages\R\Régression avec R, Correction exercices.pdf</t>
  </si>
  <si>
    <t>W:\Livres\Informatique\Langages\Ruby, Rails\Agile Web Development with Rails (2nd ed, 2007) - [The Pragmatic Programmers] - Dave Thomas, David Heinemeier Hansson.pdf</t>
  </si>
  <si>
    <t>W:\Livres\Informatique\Langages\Ruby, Rails\Beginning Rails 3 (2010) - [Apress] - Cloves Carneiro Jr, Rida Al Barazi.pdf</t>
  </si>
  <si>
    <t>W:\Livres\Informatique\Langages\Ruby, Rails\Best of Ruby Quiz (2006) - [The Pragmatic Programmers] - James Edward Gray II.pdf</t>
  </si>
  <si>
    <t>W:\Livres\Informatique\Langages\Ruby, Rails\Cloning Internet Applications with Ruby (2010) - [Packt] - Chang Sau Sheong.pdf</t>
  </si>
  <si>
    <t>W:\Livres\Informatique\Langages\Ruby, Rails\Continuous Testing with Ruby Rails and JavaScript (2011) - [The Pragmatic Programmers] - Ben Rady, Rod Coffin.pdf</t>
  </si>
  <si>
    <t>W:\Livres\Informatique\Langages\Ruby, Rails\Deploying Rails Applications (2008) - [The Pragmatic Programmers] - Ezra Zygmuntowicz, Bruce A. Tate, Clinton Begin.pdf</t>
  </si>
  <si>
    <t>W:\Livres\Informatique\Langages\Ruby, Rails\Design Patterns in Ruby (2008) - [Addison-Wesley] - Russ Olsen.pdf</t>
  </si>
  <si>
    <t>W:\Livres\Informatique\Langages\Ruby, Rails\Eloquent Ruby (2011) - [Addison-Wesley] - Russ Olsen.pdf</t>
  </si>
  <si>
    <t>W:\Livres\Informatique\Langages\Ruby, Rails\Enterprise Integration with Ruby (2006) - [The Pragmatic Programmers] - Maik Schmidt.pdf</t>
  </si>
  <si>
    <t>W:\Livres\Informatique\Langages\Ruby, Rails\Enterprise Recipes with Ruby and Rails (2008) - [The Pragmatic Programmers] - Maik Schmidt.pdf</t>
  </si>
  <si>
    <t>W:\Livres\Informatique\Langages\Ruby, Rails\Everyday Scripting with Ruby (2006) - [The Pragmatic Programmers] - Brian Marick.pdf</t>
  </si>
  <si>
    <t>W:\Livres\Informatique\Langages\Ruby, Rails\From Java to Ruby (2006) - [The Pragmatic Programmers] - Bruce Tate.pdf</t>
  </si>
  <si>
    <t>W:\Livres\Informatique\Langages\Ruby, Rails\FXRuby, Create Lean and Mean GUIs with Ruby (2008) - [The Pragmatic Programmers] - Lyle Johnson.pdf</t>
  </si>
  <si>
    <t>W:\Livres\Informatique\Langages\Ruby, Rails\I Love Ruby (2015) - Karthikeyan.pdf</t>
  </si>
  <si>
    <t>W:\Livres\Informatique\Langages\Ruby, Rails\JRuby on Rails (2007) - [Apress] - Ola Bini.pdf</t>
  </si>
  <si>
    <t>W:\Livres\Informatique\Langages\Ruby, Rails\Les design patterns en Ruby (2008) - [Pearson] - Russ Olsen.pdf</t>
  </si>
  <si>
    <t>W:\Livres\Informatique\Langages\Ruby, Rails\MacRuby, The Definitive Guide (2011) - [O'Reilly] - Matt Aimonetti.pdf</t>
  </si>
  <si>
    <t>W:\Livres\Informatique\Langages\Ruby, Rails\Metaprogramming Ruby (2010) - [The Pragmatic Programmers] - Paolo Perrotta.pdf</t>
  </si>
  <si>
    <t>W:\Livres\Informatique\Langages\Ruby, Rails\Practical Ruby Projects (2008) - [Apress] - Topher Cyll.pdf</t>
  </si>
  <si>
    <t>W:\Livres\Informatique\Langages\Ruby, Rails\Pro Active Record, Databases with Ruby and Rails (2007) - [Apress] - Kevin Marshall, Chad Pytel, Jon Yurek.pdf</t>
  </si>
  <si>
    <t>W:\Livres\Informatique\Langages\Ruby, Rails\Professional Ruby on Rails (2008) - [Wiley] - Noel Rappin.pdf</t>
  </si>
  <si>
    <t>W:\Livres\Informatique\Langages\Ruby, Rails\Programming Ruby 1.9 (2010) - [The Pragmatic Programmers] - Dave Thomas.pdf</t>
  </si>
  <si>
    <t>W:\Livres\Informatique\Langages\Ruby, Rails\Rails 3 in Action (2012) - [Manning] - Ryan Bigg, Yehuda Katz.pdf</t>
  </si>
  <si>
    <t>W:\Livres\Informatique\Langages\Ruby, Rails\Rails Recipes (2006) - [The Pragmatic Programmers] - Chad Fowler.pdf</t>
  </si>
  <si>
    <t>W:\Livres\Informatique\Langages\Ruby, Rails\Refactoring in Ruby (2010) - [Addison-Wesley] - Wake, Rutherford.pdf</t>
  </si>
  <si>
    <t>W:\Livres\Informatique\Langages\Ruby, Rails\Refactoring, Ruby Edition (2009) - [Addison-Wesley] - Jay Fields, Shane Harvie, Martin Fowler.pdf</t>
  </si>
  <si>
    <t>W:\Livres\Informatique\Langages\Ruby, Rails\Ruby Best Practices (2009) - [O'Reilly] - Gregory Brown.pdf</t>
  </si>
  <si>
    <t>W:\Livres\Informatique\Langages\Ruby, Rails\Ruby for Rails (2006) - [Manning] - David Black.pdf</t>
  </si>
  <si>
    <t>W:\Livres\Informatique\Langages\Ruby, Rails\Ruby for System Administration (2007) - [Apress] - André Ben Hamou.pdf</t>
  </si>
  <si>
    <t>W:\Livres\Informatique\Langages\Ruby, Rails\Ruby on Rails 3 Tutorial (2011) - [Addison-Wesley] - Michael Hartl.pdf</t>
  </si>
  <si>
    <t>W:\Livres\Informatique\Langages\Ruby, Rails\Ruby on Rails 5.0 for Autodidacts, Learn Ruby 2.3 and Rails 5.0 (2016) - Stefan Wintermeyer.pdf</t>
  </si>
  <si>
    <t>W:\Livres\Informatique\Langages\Ruby, Rails\Ruby Pocket Reference (2007) - [O'Reilly] - Michael Fitzgerald.pdf</t>
  </si>
  <si>
    <t>W:\Livres\Informatique\Langages\Ruby, Rails\Ruby Programming (2011) - [Cengage Learning] - Jerry Ford.pdf</t>
  </si>
  <si>
    <t>W:\Livres\Informatique\Langages\Ruby, Rails\Sinatra up and Running (2012) - [O'Reilly] - Alan Harris and Konstantin Haase.pdf</t>
  </si>
  <si>
    <t>W:\Livres\Informatique\Langages\Ruby, Rails\The Book of Ruby (2011) - [No Starch] - Huw Collingbourne.pdf</t>
  </si>
  <si>
    <t>W:\Livres\Informatique\Langages\Ruby, Rails\The Rails View, Creating a Beautiful and Maintainable User Experience (2012) - [The Pragmatic Programmers] - John Athayde, Bruce Williams.pdf</t>
  </si>
  <si>
    <t>W:\Livres\Informatique\Langages\Ruby, Rails\The Rails Way (2008) - [Addison-Wesley] - Obie Fernandez.pdf</t>
  </si>
  <si>
    <t>W:\Livres\Informatique\Langages\Ruby, Rails\The Well Grounded Rubyist (2009) - [Manning] - David Black.pdf</t>
  </si>
  <si>
    <t>W:\Livres\Informatique\Langages\Ruby, Rails\Using JRuby (2011) - [The Pragmatic Programmers] - Nutter, Sieger, Enebo, Bini, Dees.pdf</t>
  </si>
  <si>
    <t>W:\Livres\Informatique\Langages\Scala\Beginning Scala (2nd ed, 2015) - [Apress] - Vishal Layka, David Pollak.pdf</t>
  </si>
  <si>
    <t>W:\Livres\Informatique\Langages\Scala\Programming Scala (1st ed, 2009) - [O'Reilly] - Dean Wampler Alex Payne.pdf</t>
  </si>
  <si>
    <t>W:\Livres\Informatique\Langages\Scala\Programming Scala (2nd ed, 2014) - [O'Reilly] - Dean Wampler, Alex Payne.pdf</t>
  </si>
  <si>
    <t>W:\Livres\Informatique\Langages\Scala\Scala Functional Programming Patterns (2015) - [Packt] - Atul S.Khot.pdf</t>
  </si>
  <si>
    <t>W:\Livres\Informatique\Langages\Scala\Scala High Performance Programming (2016) - [Packt] - Vincent Theron, Michael Diamant.pdf</t>
  </si>
  <si>
    <t>W:\Livres\Informatique\Langages\Scheme\An Introduction to Scheme and its Implementation (1997) {Webdump}.pdf</t>
  </si>
  <si>
    <t>W:\Livres\Informatique\Langages\Scheme\Concrete Abstractions, An Introduction to Computer Science Using Scheme (1999) - [Brroks-Cole] - Hailperin, Kaiser, Knight.pdf</t>
  </si>
  <si>
    <t>W:\Livres\Informatique\Langages\Scheme\Programming in Scheme (1990) - [MIT Press] - Eisenberg, Abelson.djvu</t>
  </si>
  <si>
    <t>W:\Livres\Informatique\Langages\Scheme\Simply Scheme, Introducing Computer Science (2nd ed, 1999) {Dump} - [MIT Press] - Brian Harvey, Matthew Wright.pdf</t>
  </si>
  <si>
    <t>W:\Livres\Informatique\Langages\Scheme\Teach Yourself Scheme in Fixnum Days (2004) - Dorai Sitaram.pdf</t>
  </si>
  <si>
    <t>W:\Livres\Informatique\Langages\Scheme\The Little Schemer (4th ed, 1996) {Scan} - Daniel P. Friedman, Matthias Felleisen.pdf</t>
  </si>
  <si>
    <t>W:\Livres\Informatique\Langages\Scheme\The Seasoned Schemer (4th ed, 1995) {Scan} - Daniel P. Friedman, Matthias Felleisen.pdf</t>
  </si>
  <si>
    <t>W:\Livres\Informatique\Langages\Scratch\Cahier d'activités Scratch pour les kids, dès 8 ans (2015) - [Eyrolles] - Frédéric Pain.pdf</t>
  </si>
  <si>
    <t>W:\Livres\Informatique\Langages\Scratch\Coding for Kids, Scratch - [Magbook].pdf</t>
  </si>
  <si>
    <t>W:\Livres\Informatique\Langages\Scratch\Le grand livre de Scratch (2016) - [Eyrolles] - Majed Marji.pdf</t>
  </si>
  <si>
    <t>W:\Livres\Informatique\Langages\Scratch\Learn to Program with Scratch (2014) - [No Starch] - Majed Marji.pdf</t>
  </si>
  <si>
    <t>W:\Livres\Informatique\Langages\Scratch\Scratch 2.0 Beginner's Guide (2nd ed, 2014) - [Packt] - Michael Badger.pdf</t>
  </si>
  <si>
    <t>W:\Livres\Informatique\Langages\Scratch\ScratchJr pour les kids (2016) - [Eyrolles] - Marina Umaschi Bers, Mitchel Resnik.pdf</t>
  </si>
  <si>
    <t>W:\Livres\Informatique\Langages\The Go Programming Language (2016) - [Addison-Wesley] - Alan Donovan, Brian Kernighan.epub</t>
  </si>
  <si>
    <t>W:\Livres\Informatique\Langages\Thinking Forth (2004) - Leo Brodie.pdf</t>
  </si>
  <si>
    <t>W:\Livres\Informatique\Langages\Visual Basic\A programmer's introduction to VB.Net (2001) - [Sams] - Craig Utley.pdf</t>
  </si>
  <si>
    <t>W:\Livres\Informatique\Langages\Visual Basic\Beginning Object Oriented Programming with VB 2005, From Novice to Professional (2006) - [Apress] - Daniel R. Clark.pdf</t>
  </si>
  <si>
    <t>W:\Livres\Informatique\Langages\Visual Basic\Beginning Visual Basic 2005 (2006) - [Wiley] - Thearon Willis, Bryan Newsome.pdf</t>
  </si>
  <si>
    <t>W:\Livres\Informatique\Langages\Visual Basic\Beginning Visual Basic 2010 (2010) - [Wiley] - Thearon Willis, Bryan Newsome.pdf</t>
  </si>
  <si>
    <t>W:\Livres\Informatique\Langages\Visual Basic\Data Entry and Validation with C Sharp and VB .Net Windows Forms (2003) {Dump} - [Apress] - Nick Symmonds.pdf</t>
  </si>
  <si>
    <t>W:\Livres\Informatique\Langages\Visual Basic\Découvrir et maîtriser Visual Basic 6 (2002) - [Loze-Dion] - Carole Lamontagne.pdf</t>
  </si>
  <si>
    <t>W:\Livres\Informatique\Langages\Visual Basic\Mastering Visual Basic .Net (2002) - [Sybex] - Evangelos Petroutsos.pdf</t>
  </si>
  <si>
    <t>W:\Livres\Informatique\Langages\Visual Basic\Microsoft Excel VBA Programming for the Absolute Beginner (2002) - [Premier Press] - Duane Birnbaum.pdf</t>
  </si>
  <si>
    <t>W:\Livres\Informatique\Langages\Visual Basic\Microsoft Visual Basic 2005 Express Edition, Build a Program Now (2006) - [Microsoft Press].pdf</t>
  </si>
  <si>
    <t>W:\Livres\Informatique\Langages\Visual Basic\MSCD Visual Basic 6 Exams 70-175 and 70-176 (1999) - [New Riders] - Hawhee et al.pdf</t>
  </si>
  <si>
    <t>W:\Livres\Informatique\Langages\Visual Basic\Network programming .Net with C Sharp and VB.Net (2004) - [Elsevier] - Fiach Reid.pdf</t>
  </si>
  <si>
    <t>W:\Livres\Informatique\Langages\Visual Basic\OOP with Microsoft Visual Basic .Net and Microsoft Visual C Sharp Step by Step (2002) {Dump} - [Microsoft Press] - Robin A. Reynolds-Haertle.pdf</t>
  </si>
  <si>
    <t>W:\Livres\Informatique\Langages\Visual Basic\Pro VB 2008 and the .Net 3.5 Platform (2008) - [Apress] - Andrew Troelsen.pdf</t>
  </si>
  <si>
    <t>W:\Livres\Informatique\Langages\Visual Basic\Professional VB 2005 (2006) - [Wiley] - Evjen et al.pdf</t>
  </si>
  <si>
    <t>W:\Livres\Informatique\Langages\Visual Basic\Professional Visual Basic 2012 and NET.4.5 Programming (2013) - [Wiley] - Sheldon, Hollis, Windsor, McCarter, Hillar, Herman.pdf</t>
  </si>
  <si>
    <t>W:\Livres\Informatique\Langages\Visual Basic\Programming Visual Basic .Net (2002) {Dump} - [O'Reilly] - Dave Grundgeiger.pdf</t>
  </si>
  <si>
    <t>W:\Livres\Informatique\Langages\Visual Basic\Programming Windows with Visual Basic Core Reference (2003) - [Microsoft Press] - Charles Petzold.pdf</t>
  </si>
  <si>
    <t>W:\Livres\Informatique\Langages\Visual Basic\Teach Yourself Visual Basic 6 in 21 Days (2004) {Dump} - [Sams] - Greg Perry.pdf</t>
  </si>
  <si>
    <t>W:\Livres\Informatique\Langages\Visual Basic\The Book of Visual Basic 2005, .Net Insight for Classic VB Developers (2006) - [No Starch] - Matthew MacDonald.pdf</t>
  </si>
  <si>
    <t>W:\Livres\Informatique\Langages\Visual Basic\Using Visual Basic 6 (1998) - [Que] - Brian Siler, Jeff Spotts.pdf</t>
  </si>
  <si>
    <t>W:\Livres\Informatique\Langages\Visual Basic\VB.Net Developers guide (2001) - [Syngress].pdf</t>
  </si>
  <si>
    <t>W:\Livres\Informatique\Langages\Visual Basic\Visual Basic .Net How to Program.pdf</t>
  </si>
  <si>
    <t>W:\Livres\Informatique\Langages\Visual Basic\Visual Basic .Net Language in a Nutshell (2001) - [O'Reilly] - Steven Roman, Ron Petrusha, Paul Lomax.pdf</t>
  </si>
  <si>
    <t>W:\Livres\Informatique\Langages\Visual Basic\Visual Basic 6 Black Book (1998) {Dump} - [The Coriolis Group] - Steven Holzner.pdf</t>
  </si>
  <si>
    <t>W:\Livres\Informatique\Langages\Visual Basic\Visual Basic 6 Database How-To (1999) {Dump} - [Sams] - Winemiller, Roff, Heyman, Groom.pdf</t>
  </si>
  <si>
    <t>W:\Livres\Informatique\Langages\Visual Basic\Visual Basic 6 Programming Concepts (4th ed, 1999) - [Pearson] - David I. Schneider.pdf</t>
  </si>
  <si>
    <t>W:\Livres\Informatique\Langages\Visual Basic\Visual Basic 2005 Database Programming (2006) - [Wiley] - Roger Jennings.pdf</t>
  </si>
  <si>
    <t>W:\Livres\Informatique\Langages\Visual Basic\Visual Basic 2005 Express Edition Starter Kit (2006) - [Wiley] - Andrew Parsons.pdf</t>
  </si>
  <si>
    <t>W:\Livres\Informatique\Langages\Visual Basic\Visual Basic 2005 For Dummies (2006) - [Wiley] - Bill Sempf.pdf</t>
  </si>
  <si>
    <t>W:\Livres\Informatique\Langages\Visual Basic\Visual Basic 2005 Programmer's Reference (2005) - [Wiley] - Rod Stephens.pdf</t>
  </si>
  <si>
    <t>W:\Livres\Informatique\Langages\Visual Basic\Visual Basic Programming for the Absolute Beginner (2001) - [Prima] - Michal A. Vine.pdf</t>
  </si>
  <si>
    <t>W:\Livres\Informatique\Langages\Visual Basic\Visual Basic, Subclassing and Hooking with VB &amp; VB.Net (2001) - [O'Reilly] - Stephen Treilbet.pdf</t>
  </si>
  <si>
    <t>W:\Livres\Informatique\Langages\Visual Basic\Visual Basic.Net 2008 (2008) {Dump} - [ENI] - Thierry Groussard.pdf</t>
  </si>
  <si>
    <t>W:\Livres\Informatique\Maths\A Walk Through Combinatorics, An Introduction to Enumeration and Graph Theory (2nd ed, 2006) - [World Scientific] - Miklós Bóna.pdf</t>
  </si>
  <si>
    <t>W:\Livres\Informatique\Maths\An introduction to Matlab (2012) - [booksboon.com] - Krister Ahlestern.pdf</t>
  </si>
  <si>
    <t>W:\Livres\Informatique\Maths\An Introduction to Optimization (2nd ed, 2001) - [Wiley] - Edwin K. P. Chong, Stanislaw H. Zak.pdf</t>
  </si>
  <si>
    <t>W:\Livres\Informatique\Maths\An Invitation to Discrete Mathematics (2nd ed, 2008) - [Oxford] - Jiří Matoušek, Jaroslav Nešetřil.pdf</t>
  </si>
  <si>
    <t>W:\Livres\Informatique\Maths\Combinatorial Algorithms, Generation, Enumeration, and Search (1999) - [CRC Press] - Donald L. Kreher, Douglas R. Stinson.djvu</t>
  </si>
  <si>
    <t>W:\Livres\Informatique\Maths\Combinatorics and Graph Theory (2nd ed, 2008) - [Springer] - John M. Harris, Jeffry L. Hirst, Michael J. Mossinghoff.pdf</t>
  </si>
  <si>
    <t>W:\Livres\Informatique\Maths\Combinatorics for Computer Science (1985) - [Computer Science Press] - S. Gill Williamson.djvu</t>
  </si>
  <si>
    <t>W:\Livres\Informatique\Maths\Combinatorics of Permutations (2004) - [CRC Press] - Miklós Bóna.pdf</t>
  </si>
  <si>
    <t>W:\Livres\Informatique\Maths\Combinatorics, Topics, Techniques and Algorithms (1994) - [Cambridge] - P. Cameron.djvu</t>
  </si>
  <si>
    <t>W:\Livres\Informatique\Maths\Combinatory Logic in Programming (2nd ed, 2003) - V. E. Wolfengagen.pdf</t>
  </si>
  <si>
    <t>W:\Livres\Informatique\Maths\Comprehensive Mathematics for Computer Scientist 2 (2005) - [Springer] - Guerino Mazzola, Gérard Milmeister, JodyWeissmann.pdf</t>
  </si>
  <si>
    <t>W:\Livres\Informatique\Maths\Comprehensive Mathematics for Computer Scientists 1 (2006) - [Springer] - Guerino Mazzola, Gérard Milmeister, Jody Weissmann.pdf</t>
  </si>
  <si>
    <t>W:\Livres\Informatique\Maths\Comprehensive Mathematics for Computer Scientists 2 (2005) - [Springer] - Guerino Mazzola, Gérard Milmeister, Jody Weissmann.pdf</t>
  </si>
  <si>
    <t>W:\Livres\Informatique\Maths\Digital Image Processing Using Matlab (2009) - [Gatesmark] - Rafael C. Gonzalez, Richard E. Woods, Steven L. Eddins.pdf</t>
  </si>
  <si>
    <t>W:\Livres\Informatique\Maths\Discrete and Combinatorial Mathematics (5th ed, 2004) - [Pearson] - Ralph P. Grimaldi.djvu</t>
  </si>
  <si>
    <t>W:\Livres\Informatique\Maths\Discrete and Combinatorial Mathematics (5th ed, 2004), Solutions.djvu</t>
  </si>
  <si>
    <t>W:\Livres\Informatique\Maths\Discrete Math for Computer Science Students (2004) - Ken Bogart, Scot Drysdale, Cliff Stein.pdf</t>
  </si>
  <si>
    <t>W:\Livres\Informatique\Maths\Discrete Mathematics (1999) - [Yale University] - L. Lovász, K. Vesztergombi.pdf</t>
  </si>
  <si>
    <t>W:\Livres\Informatique\Maths\Discrete Mathematics and Its Applications (6th ed, 2007) {Scan} - [McGraw-Hill] - Kenneth H. Rosen.pdf</t>
  </si>
  <si>
    <t>W:\Livres\Informatique\Maths\Discrete Mathematics and Its Applications (6th ed, 2007), Answers.rar</t>
  </si>
  <si>
    <t>W:\Livres\Informatique\Maths\Elementary Number Theory with Programming (2016) - [Wiley] - Marty Lewinter, Jeanine Meyer.pdf</t>
  </si>
  <si>
    <t>W:\Livres\Informatique\Maths\Encyclopedia of Optimization (2nd ed, 2009) - [Springer] - C. A. Floudas, P. M. Pardalos.pdf</t>
  </si>
  <si>
    <t>W:\Livres\Informatique\Maths\Foundations of Combinatorics with Applications (2005) - Edward A. Bender, S. Gill Williamson.pdf</t>
  </si>
  <si>
    <t>W:\Livres\Informatique\Maths\Graph Theory with Applications (5th ed, 1982) {Scan} - [North-Holland] - J.A. Bondy, U.S.R. Murty.pdf</t>
  </si>
  <si>
    <t>W:\Livres\Informatique\Maths\Graphs and Applications, An Introductory Approach (4th ed, 2000) - [Springer] - Joan M. Aldous, Robin J. Wilson.djvu</t>
  </si>
  <si>
    <t>W:\Livres\Informatique\Maths\Graphs, Algorithms and Optimization (2005) {Dump} - [CRC Press] - William Kocay, Donald L Kreher.pdf</t>
  </si>
  <si>
    <t>W:\Livres\Informatique\Maths\Handbook of Mathematical Models in Computer Vision (2006) - [Springer] - Nikos Paragios.pdf</t>
  </si>
  <si>
    <t>W:\Livres\Informatique\Maths\Mathematical Foundation of Computer Science (2005) - [New Age Intl] - Y.N. Singh.pdf</t>
  </si>
  <si>
    <t>W:\Livres\Informatique\Maths\Mathematical Programming, Theory and Methods (2006) - [Elsevier] - S.M. Sinha.djvu</t>
  </si>
  <si>
    <t>W:\Livres\Informatique\Maths\Mathematics for Algorithm Analysis (1990) - [Birkhaüser] - Daniel H. Greene, Donald E. Knuth.pdf</t>
  </si>
  <si>
    <t>W:\Livres\Informatique\Maths\Mathematics for Algorithm and System Analysis (2005) - Edward A. Bender, S. Gill Williamson.pdf</t>
  </si>
  <si>
    <t>W:\Livres\Informatique\Maths\Mathematics for Computer Scientists (2nd ed, 2011) - [bookboon.com] - Gareth J. Janacek, Mark Lemmon Close.pdf</t>
  </si>
  <si>
    <t>W:\Livres\Informatique\Maths\Mathematics for Computer Scientists (2008) - [Ventus] - Gareth J. Janacek, Mark Lemmon Close.pdf</t>
  </si>
  <si>
    <t>W:\Livres\Informatique\Maths\Mathématiques pour l'informatique, Pour le BTS SIO (2015) - [Dunod] - Chanet, Vert.pdf</t>
  </si>
  <si>
    <t>W:\Livres\Informatique\Maths\Matrix Computations (3rd ed, 1996) - [John Hopkins University Press] - Gene H. Golub, Charles F. Van Loan.djvu</t>
  </si>
  <si>
    <t>W:\Livres\Informatique\Maths\Numerical Analysis (9th ed, 2011) - [Cengage Learning] - Richard L. Burden, J. Douglas Faires.pdf</t>
  </si>
  <si>
    <t>W:\Livres\Informatique\Maths\Numerical Methods (3rd ed, 2002) - [Brooks Cole] - Richard L. Burden, J. Douglas Faires.pdf</t>
  </si>
  <si>
    <t>W:\Livres\Informatique\Maths\Numerical Methods (2009) - [New Age] - S.R.K. Iyengar, R.K. Jain.pdf</t>
  </si>
  <si>
    <t>W:\Livres\Informatique\Maths\Numerical Recipes, The Art of Scientific Computing (3rd ed, 2007) - [Cambridge] - Press, Teukolsky, Vetterling, Flannery.pdf</t>
  </si>
  <si>
    <t>W:\Livres\Informatique\Maths\Optimisation combinatoire, Théorie et algorithmes (2010) - [Springer] - Korte, Vygen.pdf</t>
  </si>
  <si>
    <t>W:\Livres\Informatique\Maths\Practical Optimization, Algorithms and Engineering Applications (2007) - [Springer] - Andreas Antoniou, Wu-Sheng Lu.pdf</t>
  </si>
  <si>
    <t>W:\Livres\Informatique\Maths\Prime Numbers and Computer Methods for Factorization (2nd ed, 1994) - [Birkhäuser] - Hans Riesel.pdf</t>
  </si>
  <si>
    <t>W:\Livres\Informatique\Maths\Pyramid Algorithms, A Dynamic Programming Approach to Curves and Surfaces for Geometric Modeling (2002) - Morgan.pdf</t>
  </si>
  <si>
    <t>W:\Livres\Informatique\Maths\The Definitive Guide to How Computers Do Math - [Wiley] - Clive Maxfield, Alvin Brown.pdf</t>
  </si>
  <si>
    <t>W:\Livres\Informatique\Maths\What Every Computer Scientist Should Know About Floating Point Arithmetic (1992) - [ACM] - David Goldberg.pdf</t>
  </si>
  <si>
    <t>W:\Livres\Informatique\Microsoft Books 2016\Creating Mobile Apps with Xamarin.Forms, Cross-platform C# development (2016) - [Microsoft Press] - Charles Petzold.pdf</t>
  </si>
  <si>
    <t>W:\Livres\Informatique\Microsoft Office\Excel 2007 VBA Macro Programming (2010) - [McGraw-Hill] - Richard Shepherd.pdf</t>
  </si>
  <si>
    <t>W:\Livres\Informatique\Réseaux, Ethernet, WiFi\Computer Networks, A Systems Approach (2nd ed, 2008) - [Elsevier] - Emad Aboelela.pdf</t>
  </si>
  <si>
    <t>W:\Livres\Informatique\Réseaux, Ethernet, WiFi\Network Processors, Architecture, Programming, and Implementation (2008) - [Elsevier] - Ran Giladi.pdf</t>
  </si>
  <si>
    <t>W:\Livres\Informatique\Réseaux, Ethernet, WiFi\Networking Self-teaching Guide (2009) - [Wiley] - James Edwards, Richard Bramante.pdf</t>
  </si>
  <si>
    <t>W:\Livres\Informatique\Réseaux, Ethernet, WiFi\Practical TCP-IP and Ethernet Networking (2003) - [Elsevier] - Deon Reynders, Edwin Wright.pdf</t>
  </si>
  <si>
    <t>W:\Livres\Informatique\Réseaux, Ethernet, WiFi\TCP-IP Clearly Explained (4th ed, 2003) - [Elsevier] - Pete Loshin.pdf</t>
  </si>
  <si>
    <t>W:\Livres\Informatique\Réseaux, Ethernet, WiFi\TCP-IP Foundations (2004) - [Sybex] - Andrew G. Blank.pdf</t>
  </si>
  <si>
    <t>W:\Livres\Informatique\Réseaux, Ethernet, WiFi\TCP-IP Sockets in C (2nd ed, 2009) - [Elsevier] - Michael J. Donahoo, Kenneth L. Calvert.pdf</t>
  </si>
  <si>
    <t>W:\Livres\Informatique\Réseaux, Ethernet, WiFi\The Linux TCP-IP Stack, Networking for Embedded Systems (2004) - [Charles River Media] - Thomas F. Herbert.pdf</t>
  </si>
  <si>
    <t>W:\Livres\Informatique\Réseaux, Ethernet, WiFi\The TCP-IP Guide (2005) - Charles M. Kozierok.pdf</t>
  </si>
  <si>
    <t>W:\Livres\Informatique\Réseaux, Ethernet, WiFi\Tools for Teaching Computer Networking and Hardware Concepts (2006) - [Information Science] - Nurul I. Sarkar.pdf</t>
  </si>
  <si>
    <t>W:\Livres\Informatique\Réseaux, Ethernet, WiFi\Tout sur les réseaux et Internet (2012) - [Dunod] - Pillou, Lemainque.pdf</t>
  </si>
  <si>
    <t>W:\Livres\Informatique\Réseaux, Ethernet, WiFi\Understanding TCP-IP (2006) - [Packt] - Libor Dostálek, Alena Kabelová.pdf</t>
  </si>
  <si>
    <t>W:\Livres\Informatique\Sécurité, Cryptographie, Hacking\Buffer Overflow Attacks, Detect, Exploit, Prevent (2005) - [Syngress] - James C. Foster.pdf</t>
  </si>
  <si>
    <t>W:\Livres\Informatique\Sécurité, Cryptographie, Hacking\CD And DVD Forensics (2007) - [Syngress] - Paul Crowley.pdf</t>
  </si>
  <si>
    <t>W:\Livres\Informatique\Sécurité, Cryptographie, Hacking\Cryptographie\Applied Cryptography and Network Security (2005) - [Springer] - Markus Jakobsson, Moti Yung, Jianying Zhou.pdf</t>
  </si>
  <si>
    <t>W:\Livres\Informatique\Sécurité, Cryptographie, Hacking\Cryptographie\Complexity and Cryptography, An Introduction (2006) - [Cambridge] - John Talbot, Dominic Welsh.pdf</t>
  </si>
  <si>
    <t>W:\Livres\Informatique\Sécurité, Cryptographie, Hacking\Cryptographie\Contemporary Cryptography (2005) - [Artech House] - Rolf Oppliger.pdf</t>
  </si>
  <si>
    <t>W:\Livres\Informatique\Sécurité, Cryptographie, Hacking\Cryptographie\Cracking Codes and Cryptograms for Dummies (2010) - [Wiley] - Denise Sutherland, Mark E. Koltko-Rivera.pdf</t>
  </si>
  <si>
    <t>W:\Livres\Informatique\Sécurité, Cryptographie, Hacking\Cryptographie\Crypto, How the Code Rebels Beat the Government Saving Privacy in the Digital Age (2002) - [Penguin] - Steven Levy.pdf</t>
  </si>
  <si>
    <t>W:\Livres\Informatique\Sécurité, Cryptographie, Hacking\Cryptographie\Cryptography and Network Security, Principles and Practices (4th ed, 2006) {Webdump} - [Prentice Hall] - William Stallings.pdf</t>
  </si>
  <si>
    <t>W:\Livres\Informatique\Sécurité, Cryptographie, Hacking\Cryptographie\Cryptography and Network Security, Principles and Practices (5th ed, 2011) - [Prentice Hall] - William Stallings.pdf</t>
  </si>
  <si>
    <t>W:\Livres\Informatique\Sécurité, Cryptographie, Hacking\Cryptographie\Cryptography and Public Key Infrastructure on the Internet (2001) - [Wiley] - Klaus Schmeh.pdf</t>
  </si>
  <si>
    <t>W:\Livres\Informatique\Sécurité, Cryptographie, Hacking\Cryptographie\Cryptography for Developers (2007) - [Syngress] - Tom St Denis.pdf</t>
  </si>
  <si>
    <t>W:\Livres\Informatique\Sécurité, Cryptographie, Hacking\Cryptographie\Cryptography, Theory and Practice (1995) {Dump} - [CRC Press] - Douglas Stinson.pdf</t>
  </si>
  <si>
    <t>W:\Livres\Informatique\Sécurité, Cryptographie, Hacking\Cryptographie\Encyclopedia of Cryptography and Security (2nd ed, 2011) - [Springer] - Henk van Tilborg, Sushil Jajodia.pdf</t>
  </si>
  <si>
    <t>W:\Livres\Informatique\Sécurité, Cryptographie, Hacking\Cryptographie\Foundations of Cryptography, A Primer (2005) - [Now] - Oded Goldreich.pdf</t>
  </si>
  <si>
    <t>W:\Livres\Informatique\Sécurité, Cryptographie, Hacking\Cryptographie\Guide to Elliptic Curve Cryptography (2004) - [Springer] - Darrel Hankerson, Alfred Menezes, Scott Vanstone.pdf</t>
  </si>
  <si>
    <t>W:\Livres\Informatique\Sécurité, Cryptographie, Hacking\Cryptographie\Handbook of Applied Cryptography (1996) - [CRC Press] - A. Menezes, P. van Oorschot, S. Vanstone.pdf</t>
  </si>
  <si>
    <t>W:\Livres\Informatique\Sécurité, Cryptographie, Hacking\Cryptographie\Introduction à la cryptographie (2009) - [Développez.com] - Raymond.pdf</t>
  </si>
  <si>
    <t>W:\Livres\Informatique\Sécurité, Cryptographie, Hacking\Cryptographie\Introduction to Cryptography with Java Applets (2003) - [Jones &amp; Bartlett] - David Bishop.pdf</t>
  </si>
  <si>
    <t>W:\Livres\Informatique\Sécurité, Cryptographie, Hacking\Cryptographie\Java Cryptography (1998) - [O'Reilly] - Jonathan Knudsen.pdf</t>
  </si>
  <si>
    <t>W:\Livres\Informatique\Sécurité, Cryptographie, Hacking\Cryptographie\Malicious Cryptography, Exposing Cryptovirology (2004) - [Wiley] - Adam Young, Moti Yung.pdf</t>
  </si>
  <si>
    <t>W:\Livres\Informatique\Sécurité, Cryptographie, Hacking\Cryptographie\Modern Cryptography Theory and Practice (2003) {Dump} - [Prentice Hall] - Wenbo Mao.pdf</t>
  </si>
  <si>
    <t>W:\Livres\Informatique\Sécurité, Cryptographie, Hacking\Cryptographie\Practical Cryptography, Algorithms and Implementations Using C++ (2014) - [CRC Press] - Saiful Azad, Al-Sakib Khan Pathan.pdf</t>
  </si>
  <si>
    <t>W:\Livres\Informatique\Sécurité, Cryptographie, Hacking\Cryptographie\Progress on Cryptography, 25 Years of Cryptography in China (2004) - [Kluwer Academic Publishers] - Kefei Chen.pdf</t>
  </si>
  <si>
    <t>W:\Livres\Informatique\Sécurité, Cryptographie, Hacking\Cryptographie\Quantum Communications and Cryptography (2006) - [CRC Press] - Alexander V. Sergienko.pdf</t>
  </si>
  <si>
    <t>W:\Livres\Informatique\Sécurité, Cryptographie, Hacking\Cryptographie\Studies in Complexity and Cryptography (2011) - [Springer] - Oded Goldreich et al.pdf</t>
  </si>
  <si>
    <t>W:\Livres\Informatique\Sécurité, Cryptographie, Hacking\Cryptographie\The CryptoParty handbook (1st ed, 2012).pdf</t>
  </si>
  <si>
    <t>W:\Livres\Informatique\Sécurité, Cryptographie, Hacking\Cryptographie\Visual Cryptography and Secret Image Sharing (2012) - [CRC Press] - Stelvio Cimato, Ching-Nung Yang.pdf</t>
  </si>
  <si>
    <t>W:\Livres\Informatique\Sécurité, Cryptographie, Hacking\Hacking\Dissecting the Hack, The F0rb1dd3n Network (2010) - [Elsevier] - Jayson E. Street, Kent Nabors.pdf</t>
  </si>
  <si>
    <t>W:\Livres\Informatique\Sécurité, Cryptographie, Hacking\Hacking\Hackers, Au coeur de la résistance numérique (2013) - [Au Diable Vauvert] - Amaelle Guiton.pdf</t>
  </si>
  <si>
    <t>W:\Livres\Informatique\Sécurité, Cryptographie, Hacking\Hacking\Hacking interdit (2010) - [Micro Application] - Alexandre Gomez-Urbina.pdf</t>
  </si>
  <si>
    <t>W:\Livres\Informatique\Sécurité, Cryptographie, Hacking\Hacking\Hacking Wireless Networks for Dummies (2005) - [Wiley] - Beaver, Davis.epub</t>
  </si>
  <si>
    <t>W:\Livres\Informatique\Sécurité, Cryptographie, Hacking\Hacking\Hacking Wireless Networks for Dummies (2005) - [Wiley] - Beaver, Davis.pdf</t>
  </si>
  <si>
    <t>W:\Livres\Informatique\Sécurité, Cryptographie, Hacking\Hacking\Hacking, The Art of Exploitation (2nd ed, 2008) - [No Starch] - Jon Erickson.pdf</t>
  </si>
  <si>
    <t>W:\Livres\Informatique\Sécurité, Cryptographie, Hacking\Hacking\Hardware Hacking, Have Fun While Voiding Your Warranty (2004) - [Syngress] - Joe Grand, Ryan Russell.pdf</t>
  </si>
  <si>
    <t>W:\Livres\Informatique\Sécurité, Cryptographie, Hacking\Hacking\Maximum Security, A Hacker's Guide to Protecting You - [Sams].pdf</t>
  </si>
  <si>
    <t>W:\Livres\Informatique\Sécurité, Cryptographie, Hacking\Hacking\Practical Hacking Techniques and Countermeasures (2007) - [Auerbach] - Mark D. Spivey.pdf</t>
  </si>
  <si>
    <t>W:\Livres\Informatique\Sécurité, Cryptographie, Hacking\Hacking\Sécurité Informatique, Ethical Hacking (2009) - [ENI].pdf</t>
  </si>
  <si>
    <t>W:\Livres\Informatique\Sécurité, Cryptographie, Hacking\Hacking\The Hacker Playbook, Practical Guide to Penetration Testing (2014) - [Secure Planet] - Peter Kim.pdf</t>
  </si>
  <si>
    <t>W:\Livres\Informatique\Sécurité, Cryptographie, Hacking\Hacking\The Hacker's Manual (2015) - [Future] - Guru Guide.pdf</t>
  </si>
  <si>
    <t>W:\Livres\Informatique\Sécurité, Cryptographie, Hacking\Hacking\The Hacker's Manual (2015) - [Future] - Tech Active.pdf</t>
  </si>
  <si>
    <t>W:\Livres\Informatique\Sécurité, Cryptographie, Hacking\Hacking\Understanding Network Hacks, Attack and Defense with Pyton (2014) - [Springer] - Bastian Ballmann.pdf</t>
  </si>
  <si>
    <t>W:\Livres\Informatique\Sécurité, Cryptographie, Hacking\Maximum Apache Security (2002) - [Sams].pdf</t>
  </si>
  <si>
    <t>W:\Livres\Informatique\Sécurité, Cryptographie, Hacking\Maximum Linux Security (2nd ed, 2001) - [Sams].pdf</t>
  </si>
  <si>
    <t>W:\Livres\Informatique\Sécurité, Cryptographie, Hacking\Télécommunications et écoutes, Étude sur la confidentialité des communications à distance (2008) - James.pdf</t>
  </si>
  <si>
    <t>W:\Livres\Informatique\Systèmes d'exploitation\Android\Android, le guide ultime (2013) - [Les Applications Android] - Jean-Louis Dell'Oro, Michael Picard.pdf</t>
  </si>
  <si>
    <t>W:\Livres\Informatique\Systèmes d'exploitation\Android\Google Android 4 efficace (2è ed, 2013) - [Eyrolles] - Arnaud Fraque.pdf</t>
  </si>
  <si>
    <t>W:\Livres\Informatique\Systèmes d'exploitation\Android\Le guide pratique des tablettes Android (2014) - [Eyrolles] - Fabrice Neuman, Jacques Harbonn.pdf</t>
  </si>
  <si>
    <t>W:\Livres\Informatique\Systèmes d'exploitation\Android\Le guide pratique des tablettes Android (2016) - [Eyrolles] - Fabrice Neuman, José Roda.pdf</t>
  </si>
  <si>
    <t>W:\Livres\Informatique\Systèmes d'exploitation\Distributed Operating Systems (1995) {Scan} - [Pearson] - Andrew S. Tanenbaum.pdf</t>
  </si>
  <si>
    <t>W:\Livres\Informatique\Systèmes d'exploitation\iOS\Le guide pratique iPad et iOS9 (2016) - [Eyrolles] - Fabrice Neuman.pdf</t>
  </si>
  <si>
    <t>W:\Livres\Informatique\Systèmes d'exploitation\iOS\Travailler avec un iPad (2011) - [Dunod] - Jean-Christophe Courte.pdf</t>
  </si>
  <si>
    <t>W:\Livres\Informatique\Systèmes d'exploitation\Linux\Beginning the Linux Command Line (2nd ed, 2015) - [Apress] - Sander van Vugt.pdf</t>
  </si>
  <si>
    <t>W:\Livres\Informatique\Systèmes d'exploitation\Linux\Beginning Ubuntu Linux (6th ed, 2011) - [Apress] - Emilio Raggi, Keir Thomas, Sander van Vugt.pdf</t>
  </si>
  <si>
    <t>W:\Livres\Informatique\Systèmes d'exploitation\Linux\CompTIA Linux+ Complete Study Guide (2010) - [Wiley] - Roderick W. Smith.pdf</t>
  </si>
  <si>
    <t>W:\Livres\Informatique\Systèmes d'exploitation\Linux\Hack Proofing Linux, A Guide to Open Source Security (2001) - [Syngress] - James Stanger, Patrick T. Lane.pdf</t>
  </si>
  <si>
    <t>W:\Livres\Informatique\Systèmes d'exploitation\Linux\Hacking Exposed Linux (3rd ed, 2008) - [McGraw-Hill] - Isecom.pdf</t>
  </si>
  <si>
    <t>W:\Livres\Informatique\Systèmes d'exploitation\Linux\Hardening Linux (2005) - [Apress] - James Turnbull.pdf</t>
  </si>
  <si>
    <t>W:\Livres\Informatique\Systèmes d'exploitation\Linux\How Linux Works (2nd ed, 2015) - [No Starch] - Brian Ward.pdf</t>
  </si>
  <si>
    <t>W:\Livres\Informatique\Systèmes d'exploitation\Linux\Linux 2.0, API système et fonctionnement du noyau (1998) {Scan} - [Eyrolles] - Card, Dumas, Mével.pdf</t>
  </si>
  <si>
    <t>W:\Livres\Informatique\Systèmes d'exploitation\Linux\Linux 101 Hacks (2009) - Ramesh Natarajan.pdf</t>
  </si>
  <si>
    <t>W:\Livres\Informatique\Systèmes d'exploitation\Linux\Linux Bible (2010) - [Wiley] - Christopher Negus.pdf</t>
  </si>
  <si>
    <t>W:\Livres\Informatique\Systèmes d'exploitation\Linux\Linux Bible 2009 Edition, Boot up to Ubuntu, Fedora, KNOPPIX, Debian, SUSE and 13 Other Distributions (2009) - [Wiley] - Christopher Negus.pdf</t>
  </si>
  <si>
    <t>W:\Livres\Informatique\Systèmes d'exploitation\Linux\Linux Firewalls (2007) - [No Starch] - Michal Rash.pdf</t>
  </si>
  <si>
    <t>W:\Livres\Informatique\Systèmes d'exploitation\Linux\Linux for Dummies (9th ed, 2009) - [Wiley] - Richard Blum.pdf</t>
  </si>
  <si>
    <t>W:\Livres\Informatique\Systèmes d'exploitation\Linux\Linux in a Nutshell (6th ed, 2009) - [O'Reilly] - Ellen Siever, Stephen Figgins, Robert Love, Arnold Robbins.pdf</t>
  </si>
  <si>
    <t>W:\Livres\Informatique\Systèmes d'exploitation\Linux\Linux Network Administrator's Guide (2nd ed, 2000) {Dump} - [O'Reilly] - Olaf Kirch, Terry Dawson.pdf</t>
  </si>
  <si>
    <t>W:\Livres\Informatique\Systèmes d'exploitation\Linux\Linux Networking Cookbook (2008) - [O'Reilly] - Carla Schroder.pdf</t>
  </si>
  <si>
    <t>W:\Livres\Informatique\Systèmes d'exploitation\Linux\Linux Operations and Administration (2013) - [Cengage Learning] - Basta, Finamore, Palladino.pdf</t>
  </si>
  <si>
    <t>W:\Livres\Informatique\Systèmes d'exploitation\Linux\Linux Pocket Guide, Essential Commands (2nd ed, 2012) - [O'Reilly] - Daniel J. Barrett.pdf</t>
  </si>
  <si>
    <t>W:\Livres\Informatique\Systèmes d'exploitation\Linux\Linux Pocket Guide, Essential Commands (3rd ed, 2016) - [O'Reilly] - Daniel Barrett.pdf</t>
  </si>
  <si>
    <t>W:\Livres\Informatique\Systèmes d'exploitation\Linux\Linux Server Hacks (2003), 100 Industrual-Strength Tips &amp; Tools - [O'Reilly] - Rob Flickenger.pdf</t>
  </si>
  <si>
    <t>W:\Livres\Informatique\Systèmes d'exploitation\Linux\Linux System Administration (2007) - [O'Reilly] - Tom Adelstein, Bill Lubanovic.pdf</t>
  </si>
  <si>
    <t>W:\Livres\Informatique\Systèmes d'exploitation\Linux\Linux, Maîtrisez l'administration du système (2è ed, 2009) - [ENI] - Sébastien Rohaut.pdf</t>
  </si>
  <si>
    <t>W:\Livres\Informatique\Systèmes d'exploitation\Linux\Linux, The Complete Reference (6th ed, 2008) - [McGraw-Hill] - Richard Petersen.pdf</t>
  </si>
  <si>
    <t>W:\Livres\Informatique\Systèmes d'exploitation\Linux\Linux+ Guide to Linux Certification (3rd ed, 2012) - [Cengage Learning] - Jason W. Eckert.pdf</t>
  </si>
  <si>
    <t>W:\Livres\Informatique\Systèmes d'exploitation\Linux\LPIC 1, Linux Professional Institute Certification Study Guide (2nd ed, 2009) - [Wiley] - Roderick W. Smith.pdf</t>
  </si>
  <si>
    <t>W:\Livres\Informatique\Systèmes d'exploitation\Linux\LPIC 2, Linux Professional Institute Certification Study Guide (2011) - [Wiley] - Roderick W. Smith.pdf</t>
  </si>
  <si>
    <t>W:\Livres\Informatique\Systèmes d'exploitation\Linux\Managing NFS and NIS (2nd ed, 2001) - [O'Reilly] - Stern, Eisler, Labiaga.pdf</t>
  </si>
  <si>
    <t>W:\Livres\Informatique\Systèmes d'exploitation\Linux\Managing RAID on Linux (2003) - [O'Reilly] - Derek Vadala.pdf</t>
  </si>
  <si>
    <t>W:\Livres\Informatique\Systèmes d'exploitation\Linux\Pro Linux System Administration (2009) - [Apress] - James Turnbull, Peter Lieverdink, Dennis Matotek.pdf</t>
  </si>
  <si>
    <t>W:\Livres\Informatique\Systèmes d'exploitation\Linux\Python for Unix and Linux System Administration (2008) - [O'Reilly] - Noah Gift, Jeremy M. Jones.pdf</t>
  </si>
  <si>
    <t>W:\Livres\Informatique\Systèmes d'exploitation\Linux\Running Linux (5th ed, 2006) - [O'Reilly] - Matthias Kalle Dalheimer, Matt Welsh.pdf</t>
  </si>
  <si>
    <t>W:\Livres\Informatique\Systèmes d'exploitation\Linux\Solutions temps réel sous Linux (2è ed, 2016) - [Eyrolles] - Christophe Blaess.pdf</t>
  </si>
  <si>
    <t>W:\Livres\Informatique\Systèmes d'exploitation\Linux\SSH, The Secure Shell, The Definitive Guide (2001) {Dump} - [O'Reilly] - Daniel J. Barrett, Richard Silverman.pdf</t>
  </si>
  <si>
    <t>W:\Livres\Informatique\Systèmes d'exploitation\Linux\Teach Yourself Unix Shell Programming in 24 Hours (1999) - [Sams] - Sriranga Veeraraghavan.pdf</t>
  </si>
  <si>
    <t>W:\Livres\Informatique\Systèmes d'exploitation\Linux\The Complete FreeBSD (4th ed, 2003) - [O'Reilly] - Greg Lehey.pdf</t>
  </si>
  <si>
    <t>W:\Livres\Informatique\Systèmes d'exploitation\Linux\The Design of the Unix Operating System (1986) {Scan} - [Prentice Hall] - Maurice J Bach.pdf</t>
  </si>
  <si>
    <t>W:\Livres\Informatique\Systèmes d'exploitation\Linux\Ubuntu Linux Secrets (2009) - [Wiley] - Richard Blum.pdf</t>
  </si>
  <si>
    <t>W:\Livres\Informatique\Systèmes d'exploitation\Linux\Ubuntu Made Easy, A Project-Based Introduction to Linux (2012) - [No Starch] - Rickford Grant, Phil Bull.pdf</t>
  </si>
  <si>
    <t>W:\Livres\Informatique\Systèmes d'exploitation\Linux\Understanding the Linux Kernel (2nd ed, 2002) {Dump} - [O'Reilly] - Daniel P. Bovet, Marco Cesati.pdf</t>
  </si>
  <si>
    <t>W:\Livres\Informatique\Systèmes d'exploitation\Linux\Understanding the Linux Kernel (2000) - [O'Reilly] - Daniel P. Bovet, Marco Cesati.pdf</t>
  </si>
  <si>
    <t>W:\Livres\Informatique\Systèmes d'exploitation\Linux\Unix Filesystems, Evolution, Design and Implementation (2003) - [Wiley] - Steve D. Pate.pdf</t>
  </si>
  <si>
    <t>W:\Livres\Informatique\Systèmes d'exploitation\Mac\À la découverte de Mac OS X Mavericks, Spécial grands débutants (2014) - [Eyrolles] - Mathieu Lavant.pdf</t>
  </si>
  <si>
    <t>W:\Livres\Informatique\Systèmes d'exploitation\Mac\Le guide pratique Mac OS X El Capitan Version 10.11 (2016) - [Eyrolles] - Fabrice Neuman.pdf</t>
  </si>
  <si>
    <t>W:\Livres\Informatique\Systèmes d'exploitation\Mac\Le guide pratique Mac OS X Yosemite (2015) - [Eyrolles] - Neuman, Forgeard-Grignon, Roda.pdf</t>
  </si>
  <si>
    <t>W:\Livres\Informatique\Systèmes d'exploitation\Mac\Mac OS X for Unix Geeks (2003) - [O'Reilly] - Brian Jepson, Ernest E. Rothman.pdf</t>
  </si>
  <si>
    <t>W:\Livres\Informatique\Systèmes d'exploitation\Modern Operating Systems (2nd ed, 2001) {Scan} - [Prentice Hall] - Andrew S. Tanenbaum.pdf</t>
  </si>
  <si>
    <t>W:\Livres\Informatique\Systèmes d'exploitation\Operating System Concepts (7th ed, 2005) - [Wiley] - Silberschatz, Galvin, Gagne.pdf</t>
  </si>
  <si>
    <t>W:\Livres\Informatique\Systèmes d'exploitation\Practical File System Design with the Be File System (1999) - [Morgan Kaufmann] - Dominic Giampaolo.pdf</t>
  </si>
  <si>
    <t>W:\Livres\Informatique\Systèmes d'exploitation\The Little Book of Semaphores (2nd ed, 2008) - Allen B. Downey.pdf</t>
  </si>
  <si>
    <t>W:\Livres\Informatique\Systèmes d'exploitation\Windows\À la découverte de Windows 10 anniversaire (2016) - [Eyrolles] - Mathieu Lavant.pdf</t>
  </si>
  <si>
    <t>W:\Livres\Informatique\Systèmes d'exploitation\Windows\DHCP for Windows 2000 (2001) - [O'Reilly] - Neall Alcott.pdf</t>
  </si>
  <si>
    <t>W:\Livres\Informatique\Systèmes d'exploitation\Windows\DNS on Windows 2000 (2nd ed, 2001) {Dump} - [O'Reilly] - Matt Larson.pdf</t>
  </si>
  <si>
    <t>W:\Livres\Informatique\Systèmes d'exploitation\Windows\Essential PowerShell (2008) - [Addison-Wesley] - Holger Schwichtenberg.pdf</t>
  </si>
  <si>
    <t>W:\Livres\Informatique\Systèmes d'exploitation\Windows\Introducing Widows 10 for IT Professionals (2015) {Preview} - [Microsoft Press] - Ed Bott.epub</t>
  </si>
  <si>
    <t>W:\Livres\Informatique\Systèmes d'exploitation\Windows\Introducing Widows 10 for IT Professionals (2015) {Preview} - [Microsoft Press] - Ed Bott.pdf</t>
  </si>
  <si>
    <t>W:\Livres\Informatique\Systèmes d'exploitation\Windows\Le guide pratique Windows 8 (2014) - [Eyrolles] - Fabrice Neuman.pdf</t>
  </si>
  <si>
    <t>W:\Livres\Informatique\Systèmes d'exploitation\Windows\Le guide pratique Windows 10 (2015) - [Eyrolles] - Fabrice Neuman.pdf</t>
  </si>
  <si>
    <t>W:\Livres\Informatique\Systèmes d'exploitation\Windows\Managing the Windows 2000 Registry (2000) - [O'Reilly] - Paul Robichaux.pdf</t>
  </si>
  <si>
    <t>W:\Livres\Informatique\Systèmes d'exploitation\Windows\Mastering PowerShell (2009) - [BBS Technologies] - Tobias Weltner.pdf</t>
  </si>
  <si>
    <t>W:\Livres\Informatique\Systèmes d'exploitation\Windows\Metro Revealed, Building Windows 8 Apps with HTML5 and JavaScript (2012) - [Apress] - Adam Freeman.pdf</t>
  </si>
  <si>
    <t>W:\Livres\Informatique\Systèmes d'exploitation\Windows\Microsoft PowerShell, VBScript and JScript Bible (2009) - [Wiley] - William R. Stanek, James O'Neill, Jeffrey Rosen.pdf</t>
  </si>
  <si>
    <t>W:\Livres\Informatique\Systèmes d'exploitation\Windows\Microsoft Windows PowerShell Programming for Absolute Beginner (2007) - [Thomson] - Jerry Lee Ford.pdf</t>
  </si>
  <si>
    <t>W:\Livres\Informatique\Systèmes d'exploitation\Windows\Virtualisation du poste de travail Windows 7 et 8 avec Windows Server 2012 (2013) - [Eyrolles] - Bories, Laachir, Lafeil, Thieblemont, Vitrant.pdf</t>
  </si>
  <si>
    <t>W:\Livres\Informatique\Systèmes d'exploitation\Windows\Windows 7 Power Users Guide (2009) - [The Long Climb] - Mike Halsey.pdf</t>
  </si>
  <si>
    <t>W:\Livres\Informatique\Systèmes d'exploitation\Windows\Windows 8 avancé (2013) - [Eyrolles] - Louis-Guillaume Morand.pdf</t>
  </si>
  <si>
    <t>W:\Livres\Informatique\Systèmes d'exploitation\Windows\Windows 8 utilisateur, Guide de formation avec cas pratiques (2013) - [Eyrolles] - Philippe Moreau.pdf</t>
  </si>
  <si>
    <t>W:\Livres\Informatique\Systèmes d'exploitation\Windows\Windows 10 et Internet pour les nuls (2015) - [First] - Levine, Young, Baroudi, Rathbone.pdf</t>
  </si>
  <si>
    <t>W:\Livres\Informatique\Systèmes d'exploitation\Windows\Windows 10 pas à pas pour les nuls (2015) - [First] - Bernard Jolivalt.epub</t>
  </si>
  <si>
    <t>W:\Livres\Informatique\Systèmes d'exploitation\Windows\Windows 10 pour les nuls (2015) - [First] - Andy Rathbone.epub</t>
  </si>
  <si>
    <t>W:\Livres\Informatique\Systèmes d'exploitation\Windows\Windows 10 tout en un pour les nuls (2015) - [First] - Woody Leonhard.pdf</t>
  </si>
  <si>
    <t>W:\Livres\Informatique\Systèmes d'exploitation\Windows\Windows 2000 Administration in a Nutshell (2001) {Dump} - [O'Reilly] - Mitch Tulloch.pdf</t>
  </si>
  <si>
    <t>W:\Livres\Informatique\Systèmes d'exploitation\Windows\Windows 2000 Commands Pocket Reference (2001) {Dump} - [O'Reilly] - Æleen Frisch.pdf</t>
  </si>
  <si>
    <t>W:\Livres\Informatique\Systèmes d'exploitation\Windows\Windows 2000 Quick Fixes (2002) - [O'Reilly] - Jim Boyce.pdf</t>
  </si>
  <si>
    <t>W:\Livres\Informatique\Systèmes d'exploitation\Windows\Windows Administration at the Command Line (2006) - [Sybex] - John Paul Mueller.epub</t>
  </si>
  <si>
    <t>W:\Livres\Informatique\Systèmes d'exploitation\Windows\Windows Administration at the Command Line (2006) - [Sybex] - John Paul Mueller.pdf</t>
  </si>
  <si>
    <t>W:\Livres\Informatique\Systèmes d'exploitation\Windows\Windows Internals (5th ed, 2009) - [Microsoft Press] - Mark Russinovich, David A. Solomon, Alex Ionescu.pdf</t>
  </si>
  <si>
    <t>W:\Livres\Informatique\Systèmes d'exploitation\Windows\Windows Internals, Part 1 (6th ed, 2012) - [Microsoft Press] - Mark Russinovich, David A. Solomon, Alex Ionescu.pdf</t>
  </si>
  <si>
    <t>W:\Livres\Informatique\Systèmes d'exploitation\Windows\Windows Internals, Part 2 (6th ed, 2012) - [Microsoft Press] - Mark Russinovich, David A. Solomon, Alex Ionescu.pdf</t>
  </si>
  <si>
    <t>W:\Livres\Informatique\Systèmes d'exploitation\Windows\Windows Server\Introducing Widows Server 2012 (2012) - [Microsoft Press] - Mitch Tulloch.epub</t>
  </si>
  <si>
    <t>W:\Livres\Informatique\Systèmes d'exploitation\Windows\Windows Server\Introducing Widows Server 2012 (2012) - [Microsoft Press] - Mitch Tulloch.pdf</t>
  </si>
  <si>
    <t>W:\Livres\Informatique\Systèmes d'exploitation\Windows\Windows Server\Introducing Windows Server 2008 R2 (2010) - [Microsoft Press] - Charlie Russel, Craig Zacker.epub</t>
  </si>
  <si>
    <t>W:\Livres\Informatique\Systèmes d'exploitation\Windows\Windows Server\Introducing Windows Server 2008 R2 (2010) - [Microsoft Press] - Charlie Russel, Craig Zacker.pdf</t>
  </si>
  <si>
    <t>W:\Livres\Informatique\Systèmes d'exploitation\Windows\Windows Server\Introducing Windows Server 2012 R2, Technical Overview - Mitch Tulloch.epub</t>
  </si>
  <si>
    <t>W:\Livres\Informatique\Systèmes d'exploitation\Windows\Windows Server\Introducing Windows Server 2012, R2 Technical Overview (2013) - [Microsoft Press] - Mitch Tulloch.pdf</t>
  </si>
  <si>
    <t>W:\Livres\Informatique\Systèmes d'exploitation\Windows\Windows Server\Introducing Windows Server 2016, Technical Preview (2016) - [Microsoft Press] - John McCabe.pdf</t>
  </si>
  <si>
    <t>W:\Livres\Informatique\Systèmes d'exploitation\Windows\Windows Server\Introducing Windows Server 2016, Technical Preview (2016) {Format eBook} - [Microsoft Press] - John McCabe.pdf</t>
  </si>
  <si>
    <t>W:\Livres\Informatique\Systèmes d'exploitation\Windows\Windows Server\Windows Server 2008 Inside Out (2008) - [Microsoft Press] - William Staneck.pdf</t>
  </si>
  <si>
    <t>W:\Livres\Informatique\Systèmes d'exploitation\Windows\Windows Server\Windows Server 2008 Inside Out (2008), Scripts.rar</t>
  </si>
  <si>
    <t>W:\Livres\Informatique\Systèmes d'exploitation\Windows\Windows Vista Annoyances Tips, Secrets, and Solutions (2007) - [O'Reilly] - David A. Karp.pdf</t>
  </si>
  <si>
    <t>W:\Livres\Informatique\Web, HTML, CSS, Javascript, PHP, Ajax\Microsoft IIS 7 Implementation and Administration (2007) - [Wiley] - John Paul Mueller.pdf</t>
  </si>
  <si>
    <t>W:\Livres\Informatique\Web, HTML, CSS, Javascript, PHP, Ajax\Pro ASP.NET 4 in C# 2010 (4th ed, 2010) - [Apress] - Matthew MacDonald, Adam Freeman, Mario Szpuszta.pdf</t>
  </si>
  <si>
    <t>W:\Livres\Informatique\Web, HTML, CSS, Javascript, PHP, Ajax\Pro ASP.NET MVC 2 Framework (2nd ed, 2010) - [Apress] - Steven Sanderson.pdf</t>
  </si>
  <si>
    <t>W:\Livres\Informatique\Web, HTML, CSS, Javascript, PHP, Ajax\Professional IIS 7 (2008) - [Wiley] - Schaefer, Cochran, Forsyth, Baugh, Everest, Glendenning.pdf</t>
  </si>
  <si>
    <t>W:\Livres\Informatique\Web, HTML, CSS, Javascript, PHP, Ajax\Professional IIS 7 and ASP .NET Integrated Programming (2008) - [Wiley] - Shahram Khosravi.pdf</t>
  </si>
  <si>
    <t>W:\Livres\Informatique\Web, HTML, CSS, Javascript, PHP, Ajax\Programming Razor (2011) - [O'Reilly] - Jess Chadwick.pdf</t>
  </si>
  <si>
    <t>LenFileName</t>
  </si>
  <si>
    <t>LenAuteur</t>
  </si>
  <si>
    <t>W:\Livres\Informatique\Architecture métérielle, Électronique\Configuration et dépannage de PC, Guide de formation avec exercices pratiques, De Win XP à Win 8 (5è ed, 2014) - [Eyrolles] - Sophie Lange.pdf</t>
  </si>
  <si>
    <t>W:\Livres\Informatique\Architecture métérielle, Électronique\Configuration et dépannage de PC, Guide de formation avec exercices pratiques, Win XP, Vista, 7 (4è ed, 2012) - [Eyrolles] - Sophie Lange.pdf</t>
  </si>
  <si>
    <t>W:\Livres\Informatique\Cloud\Microsoft System Center Network Virtualization and Cloud Computing (2014) - [Microsoft Press] - Benmessaoud, Williams, Mudigonda, Tulloch.epub</t>
  </si>
  <si>
    <t>W:\Livres\Informatique\Cloud\Microsoft System Center Network Virtualization and Cloud Computing (2014) - [Microsoft Press] - Benmessaoud, Williams, Mudigonda, Tulloch.pdf</t>
  </si>
  <si>
    <t>W:\Livres\Informatique\Cloud\System Center Data Protection for Hybrid Cloud (2015) - [Microsoft Press] - Dubey, Tandra Sistla, Garg, Ramdas, Tulloch.epub</t>
  </si>
  <si>
    <t>W:\Livres\Informatique\Cloud\System Center Data Protection for Hybrid Cloud (2015) - [Microsoft Press] - Dubey, Tandra Sistla, Garg, Ramdas, Tulloch.pdf</t>
  </si>
  <si>
    <t>W:\Livres\Informatique\Développement\Multicore Programming, Parallel Computing\Modern Multithreading (2006) - [Wiley] - Richard H. Carver, Kuo-Chung Tai.pdf</t>
  </si>
  <si>
    <t>W:\Livres\Informatique\Développement\Multicore Programming, Parallel Computing\Professional Multicore Programming, Design and Implementation for C++ Developers (2008) - [Wiley] - Cameron &amp; Tracey Hughes.pdf</t>
  </si>
  <si>
    <t>W:\Livres\Informatique\Langages\Assembleur\The 80x86 IBM PC and Compatible Computers Vol 1&amp;2 (4th ed, 1983) {Scan} - [Pearson] - M.A. Mazidi, J.G. Mazidi.pdf</t>
  </si>
  <si>
    <t>W:\Livres\Informatique\Langages\Assembleur\Windows Assembly Language and Systems Programming (2nd ed, 1997) {Scan} - [R&amp;D Books] - Barry Kauler.pdf</t>
  </si>
  <si>
    <t>W:\Livres\Informatique\Microsoft Books 2016\Managing Agile Open-Source Software Projects with Visual Studio Online (2015) - [Microsoft Press] - Blackman, Beeming, Fourie.epub</t>
  </si>
  <si>
    <t>W:\Livres\Informatique\Microsoft Books 2016\Managing Agile Open-Source Software Projects with Visual Studio Online (2015) - [Microsoft Press] - Blackman, Beeming, Fourie.pdf</t>
  </si>
  <si>
    <t>W:\Livres\Informatique\Microsoft Books 2016\Microsoft System Center, Extending Operations Manager Reporting (2014) - [Microsoft Press] - Wallace, Jones, May, Lee, Tulloch.epub</t>
  </si>
  <si>
    <t>W:\Livres\Informatique\Microsoft Books 2016\Microsoft System Center, Extending Operations Manager Reporting (2014) - [Microsoft Press] - Wallace, Jones, May, Lee, Tulloch.pdf</t>
  </si>
  <si>
    <t>W:\Livres\Informatique\Microsoft Books 2016\Microsoft System Center, Introduction to Microsoft Automation Solutions (2014) - [Microsoft Press] - Costello, Maunsell, Tulloch.epub</t>
  </si>
  <si>
    <t>W:\Livres\Informatique\Microsoft Books 2016\Microsoft System Center, Introduction to Microsoft Automation Solutions (2014) - [Microsoft Press] - Costello, Maunsell, Tulloch.pdf</t>
  </si>
  <si>
    <t>W:\Livres\Informatique\Microsoft Books 2016\Microsoft System Center, Operations Manager Field Experience (2015) - [Microsoft Press] - Hermans, Sturtz, Sarbulescu, Tulloch.epub</t>
  </si>
  <si>
    <t>W:\Livres\Informatique\Microsoft Books 2016\Microsoft System Center, Operations Manager Field Experience (2015) - [Microsoft Press] - Hermans, Sturtz, Sarbulescu, Tulloch.pdf</t>
  </si>
  <si>
    <t>W:\Livres\Informatique\Microsoft Books 2016\Microsoft System Center, Software Update Management Field Experience (2015) - [Microsoft Press] - Della Monica, Shilt, Rimmerman, Faldu.epub</t>
  </si>
  <si>
    <t>W:\Livres\Informatique\Microsoft Books 2016\Microsoft System Center, Software Update Management Field Experience (2015) - [Microsoft Press] - Della Monica, Shilt, Rimmerman, Faldu.pdf</t>
  </si>
  <si>
    <t>W:\Livres\Informatique\Microsoft Books 2016\System Center, Building a Virtualized Network Solution (2nd ed, 2015) - [Microsoft Press] - Cain, Luescher, Flynn, Morales, Tulloch.epub</t>
  </si>
  <si>
    <t>W:\Livres\Informatique\Microsoft Books 2016\System Center, Building a Virtualized Network Solution (2nd ed, 2015) - [Microsoft Press] - Cain, Luescher, Flynn, Morales, Tulloch.pdf</t>
  </si>
  <si>
    <t>W:\Livres\Informatique\Microsoft Books 2016\System Center, Configuration Manager Field Experience (2013) - [Microsoft Press] - Faldu, Raval, Linton, Pandey.epub</t>
  </si>
  <si>
    <t>W:\Livres\Informatique\Microsoft Books 2016\System Center, Configuration Manager Field Experience (2013) - [Microsoft Press] - Faldu, Raval, Linton, Pandey.pdf</t>
  </si>
  <si>
    <t>W:\Livres\Informatique\Microsoft Books 2016\System Center, Designing Orchestrator Run Books (2013) - [Microsoft Press] - Ziembicki, Cushner, Rynes, Tulloch.epub</t>
  </si>
  <si>
    <t>W:\Livres\Informatique\Microsoft Books 2016\System Center, Designing Orchestrator Run Books (2013) - [Microsoft Press] - Ziembicki, Cushner, Rynes, Tulloch.pdf</t>
  </si>
  <si>
    <t>W:\Livres\Informatique\Microsoft Books 2016\System Center, Optimizing Service Manager (2013) - [Microsoft Press] - Ellermann, Wilson, Nielsen, Clark.epub</t>
  </si>
  <si>
    <t>W:\Livres\Informatique\Microsoft Books 2016\System Center, Optimizing Service Manager (2013) - [Microsoft Press] - Ellermann, Wilson, Nielsen, Clark.pdf</t>
  </si>
  <si>
    <t>W:\Livres\Informatique\Microsoft Books 2016\System Center, Troubleshooting Configuration Manager (2013) - [Microsoft Press] - Faldu, Kumar Pal, Della Monica, Pandey, Tulloch.epub</t>
  </si>
  <si>
    <t>W:\Livres\Informatique\Microsoft Books 2016\System Center, Troubleshooting Configuration Manager (2013) - [Microsoft Press] - Faldu, Kumar Pal, Della Monica, Pandey, Tulloch.pdf</t>
  </si>
  <si>
    <t>W:\Livres\Informatique\Les nouveaux outils bureautiques gratuits (2è ed, 2015) - [Gereso] - Christophe Blazquez, Samir Zamoum.pdf</t>
  </si>
  <si>
    <t>W:\Livres\Informatique\Développement\Latex\The LaTeX Companion, Tools and Techniques for Computer Typesetting (2nd ed, 2004) {Scan} - [Addison-Wesley] - Mittelbach, Goossens.djvu</t>
  </si>
  <si>
    <t>W:\Livres\Informatique\Développement\Latex\The LaTeX Companion, Tools and Techniques for Computer Typesetting (2nd ed, 2004) {Scan} - [Addison-Wesley] - Mittelbach, Goossens.pdf</t>
  </si>
  <si>
    <t>W:\Livres\Informatique\Langages\C#, .Net Framework\.NET Performance Testing and Optimization, The Complete Guide (2010) - [Simple Talk] - Glavich, Farrell.pdf</t>
  </si>
  <si>
    <t>W:\Livres\Informatique\Langages\C#, .Net Framework\Beginning C# 6.0 Programming with Visual Studio 2015 (2016) - [Wrox] - Perkins, Vibe Hammer, Reid.pdf</t>
  </si>
  <si>
    <t>W:\Livres\Informatique\Langages\C#, .Net Framework\Microsoft .Net, Architecting Applications for the Enterprise (2nd ed, 2015) - [Microsoft Press] - Esposito, Saltarello.pdf</t>
  </si>
  <si>
    <t>W:\Livres\Informatique\Langages\C#, .Net Framework\Professional C# 4 and .Net 4 (2010) - [Wiley] - Nagel, Evjen, Glynn, Watson, Skinner.pdf</t>
  </si>
  <si>
    <t>W:\Livres\Informatique\Langages\C#, .Net Framework\Professional C# 2012 and .Net 4.5 (2013) - [Wiley] - Nagel, Evjen, Glynn, Watson, Skinner.pdf</t>
  </si>
  <si>
    <t>W:\Livres\Informatique\Maths\Discrete Mathematics for Computer Scientists and Mathematicians (2nd ed, 1986) - [Prentice Hall] - Mott, Kandel, Baker.djvu</t>
  </si>
  <si>
    <t>W:\Livres\Informatique\Maths\Handbook of Floating Point Arithmetic (2010) - [Birkhaüser] - Muller, Brisebarre et al.pdf</t>
  </si>
  <si>
    <t>W:\Livres\Informatique\Algorithmes, Programmation divers\Introduction to Algorithms (2nd ed, 2001) - [MIT Press] - Cormen, Leiserson, Rivest, Stein.pdf</t>
  </si>
  <si>
    <t>W:\Livres\Informatique\Algorithmes, Programmation divers\Introduction to Algorithms (3rd ed, 2009) - [MIT Press] - Cormen, Leiserson, Rivest, Stein.pdf</t>
  </si>
  <si>
    <t>W:\Livres\Informatique\Langages\C#, .Net Framework\C# Bible (2002) - [Wiley] - Ferguson, Patterson, Beres, Boutquin, Gupta.pdf</t>
  </si>
  <si>
    <t>W:\Livres\Informatique\Web, HTML, CSS, Javascript, PHP, Ajax\Professional ASP.NET MVC 2 (2010) - [Wiley] - Galloway, Haack, Hanselman, Guthrie, Conery.pdf</t>
  </si>
  <si>
    <t>W:\Livres\Informatique\Cloud\Microsoft Azure\Building Cloud Apps with Microsoft Azure (2014) - [Microsoft Press] - Guthrie, Simms, Dykstra, Anderson, Wasson.epub</t>
  </si>
  <si>
    <t>W:\Livres\Informatique\Cloud\Microsoft Azure\Building Cloud Apps with Microsoft Azure (2014) - [Microsoft Press] - Guthrie, Simms, Dykstra, Anderson, Wasson.pdf</t>
  </si>
  <si>
    <t>W:\Livres\Informatique\Développement\Debugging\The Developer's Guide to Debugging (2008) - [Springer] - Grötker, Holtmann, Keding, Wloka.pdf</t>
  </si>
  <si>
    <t>W:\Livres\Informatique\Développement\Windows Dev\Introducing Windows 7 for Developers (2010) - [Microsoft Press] - Kiriaty, Moroney, Goldshtein, Fliess.pdf</t>
  </si>
  <si>
    <t>W:\Livres\Informatique\Développement\Windows Dev\Professional Windows 8 Programming Application Development with C# and XAML (2013) - [Wiley] - Lecrenski, Holland, Sanders, Ashley.pdf</t>
  </si>
  <si>
    <t>W:\Livres\Informatique\Langages\Lua\Lua 5.1 Reference Manual (2012) - [Lua.org] - Ierusalimschy, De Figueiredo, Celes.pdf</t>
  </si>
  <si>
    <t>W:\Livres\Informatique\Langages\Objective-C\Objective-C Fundamentals (2011) - [Manning] - Fairbairn, Fahrenkrug, Ruffenach.pdf</t>
  </si>
  <si>
    <t>W:\Livres\Informatique\Systèmes d'exploitation\Linux\Running Linux (4th ed, 2003) - [O'Reilly] - Kalle Dalheimer, Dawson, Kaufman, Welsh.pdf</t>
  </si>
  <si>
    <t>W:\Livres\Informatique\Algorithmes, Programmation divers\Algorithms for Visual Design Using the Processing Language (2009) - [Wiley] - Kostas Terzidis.pdf</t>
  </si>
  <si>
    <t>W:\Livres\Informatique\Algorithmes, Programmation divers\Algorithms in C (1990) - [Addison-Wesley] - Robert Sedgewick.pdf</t>
  </si>
  <si>
    <t>W:\Livres\Informatique\Développement\Apprendre à programmer en ActionScript 3 (2008) - [Eyrolles] - Anne Tasso.pdf</t>
  </si>
  <si>
    <t>W:\Livres\Informatique\Histoire, Histoires\Clean Code, A Handbook of Agile Software Craftmaship (2009) - [Prentice Hall] - Robert Martin.pdf</t>
  </si>
  <si>
    <t>W:\Livres\Informatique\Histoire, Histoires\Code Complete (2nd ed, 2004) - [Microsoft Press] - Steve McCornell.pdf</t>
  </si>
  <si>
    <t>W:\Livres\Informatique\Histoire, Histoires\Code Craft, The Practice of Writing Excellent Code (2007) - [No Starch] - Pete Goodliffe.pdf</t>
  </si>
  <si>
    <t>W:\Livres\Informatique\Histoire, Histoires\Code, The Hidden Language of Computer Hardware and Software (2000) - [Microsoft Press] - Charles Petzold.epub</t>
  </si>
  <si>
    <t>W:\Livres\Informatique\Histoire, Histoires\Code, The Hidden Language of Computer Hardware and Software (2000) - [Microsoft Press] - Charles Petzold.pdf</t>
  </si>
  <si>
    <t>W:\Livres\Informatique\Histoire, Histoires\Coder proprement (2009) - [Pearson] - Robert C Martin.pdf</t>
  </si>
  <si>
    <t>W:\Livres\Informatique\Histoire, Histoires\Coding Interview Ninja, 50 coding questions with Java solutions to practice for your coding interview - Ekim Ouye.epub</t>
  </si>
  <si>
    <t>W:\Livres\Informatique\Histoire, Histoires\Computer Science Illuminated (6th ed, 2016) - [Jones &amp; Bartlett] - Nell Dale, John Lewis.pdf</t>
  </si>
  <si>
    <t>W:\Livres\Informatique\Histoire, Histoires\Cracking the Coding Interview, 189 Programming Questions and Solutions (6th ed, 2015) - [CareerCup] - Gayle L. McDowell.pdf</t>
  </si>
  <si>
    <t>W:\Livres\Informatique\Histoire, Histoires\Masterminds of Programming (2009) - [O'Reilly] - Federico Biancuzzi, Shane Warden.pdf</t>
  </si>
  <si>
    <t>W:\Livres\Informatique\Histoire, Histoires\Nine Algorithms That Changed the Future (2012) - [Princeton University Press] - John MacCormick.epub</t>
  </si>
  <si>
    <t>W:\Livres\Informatique\Histoire, Histoires\The Anatomy of Programming Languages (1993) - [Prentice Hall] - Alice E. Fischer, Frances S. Grodzinsky.pdf</t>
  </si>
  <si>
    <t>W:\Livres\Informatique\Histoire, Histoires\The Art of Agile Development (2008) - [O'Reilly] - James Shore, Shane Warden.pdf</t>
  </si>
  <si>
    <t>W:\Livres\Informatique\Histoire, Histoires\The Art of Computer Programming\The Art of Computer Programming, Volume 1, Fascicle 1, MMIX (2004) - [Addison-Wesley] - Donald E. Knuth.pdf</t>
  </si>
  <si>
    <t>W:\Livres\Informatique\Histoire, Histoires\The Art of Computer Programming\The Art of Computer Programming, Volume 1, Fundamental Algorithms (2nd ed, 1969) - [Addison-Wesley] - Donald E. Knuth.pdf</t>
  </si>
  <si>
    <t>W:\Livres\Informatique\Histoire, Histoires\The Art of Computer Programming\The Art of Computer Programming, Volume 1, Fundamental Algorithms (3rd ed, 1997) - [Addison-Wesley] - Donald E. Knuth.djvu</t>
  </si>
  <si>
    <t>W:\Livres\Informatique\Histoire, Histoires\The Art of Computer Programming\The Art of Computer Programming, Volume 1, Fundamental Algorithms (3rd ed, 1997) - [Addison-Wesley] - Donald E. Knuth.pdf</t>
  </si>
  <si>
    <t>W:\Livres\Informatique\Histoire, Histoires\The Art of Computer Programming\The Art of Computer Programming, Volume 2, Seminumerical Algorithms (2nd ed, 1981) - [Addison-Wesley] - Donald E. Knuth.pdf</t>
  </si>
  <si>
    <t>W:\Livres\Informatique\Histoire, Histoires\The Art of Computer Programming\The Art of Computer Programming, Volume 2, Seminumerical Algorithms (3rd ed, 1998) - [Addison-Wesley] - Donald E. Knuth.djvu</t>
  </si>
  <si>
    <t>W:\Livres\Informatique\Histoire, Histoires\The Art of Computer Programming\The Art of Computer Programming, Volume 3, Sorting and Searching (1st ed, 1973) - [Addison-Wesley] - Donald E. Knuth.pdf</t>
  </si>
  <si>
    <t>W:\Livres\Informatique\Histoire, Histoires\The Art of Computer Programming\The Art of Computer Programming, Volume 3, Sorting and Searching (2nd ed, 1998) - [Addison-Wesley] - Donald E. Knuth.djvu</t>
  </si>
  <si>
    <t>W:\Livres\Informatique\Histoire, Histoires\The Art of Computer Programming\The Art of Computer Programming, Volume 3, Sorting and Searching (2nd ed, 1998) - [Addison-Wesley] - Donald E. Knuth.pdf</t>
  </si>
  <si>
    <t>W:\Livres\Informatique\Histoire, Histoires\The Art of Computer Programming\The Art of Computer Programming, Volume 4A, Combinatorial Algorithms, Part 1 (2011) - [Addison-Wesley] - Donald E Knuth.pdf</t>
  </si>
  <si>
    <t>W:\Livres\Informatique\Histoire, Histoires\The Art of Computer Programming\The Art of Computer Programming, Volumes I-IVa - [Addison-Wesley] - Donald E. Knuth.pdf</t>
  </si>
  <si>
    <t>W:\Livres\Informatique\Histoire, Histoires\The Clean Coder, A Code of Conduct for Professional Programmers (2011) - [Prentice Hall] - Robert Martin.pdf</t>
  </si>
  <si>
    <t>W:\Livres\Informatique\Histoire, Histoires\The Code Book, How to Make It, Break It, Hack It, Crack It (2001) - [Delacorte Press] - Simon Singh.pdf</t>
  </si>
  <si>
    <t>W:\Livres\Informatique\Histoire, Histoires\The Pragmatic Programmer, From Journeyman to Master (1999) {Dump} - [Addison-Wesley] - Andrew Hunt, David Thomas.pdf</t>
  </si>
  <si>
    <t>W:\Livres\Informatique\Histoire, Histoires\Writing Solid Code (1993) {Scan} - [Microsoft Press] - Stephen A. Maguire.pdf</t>
  </si>
  <si>
    <t>W:\Livres\Informatique\liste.txt</t>
  </si>
  <si>
    <t>W:\Livres\Informatique\Maths\Applied Algebra, Codes, Ciphers and Discrete Algorithms (2nd ed, 2009) - [CRC Press] - D. Hardy, F Richman, C Walker.pdf</t>
  </si>
  <si>
    <t>W:\Livres\Informatique\Maths\Numerical Algorithms (2015) - [CRC Press] - Justin Solomon.pdf</t>
  </si>
  <si>
    <t>1979</t>
  </si>
  <si>
    <t>1980</t>
  </si>
  <si>
    <t>1983</t>
  </si>
  <si>
    <t>1989</t>
  </si>
  <si>
    <t>Intel</t>
  </si>
  <si>
    <t>Morgan Kaufmann</t>
  </si>
  <si>
    <t>Fuze</t>
  </si>
  <si>
    <t>Birkhaüser</t>
  </si>
  <si>
    <t>Charles River Media</t>
  </si>
  <si>
    <t>Auerbach</t>
  </si>
  <si>
    <t>Open Task</t>
  </si>
  <si>
    <t>Jones and Bartlett</t>
  </si>
  <si>
    <t>MIPS Technologies</t>
  </si>
  <si>
    <t>Lakeview Research</t>
  </si>
  <si>
    <t>California Technical Publishing</t>
  </si>
  <si>
    <t>Hungry Minds</t>
  </si>
  <si>
    <t>Information Science</t>
  </si>
  <si>
    <t>Red Hat</t>
  </si>
  <si>
    <t>DIKU</t>
  </si>
  <si>
    <t>Siam</t>
  </si>
  <si>
    <t>Dell Publishing</t>
  </si>
  <si>
    <t>Simple Talk</t>
  </si>
  <si>
    <t>BPB</t>
  </si>
  <si>
    <t>Inria</t>
  </si>
  <si>
    <t>College Publications</t>
  </si>
  <si>
    <t>Green Tea</t>
  </si>
  <si>
    <t>Ventus</t>
  </si>
  <si>
    <t>Wordware Publishing</t>
  </si>
  <si>
    <t>Brooks Cole</t>
  </si>
  <si>
    <t>Corollary Theorems</t>
  </si>
  <si>
    <t>HP</t>
  </si>
  <si>
    <t>Birkhauser</t>
  </si>
  <si>
    <t>Citrus Press</t>
  </si>
  <si>
    <t>Datamost</t>
  </si>
  <si>
    <t>University of Hull</t>
  </si>
  <si>
    <t>ECMA</t>
  </si>
  <si>
    <t>CocoaLab</t>
  </si>
  <si>
    <t>Harper Collins</t>
  </si>
  <si>
    <t>Yale University</t>
  </si>
  <si>
    <t>ACM</t>
  </si>
  <si>
    <t>New Age Intl</t>
  </si>
  <si>
    <t>John Hopkins University Press</t>
  </si>
  <si>
    <t>New Age</t>
  </si>
  <si>
    <t>BBS Technologies</t>
  </si>
  <si>
    <t>W:\Livres\Informatique\Langages\Assembleur\Professional Assembly Language (2005), Code.rar</t>
  </si>
  <si>
    <t>W:\Livres\Informatique\Langages\C#, .Net Framework\Professional C# 4 and .Net 4 (2010), Code and Extra Chapters.rar</t>
  </si>
  <si>
    <t>W:\Livres\Informatique\Langages\F#\Beginning F# (2009), Sources.rar</t>
  </si>
  <si>
    <t>Basename</t>
  </si>
  <si>
    <t>W:\Livres\Informatique\SEO zéro euro, Le référencement web en 4 étapes (2014) - [Eyrolles] - Olivier Andrieu.pdf</t>
  </si>
  <si>
    <t>W:\Livres\Informatique\Algorithmes, Programmation divers\Memory Management Algorithms and Implementation in C and C++ (2003) - [Wordware Publishing] - Bill Blunden.pdf</t>
  </si>
  <si>
    <t>W:\Livres\Informatique\Bases de données, SQL\MySQL\Développer un site Web en PHP, MySQL, JavaScript (4è ed, 2016) - [O'Reilly] - Robin Nixon.pdf</t>
  </si>
  <si>
    <t>W:\Livres\Informatique\Cloud\Microsoft Azure\Azure Managed Services Playbook (2016) - [Microsoft].pdf</t>
  </si>
  <si>
    <t>W:\Livres\Informatique\Développement\UI, UX\Qt4 et C++, Programmation d'interfaces GUI, Exemples.rar</t>
  </si>
  <si>
    <t>W:\Livres\Informatique\Développement\Windows Dev\WCF\WCF 4.0 Multi-tier Services Development with LINQ to Entities (2010) - [Packt] - Mike Liu.pdf</t>
  </si>
  <si>
    <t>W:\Livres\Informatique\Microsoft Books 2016\Office 2013, PowerPoint 2013 Quickstart Guide - [Microsoft].pdf</t>
  </si>
  <si>
    <t>W:\Livres\Informatique\Microsoft Books 2016\Planning SharePoint Hybrid 8.5 (2016) - [Microsoft Press] - Jeremy Taylor.pdf</t>
  </si>
  <si>
    <t>W:\Livres\Informatique\Microsoft Books 2016\Planning SharePoint Hybrid 8.5 (2016) {Mobile format} - [Microsoft Press] - Jeremy Taylor.pdf</t>
  </si>
  <si>
    <t>W:\Livres\Informatique\Microsoft Office\J'apprends à me servir de PowerPoint 2013 {Document} - Joël Green.epub</t>
  </si>
  <si>
    <t>W:\Livres\Informatique\Microsoft Office\J'apprends à me servir de PowerPoint 2013 {Document} - Joël Green.pdf</t>
  </si>
  <si>
    <t>W:\Livres\Informatique\Réseaux, Ethernet, WiFi\802.11 Wireless Networks, The Definitive Guide (2002) - [O'Reilly] - Matthew Gast.pdf</t>
  </si>
  <si>
    <t>W:\Livres\Informatique\Web, HTML, CSS, Javascript, PHP, Ajax\Premières applications Web2.0 avec Ajax et PHP (2008) - [Eyrolles] - Jean-Marie Defrance.pdf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</si>
</sst>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Pierre Violent" refreshedDate="42725.969463773145" createdVersion="6" refreshedVersion="6" minRefreshableVersion="3" recordCount="1856">
  <cacheSource type="worksheet">
    <worksheetSource name="Table1"/>
  </cacheSource>
  <cacheFields count="9">
    <cacheField name="Path" numFmtId="0">
      <sharedItems/>
    </cacheField>
    <cacheField name="DatePub" numFmtId="0">
      <sharedItems count="87">
        <s v="2011"/>
        <s v="2005"/>
        <s v="2016"/>
        <s v="2015"/>
        <s v="2009"/>
        <s v="2013"/>
        <s v="2014"/>
        <s v="2000"/>
        <s v="2012"/>
        <s v="2007"/>
        <s v="?"/>
        <s v="1999"/>
        <s v="1998"/>
        <s v="2008"/>
        <s v="2010"/>
        <s v="2001"/>
        <s v="2002"/>
        <s v="2006"/>
        <s v="1984"/>
        <s v="1985"/>
        <s v="1986"/>
        <s v="1993"/>
        <s v="1996"/>
        <s v="1990"/>
        <s v="1989"/>
        <s v="2003"/>
        <s v="2004"/>
        <s v="1992"/>
        <s v="1995"/>
        <s v="1994"/>
        <s v="1997"/>
        <s v="1972"/>
        <s v="1981"/>
        <s v="1979"/>
        <s v="1991"/>
        <s v="1988"/>
        <s v="1969"/>
        <s v="1973"/>
        <s v="1977"/>
        <s v="1980"/>
        <s v="1983"/>
        <s v="1982"/>
        <s v="1965"/>
        <s v="1978"/>
        <s v="1963" u="1"/>
        <s v="1939" u="1"/>
        <s v="$$$ ( ambigu" u="1"/>
        <s v="Powerpoint allemand" u="1"/>
        <s v="19è ed, 2015" u="1"/>
        <s v="r" u="1"/>
        <s v="3è ed, 2008" u="1"/>
        <s v="12è ed, 2015" u="1"/>
        <s v="1863" u="1"/>
        <s v="1974" u="1"/>
        <s v="8è ed, 2014" u="1"/>
        <s v="8è ed, 2015" u="1"/>
        <s v="8è ed, 2016" u="1"/>
        <s v="Code" u="1"/>
        <s v="11è ed, 2015" u="1"/>
        <s v="1975" u="1"/>
        <s v="3è ed, 2011" u="1"/>
        <s v="1910" u="1"/>
        <s v="1930" u="1"/>
        <s v="3è ed, 2015" u="1"/>
        <s v="1940" u="1"/>
        <s v="1916" u="1"/>
        <s v="3è ed, 2016" u="1"/>
        <s v="2è ed, 1999" u="1"/>
        <s v="1875" u="1"/>
        <s v="1966" u="1"/>
        <s v="16è ed, 2015" u="1"/>
        <s v="2è ed, 2010" u="1"/>
        <s v="2è ed, 2011" u="1"/>
        <s v="6è ed, 2012" u="1"/>
        <s v="1907" u="1"/>
        <s v="1967" u="1"/>
        <s v="1987" u="1"/>
        <s v="2è ed, 2014" u="1"/>
        <s v="6è ed, 2015" u="1"/>
        <s v="2è ed, 2015" u="1"/>
        <s v="2è ed, 2016" u="1"/>
        <s v="1912" u="1"/>
        <s v="1962" u="1"/>
        <s v="12è ed, 2016" u="1"/>
        <s v="5è ed, 2013" u="1"/>
        <s v="9è ed, 2015" u="1"/>
        <s v="1822" u="1"/>
      </sharedItems>
    </cacheField>
    <cacheField name="Editeur" numFmtId="0">
      <sharedItems count="327">
        <s v="Manning"/>
        <s v="Elsevier"/>
        <s v="Dunod"/>
        <s v="RB édition"/>
        <s v="O'Reilly"/>
        <s v="Sitepoint"/>
        <s v="Eyrolles"/>
        <s v="Pearson"/>
        <s v="?"/>
        <s v="Springer"/>
        <s v="Presses des Mines"/>
        <s v="Afnor"/>
        <s v="Gereso"/>
        <s v="Microsoft Press"/>
        <s v="Packt"/>
        <s v="No Starch"/>
        <s v="Elsevier Masson"/>
        <s v="Cambridge"/>
        <s v="ENI"/>
        <s v="Addison-Wesley"/>
        <s v="Prentice Hall"/>
        <s v="CRC Press"/>
        <s v="Wiley"/>
        <s v="CreateSpace"/>
        <s v="Marcel Dekker"/>
        <s v="World Scientific"/>
        <s v="Computer Science Press"/>
        <s v="Jones and Bartlett"/>
        <s v="Jones and Bartlett Publishers"/>
        <s v="Bbv Software Services"/>
        <s v="Developpez.com"/>
        <s v="Thomson"/>
        <s v="MIT Press"/>
        <s v="Vuibert"/>
        <s v="Berti"/>
        <s v="Armand Colin"/>
        <s v="Wordware Publishing"/>
        <s v="Red Hat"/>
        <s v="Corollary Theorems"/>
        <s v="Lakeview Research"/>
        <s v="Maker Media"/>
        <s v="McGraw-Hill"/>
        <s v="Apress"/>
        <s v="SS Publishing"/>
        <s v="The Pragmatic Programmers"/>
        <s v="Suntime Publishing"/>
        <s v="Magbook"/>
        <s v="Mediaforma"/>
        <s v="Microsoft"/>
        <s v="Le site du zéro"/>
        <s v="Micro Application"/>
        <s v="Cengage Learning"/>
        <s v="Sams"/>
        <s v="Humana Press"/>
        <s v="Morgan Kaufmann"/>
        <s v="Harper Collins"/>
        <s v="DIKU"/>
        <s v="Auerbach"/>
        <s v="GNU Press"/>
        <s v="Free Software Foundation"/>
        <s v="Open Task"/>
        <s v="Paraglyph"/>
        <s v="New Riders Publishing"/>
        <s v="D-BookeR"/>
        <s v="Charles River Media"/>
        <s v="Atramenta"/>
        <s v="Siam"/>
        <s v="Birkhauser"/>
        <s v="Framabook"/>
        <s v="New Riders"/>
        <s v="Red Hat Press"/>
        <s v="Oxford"/>
        <s v="Big nerd ranch"/>
        <s v="Peachpit"/>
        <s v="Développez.com"/>
        <s v="Artech House"/>
        <s v="California Technical Publishing"/>
        <s v="Citrus Press"/>
        <s v="First"/>
        <s v="Jones &amp; Bartlett"/>
        <s v="CareerCup"/>
        <s v="Multi Mondes"/>
        <s v="Dell Publishing"/>
        <s v="Westview"/>
        <s v="Princeton University Press"/>
        <s v="Delacorte Press"/>
        <s v="Wikibooks"/>
        <s v="North-Holland"/>
        <s v="Phoenix Engineering"/>
        <s v="MIPS Technologies"/>
        <s v="Éditests"/>
        <s v="Sybex"/>
        <s v="Datamost"/>
        <s v="R&amp;D Books"/>
        <s v="ARM"/>
        <s v="Intel"/>
        <s v="Simple Talk"/>
        <s v="Wrox"/>
        <s v="University of Hull"/>
        <s v="Hungry Minds"/>
        <s v="ECMA"/>
        <s v="Que"/>
        <s v="Broquard eBooks"/>
        <s v="CareerMonk"/>
        <s v="Tutorials Point"/>
        <s v="Acodemy"/>
        <s v="BPB"/>
        <s v="Artima"/>
        <s v="HP"/>
        <s v="Inria"/>
        <s v="Fuze"/>
        <s v="College Publications"/>
        <s v="Sun Microsystems"/>
        <s v="Smart Data Processing"/>
        <s v="Benjamin-Cummings"/>
        <s v="Lua.org"/>
        <s v="CocoaLab"/>
        <s v="Apple"/>
        <s v="Peachpit Press"/>
        <s v="Onyx Neon Press"/>
        <s v="Digit Books"/>
        <s v="IBM"/>
        <s v="Digital Research"/>
        <s v="New York University"/>
        <s v="Course Technology, Cengage Learning"/>
        <s v="Python Software Foundation"/>
        <s v="Green Tea"/>
        <s v="Syngress"/>
        <s v="Brroks-Cole"/>
        <s v="Loze-Dion"/>
        <s v="Premier Press"/>
        <s v="The Coriolis Group"/>
        <s v="Prima"/>
        <s v="booksboon.com"/>
        <s v="Gatesmark"/>
        <s v="Yale University"/>
        <s v="Birkhaüser"/>
        <s v="New Age Intl"/>
        <s v="bookboon.com"/>
        <s v="Ventus"/>
        <s v="John Hopkins University Press"/>
        <s v="Brooks Cole"/>
        <s v="New Age"/>
        <s v="Birkhäuser"/>
        <s v="ACM"/>
        <s v="Le génie des glaciers"/>
        <s v="Heaton Research"/>
        <s v="Cépaduès"/>
        <s v="Clarendon Press"/>
        <s v="Information Science"/>
        <s v="Edigo"/>
        <s v="Penguin"/>
        <s v="Now"/>
        <s v="Kluwer Academic Publishers"/>
        <s v="Au Diable Vauvert"/>
        <s v="Secure Planet"/>
        <s v="Future"/>
        <s v="Les Applications Android"/>
        <s v="BBS Technologies"/>
        <s v="The Long Climb"/>
        <s v="Leanpub"/>
        <s v="Rockable Press"/>
        <s v="Tech Active" u="1"/>
        <s v="Asap" u="1"/>
        <s v="adpf" u="1"/>
        <s v="Tallandier" u="1"/>
        <s v="Chapman &amp; Hall" u="1"/>
        <s v="Médicilline" u="1"/>
        <s v="Belin" u="1"/>
        <s v="Gualino" u="1"/>
        <s v="SMF SMAI" u="1"/>
        <s v="Électronique et loisirs" u="1"/>
        <s v="Wombat" u="1"/>
        <s v="Rockport" u="1"/>
        <s v="L'étudiant" u="1"/>
        <s v="Presses du Châtelet" u="1"/>
        <s v="L'Usine Nouvelle, Dunod" u="1"/>
        <s v="La découverte" u="1"/>
        <s v="Talking Electronics" u="1"/>
        <s v="Greenwood Press" u="1"/>
        <s v="Le Monde" u="1"/>
        <s v="Marie Claire" u="1"/>
        <s v="Huitième art" u="1"/>
        <s v="Mir" u="1"/>
        <s v="Sud Ouest" u="1"/>
        <s v="Leduc.s" u="1"/>
        <s v="Libris" u="1"/>
        <s v="JuriTravail.com" u="1"/>
        <s v="Le chasse-marée" u="1"/>
        <s v="Librio" u="1"/>
        <s v="Delachaux et Nistlé" u="1"/>
        <s v="Autrement" u="1"/>
        <s v="La France agricole" u="1"/>
        <s v="WW Norton" u="1"/>
        <s v="Quotidien Malin" u="1"/>
        <s v="L'Herne" u="1"/>
        <s v="Société Suisse de spéléologie" u="1"/>
        <s v="JC Lattès" u="1"/>
        <s v="Que sais-je" u="1"/>
        <s v="Les dictionnaires du savoir moderne" u="1"/>
        <s v="Techniques de l'ingénieur" u="1"/>
        <s v="Amis-mots" u="1"/>
        <s v="EDP Sciences, CNRS éditions" u="1"/>
        <s v="Québec-Livres" u="1"/>
        <s v="Addison Wesley" u="1"/>
        <s v="Quae" u="1"/>
        <s v="De Agostini" u="1"/>
        <s v="Hachette Supérieur" u="1"/>
        <s v="Dessain et Tolra" u="1"/>
        <s v="Delachaux et Niestlé" u="1"/>
        <s v="Pole" u="1"/>
        <s v="Nathan" u="1"/>
        <s v="Lochar Publishing" u="1"/>
        <s v="Cle international" u="1"/>
        <s v="Marcel Didier" u="1"/>
        <s v="Hatier" u="1"/>
        <s v="Cambridge University Press" u="1"/>
        <s v="Basic Books" u="1"/>
        <s v="L'express bibliomnibus" u="1"/>
        <s v="Chemins de traverse" u="1"/>
        <s v="Vrin" u="1"/>
        <s v="Fetjaine" u="1"/>
        <s v="Belin - Pour la Science" u="1"/>
        <s v="JM Classic" u="1"/>
        <s v="Hugo Desinge" u="1"/>
        <s v="Trécarré" u="1"/>
        <s v="Firefly" u="1"/>
        <s v="Facts on File" u="1"/>
        <s v="Broadway Paperbacks" u="1"/>
        <s v="CRCPress" u="1"/>
        <s v="Odile Jacob" u="1"/>
        <s v="Pour la Science" u="1"/>
        <s v="Les presses SciencePo" u="1"/>
        <s v="Scientific American" u="1"/>
        <s v="Chêne" u="1"/>
        <s v="Arthaud" u="1"/>
        <s v="Wiley-Interscience" u="1"/>
        <s v="Archipoche" u="1"/>
        <s v="St Martin's Press" u="1"/>
        <s v="Belfond" u="1"/>
        <s v="Payot" u="1"/>
        <s v="Quai des Sciences" u="1"/>
        <s v="ESI" u="1"/>
        <s v="L'Express" u="1"/>
        <s v="Hermann" u="1"/>
        <s v="Ellipses" u="1"/>
        <s v="Les belles lettres" u="1"/>
        <s v="Afnor, Eyrolles" u="1"/>
        <s v="Belin, Pour la Science" u="1"/>
        <s v="Éditions du rocher" u="1"/>
        <s v="Marabout" u="1"/>
        <s v="APA Poux" u="1"/>
        <s v="PUQ" u="1"/>
        <s v="Albin Michel" u="1"/>
        <s v="Springer Praxis" u="1"/>
        <s v="Hachette Éducation" u="1"/>
        <s v="$$$ Ambigu" u="1"/>
        <s v="Chelsea House" u="1"/>
        <s v="Hyphen Press" u="1"/>
        <s v="Longman" u="1"/>
        <s v="La différence" u="1"/>
        <s v="De Boeck" u="1"/>
        <s v="Nane éditions" u="1"/>
        <s v="Seuil" u="1"/>
        <s v="Utovie" u="1"/>
        <s v="Random House" u="1"/>
        <s v="Webdump" u="1"/>
        <s v="Archi poche" u="1"/>
        <s v="EDP Sciences" u="1"/>
        <s v="Glénat" u="1"/>
        <s v="Nasa" u="1"/>
        <s v="Scribner" u="1"/>
        <s v="Jacques Gabay" u="1"/>
        <s v="University of California Press" u="1"/>
        <s v="Le cavalier bleu" u="1"/>
        <s v="Jouvence" u="1"/>
        <s v="RTL-SDR Blog.com" u="1"/>
        <s v="Le cavalieu bleu" u="1"/>
        <s v="Studyrama" u="1"/>
        <s v="Eagle Press" u="1"/>
        <s v="Le Bélial" u="1"/>
        <s v="ETI" u="1"/>
        <s v="Eyroles" u="1"/>
        <s v="Le pommier" u="1"/>
        <s v="Ulysse" u="1"/>
        <s v="Hachette classiques" u="1"/>
        <s v="Hors Collection" u="1"/>
        <s v="Houghton Mifflin Harcourt" u="1"/>
        <s v="Waterloo Maple" u="1"/>
        <s v="Early release 7" u="1"/>
        <s v="Life" u="1"/>
        <s v="crop" u="1"/>
        <s v="Presses universitaires de Paris ouest" u="1"/>
        <s v="Bragelonne" u="1"/>
        <s v="Hachette" u="1"/>
        <s v="Prentice-Hall" u="1"/>
        <s v="Larousse" u="1"/>
        <s v="Extract, 42 pages" u="1"/>
        <s v="Ouest France" u="1"/>
        <s v="Flammarion" u="1"/>
        <s v="Petit futé" u="1"/>
        <s v="Morton" u="1"/>
        <s v="The University of Chicago Press" u="1"/>
        <s v="Pocket" u="1"/>
        <s v="McGraw-Hill - Schaum's" u="1"/>
        <s v="City" u="1"/>
        <s v="Artémis" u="1"/>
        <s v="Aspen" u="1"/>
        <s v="Parkstone" u="1"/>
        <s v="Guru Guide" u="1"/>
        <s v="Linux User &amp; Developer" u="1"/>
        <s v="Pre-release" u="1"/>
        <s v="Gallimard" u="1"/>
        <s v="Québec Amérique" u="1"/>
        <s v="Gründ" u="1"/>
        <s v="Excerpt §8" u="1"/>
        <s v="Knopf" u="1"/>
        <s v="France Agricole" u="1"/>
        <s v="large" u="1"/>
        <s v="Solar" u="1"/>
        <s v="DK" u="1"/>
        <s v="Éditions de l'opportun" u="1"/>
        <s v="Robert Laffont" u="1"/>
        <s v="ETSF" u="1"/>
        <s v="Calvage et Mounet" u="1"/>
        <s v="Bordas" u="1"/>
        <s v="Les indispensables Larousse" u="1"/>
      </sharedItems>
    </cacheField>
    <cacheField name="Auteur" numFmtId="0">
      <sharedItems/>
    </cacheField>
    <cacheField name="ExtraInfo" numFmtId="0">
      <sharedItems/>
    </cacheField>
    <cacheField name="Extension" numFmtId="0">
      <sharedItems/>
    </cacheField>
    <cacheField name="LenFileName" numFmtId="0">
      <sharedItems containsSemiMixedTypes="0" containsString="0" containsNumber="1" containsInteger="1" minValue="9" maxValue="150"/>
    </cacheField>
    <cacheField name="LenAuteur" numFmtId="0">
      <sharedItems containsSemiMixedTypes="0" containsString="0" containsNumber="1" containsInteger="1" minValue="1" maxValue="60"/>
    </cacheField>
    <cacheField name="Basenam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856">
  <r>
    <s v="W:\Livres\Informatique\Camel in Action (2011) - [Manning] - Claus Ibsen, Jonathan Anstey.pdf"/>
    <x v="0"/>
    <x v="0"/>
    <s v="Claus Ibsen, Jonathan Anstey"/>
    <s v=""/>
    <s v=".pdf"/>
    <n v="69"/>
    <n v="28"/>
    <s v="Camel in Action"/>
  </r>
  <r>
    <s v="W:\Livres\Informatique\A Practical Guide to Video And Audio Compression (2005) - [Elsevier] - Cliff Wootton.pdf"/>
    <x v="1"/>
    <x v="1"/>
    <s v="Cliff Wootton"/>
    <s v=""/>
    <s v=".pdf"/>
    <n v="88"/>
    <n v="13"/>
    <s v="A Practical Guide to Video And Audio Compression"/>
  </r>
  <r>
    <s v="W:\Livres\Informatique\ArchiCAD, De la prise en main jusqu'au traceur (2005) - [Dunod] - Éric Wilk.pdf"/>
    <x v="1"/>
    <x v="2"/>
    <s v="Éric Wilk"/>
    <s v=""/>
    <s v=".pdf"/>
    <n v="79"/>
    <n v="9"/>
    <s v="ArchiCAD, De la prise en main jusqu'au traceur"/>
  </r>
  <r>
    <s v="W:\Livres\Informatique\Bitcoin et blockchain (2016) - [RB édition] - Geiben, Jean-Marie, Verviest, Vilotte.pdf"/>
    <x v="2"/>
    <x v="3"/>
    <s v="Geiben, Jean-Marie, Verviest, Vilotte"/>
    <s v=""/>
    <s v=".pdf"/>
    <n v="87"/>
    <n v="37"/>
    <s v="Bitcoin et blockchain"/>
  </r>
  <r>
    <s v="W:\Livres\Informatique\Blockchain (2015) {Dump} - [O'Reilly] - Melanie Swan.pdf"/>
    <x v="3"/>
    <x v="4"/>
    <s v="Melanie Swan"/>
    <s v="Dump"/>
    <s v=".pdf"/>
    <n v="56"/>
    <n v="12"/>
    <s v="Blockchain"/>
  </r>
  <r>
    <s v="W:\Livres\Informatique\Build Your Own Firefox Extension (2009) - [Sitepoint] - James Edwards.pdf"/>
    <x v="4"/>
    <x v="5"/>
    <s v="James Edwards"/>
    <s v=""/>
    <s v=".pdf"/>
    <n v="73"/>
    <n v="13"/>
    <s v="Build Your Own Firefox Extension"/>
  </r>
  <r>
    <s v="W:\Livres\Informatique\Cahier Gimp.2.8 (2è ed, 2015) {Dump} - [Eyrolles] - Raymond Ostertag.pdf"/>
    <x v="3"/>
    <x v="6"/>
    <s v="Raymond Ostertag"/>
    <s v="Dump"/>
    <s v=".pdf"/>
    <n v="72"/>
    <n v="16"/>
    <s v="Cahier Gimp.2.8"/>
  </r>
  <r>
    <s v="W:\Livres\Informatique\Cookbook Référencement Google (2013) - [Dunod] - Samir Ghouti-Terki.pdf"/>
    <x v="5"/>
    <x v="2"/>
    <s v="Samir Ghouti-Terki"/>
    <s v=""/>
    <s v=".pdf"/>
    <n v="71"/>
    <n v="18"/>
    <s v="Cookbook Référencement Google"/>
  </r>
  <r>
    <s v="W:\Livres\Informatique\Créez des documents ePub (2011) - [Pearson] - Élizabeth Castro.pdf"/>
    <x v="0"/>
    <x v="7"/>
    <s v="Élizabeth Castro"/>
    <s v=""/>
    <s v=".pdf"/>
    <n v="66"/>
    <n v="16"/>
    <s v="Créez des documents ePub"/>
  </r>
  <r>
    <s v="W:\Livres\Informatique\Créez vos sites Web avec WordPress (2è ed, 2014) - [Dunod] - Simon Kern.pdf"/>
    <x v="6"/>
    <x v="2"/>
    <s v="Simon Kern"/>
    <s v=""/>
    <s v=".pdf"/>
    <n v="75"/>
    <n v="10"/>
    <s v="Créez vos sites Web avec WordPress"/>
  </r>
  <r>
    <s v="W:\Livres\Informatique\Créez vos sites Web avec WordPress (2è ed, 2014), Fichiers de travail.zip"/>
    <x v="6"/>
    <x v="8"/>
    <s v="?"/>
    <s v=""/>
    <s v=".zip"/>
    <n v="73"/>
    <n v="1"/>
    <s v="Créez vos sites Web avec WordPress"/>
  </r>
  <r>
    <s v="W:\Livres\Informatique\Database Nation, The Death of Privacy in the 21st Century (2000) - [O'Reilly] - Simson Garfinkel.pdf"/>
    <x v="7"/>
    <x v="4"/>
    <s v="Simson Garfinkel"/>
    <s v=""/>
    <s v=".pdf"/>
    <n v="100"/>
    <n v="16"/>
    <s v="Database Nation, The Death of Privacy in the 21st Century"/>
  </r>
  <r>
    <s v="W:\Livres\Informatique\Découvrir DevOps, L'essentiel pour tous les métiers (2016) - [Dunod] - Stéphane Gourdeau, Samuel Metias.epub"/>
    <x v="2"/>
    <x v="2"/>
    <s v="Stéphane Gourdeau, Samuel Metias"/>
    <s v=""/>
    <s v=".epub"/>
    <n v="108"/>
    <n v="32"/>
    <s v="Découvrir DevOps, L'essentiel pour tous les métiers"/>
  </r>
  <r>
    <s v="W:\Livres\Informatique\Découvrir DevOps, L'essentiel pour tous les métiers (2016) - [Dunod] - Stéphane Gourdeau, Samuel Metias.pdf"/>
    <x v="2"/>
    <x v="2"/>
    <s v="Stéphane Gourdeau, Samuel Metias"/>
    <s v=""/>
    <s v=".pdf"/>
    <n v="107"/>
    <n v="32"/>
    <s v="Découvrir DevOps, L'essentiel pour tous les métiers"/>
  </r>
  <r>
    <s v="W:\Livres\Informatique\Développer les usages des logiciels collaboratifs, Le rôle des SI, des RH et des managers (2013) - [Springer] - Ewan Oiry.pdf"/>
    <x v="5"/>
    <x v="9"/>
    <s v="Ewan Oiry"/>
    <s v=""/>
    <s v=".pdf"/>
    <n v="125"/>
    <n v="9"/>
    <s v="Développer les usages des logiciels collaboratifs, Le rôle des SI, des RH et des managers"/>
  </r>
  <r>
    <s v="W:\Livres\Informatique\Docker, Pratique des architectures à base de conteneurs (2016) - [Dunod] - Cloux, Garlot, Kohler.pdf"/>
    <x v="2"/>
    <x v="2"/>
    <s v="Cloux, Garlot, Kohler"/>
    <s v=""/>
    <s v=".pdf"/>
    <n v="100"/>
    <n v="21"/>
    <s v="Docker, Pratique des architectures à base de conteneurs"/>
  </r>
  <r>
    <s v="W:\Livres\Informatique\Être un pro de l'email (2014) - [Eyrolles] - Sylvie Azoulay-Bismuth.pdf"/>
    <x v="6"/>
    <x v="6"/>
    <s v="Sylvie Azoulay-Bismuth"/>
    <s v=""/>
    <s v=".pdf"/>
    <n v="71"/>
    <n v="22"/>
    <s v="Être un pro de l'email"/>
  </r>
  <r>
    <s v="W:\Livres\Informatique\Gérer et comprendre l'open source (2011) - [Presses des Mines] - Nordine Benkeltoum.pdf"/>
    <x v="0"/>
    <x v="10"/>
    <s v="Nordine Benkeltoum"/>
    <s v=""/>
    <s v=".pdf"/>
    <n v="87"/>
    <n v="18"/>
    <s v="Gérer et comprendre l'open source"/>
  </r>
  <r>
    <s v="W:\Livres\Informatique\Guide pratique du e-Learning, Conception, stratégie et pédagogie avec Moodle (2011) - [Dunod] - Sid Ahmed Benraouane.pdf"/>
    <x v="0"/>
    <x v="2"/>
    <s v="Sid Ahmed Benraouane"/>
    <s v=""/>
    <s v=".pdf"/>
    <n v="120"/>
    <n v="20"/>
    <s v="Guide pratique du e-Learning, Conception, stratégie et pédagogie avec Moodle"/>
  </r>
  <r>
    <s v="W:\Livres\Informatique\Informatique, Internet et TPE, Choisir et mettre en oeuvre les bons outils (2009) - [Dunod] - Albéric Quenfaime.pdf"/>
    <x v="4"/>
    <x v="2"/>
    <s v="Albéric Quenfaime"/>
    <s v=""/>
    <s v=".pdf"/>
    <n v="115"/>
    <n v="17"/>
    <s v="Informatique, Internet et TPE, Choisir et mettre en oeuvre les bons outils"/>
  </r>
  <r>
    <s v="W:\Livres\Informatique\Internet et les réseaux sociaux, que dit la loi (2è ed, 2015) - [Eyrolles] - Fabrice Mattatia.pdf"/>
    <x v="3"/>
    <x v="6"/>
    <s v="Fabrice Mattatia"/>
    <s v=""/>
    <s v=".pdf"/>
    <n v="97"/>
    <n v="16"/>
    <s v="Internet et les réseaux sociaux, que dit la loi"/>
  </r>
  <r>
    <s v="W:\Livres\Informatique\Je débute en blogging, Tome 1, Créer son blog (2012) - Copywriting Pratique.pdf"/>
    <x v="8"/>
    <x v="8"/>
    <s v="Copywriting Pratique"/>
    <s v=""/>
    <s v=".pdf"/>
    <n v="79"/>
    <n v="20"/>
    <s v="Je débute en blogging, Tome 1, Créer son blog"/>
  </r>
  <r>
    <s v="W:\Livres\Informatique\Je débute en blogging, Tome 2, Alimenter, faire connaître, gérer et monétiser son blog (2012) - Copywriting Pratique.pdf"/>
    <x v="8"/>
    <x v="8"/>
    <s v="Copywriting Pratique"/>
    <s v=""/>
    <s v=".pdf"/>
    <n v="120"/>
    <n v="20"/>
    <s v="Je débute en blogging, Tome 2, Alimenter, faire connaître, gérer et monétiser son blog"/>
  </r>
  <r>
    <s v="W:\Livres\Informatique\Junos Enterprise Switching (2009) - [O'Reilly] - Harry Reynolds, Doug Marschke.pdf"/>
    <x v="4"/>
    <x v="4"/>
    <s v="Harry Reynolds, Doug Marschke"/>
    <s v=""/>
    <s v=".pdf"/>
    <n v="82"/>
    <n v="29"/>
    <s v="Junos Enterprise Switching"/>
  </r>
  <r>
    <s v="W:\Livres\Informatique\Le guide des liens sponsorisés, Google AdWords en 150 questions réponses (2014) - [Eyrolles] - Florient Marlin.pdf"/>
    <x v="6"/>
    <x v="6"/>
    <s v="Florient Marlin"/>
    <s v=""/>
    <s v=".pdf"/>
    <n v="114"/>
    <n v="15"/>
    <s v="Le guide des liens sponsorisés, Google AdWords en 150 questions réponses"/>
  </r>
  <r>
    <s v="W:\Livres\Informatique\Le mobile NFC (2015) - [Afnor] - Pierre Métivier.pdf"/>
    <x v="3"/>
    <x v="11"/>
    <s v="Pierre Métivier"/>
    <s v=""/>
    <s v=".pdf"/>
    <n v="52"/>
    <n v="15"/>
    <s v="Le mobile NFC"/>
  </r>
  <r>
    <s v="W:\Livres\Informatique\Le SI démystifié (2007) - [Dunod] - Yves Caseau.pdf"/>
    <x v="9"/>
    <x v="2"/>
    <s v="Yves Caseau"/>
    <s v=""/>
    <s v=".pdf"/>
    <n v="51"/>
    <n v="11"/>
    <s v="Le SI démystifié"/>
  </r>
  <r>
    <s v="W:\Livres\Informatique\Les nouveaux outils bureautiques gratuits (2è ed, 2015) - [Gereso] - Christophe Blazquez, Samir Zamoum.pdf"/>
    <x v="3"/>
    <x v="12"/>
    <s v="Christophe Blazquez, Samir Zamoum"/>
    <s v=""/>
    <s v=".pdf"/>
    <n v="106"/>
    <n v="33"/>
    <s v="Les nouveaux outils bureautiques gratuits"/>
  </r>
  <r>
    <s v="W:\Livres\Informatique\Les secrets du dessinateur AutoCAD - [Pearson] - Patrick Diver.pdf"/>
    <x v="10"/>
    <x v="7"/>
    <s v="Patrick Diver"/>
    <s v=""/>
    <s v=".pdf"/>
    <n v="66"/>
    <n v="13"/>
    <s v="Les secrets du dessinateur AutoCAD"/>
  </r>
  <r>
    <s v="W:\Livres\Informatique\Les tableaux de bord de la DSI (3è ed, 2016) - [Dunod] - Legrenzi, Rosé.pdf"/>
    <x v="2"/>
    <x v="2"/>
    <s v="Legrenzi, Rosé"/>
    <s v=""/>
    <s v=".pdf"/>
    <n v="75"/>
    <n v="14"/>
    <s v="Les tableaux de bord de la DSI"/>
  </r>
  <r>
    <s v="W:\Livres\Informatique\L'impression 3D (2è ed, 2014) - [Eyrolles] - Mathilde Berchon.pdf"/>
    <x v="6"/>
    <x v="6"/>
    <s v="Mathilde Berchon"/>
    <s v=""/>
    <s v=".pdf"/>
    <n v="65"/>
    <n v="16"/>
    <s v="L'impression 3D"/>
  </r>
  <r>
    <s v="W:\Livres\Informatique\liste.txt"/>
    <x v="10"/>
    <x v="8"/>
    <s v="?"/>
    <s v=""/>
    <s v=".txt"/>
    <n v="9"/>
    <n v="1"/>
    <s v="liste"/>
  </r>
  <r>
    <s v="W:\Livres\Informatique\Loi et internet (2011) - [Eyrolles] - Fabrice Mattatia.pdf"/>
    <x v="0"/>
    <x v="6"/>
    <s v="Fabrice Mattatia"/>
    <s v=""/>
    <s v=".pdf"/>
    <n v="58"/>
    <n v="16"/>
    <s v="Loi et internet"/>
  </r>
  <r>
    <s v="W:\Livres\Informatique\Macromedia Director in a Nutshell (1999) {Partiel} - [O'Reilly] - Bruce Epstein.pdf"/>
    <x v="11"/>
    <x v="4"/>
    <s v="Bruce Epstein"/>
    <s v="Partiel"/>
    <s v=".pdf"/>
    <n v="83"/>
    <n v="13"/>
    <s v="Macromedia Director in a Nutshell"/>
  </r>
  <r>
    <s v="W:\Livres\Informatique\Macromedia Lingo in a Nutshell (1998) {Partiel} - [O'Reilly] - Bruce Epstein.pdf"/>
    <x v="12"/>
    <x v="4"/>
    <s v="Bruce Epstein"/>
    <s v="Partiel"/>
    <s v=".pdf"/>
    <n v="80"/>
    <n v="13"/>
    <s v="Macromedia Lingo in a Nutshell"/>
  </r>
  <r>
    <s v="W:\Livres\Informatique\Mesurer la performance du système d'information (2008) - [Eyrolles] - David Autissier, Valérie Delaye.pdf"/>
    <x v="13"/>
    <x v="6"/>
    <s v="David Autissier, Valérie Delaye"/>
    <s v=""/>
    <s v=".pdf"/>
    <n v="105"/>
    <n v="31"/>
    <s v="Mesurer la performance du système d'information"/>
  </r>
  <r>
    <s v="W:\Livres\Informatique\MP3, The Definitive Guide (2000) - [O'Reilly] - Scot Hacker.pdf"/>
    <x v="7"/>
    <x v="4"/>
    <s v="Scot Hacker"/>
    <s v=""/>
    <s v=".pdf"/>
    <n v="63"/>
    <n v="11"/>
    <s v="MP3, The Definitive Guide"/>
  </r>
  <r>
    <s v="W:\Livres\Informatique\Own Your Future, Update Your Skills with Resources and Career Ideas from Microsoft (2010) - [Microsoft Press] - Katherine Murray.pdf"/>
    <x v="14"/>
    <x v="13"/>
    <s v="Katherine Murray"/>
    <s v=""/>
    <s v=".pdf"/>
    <n v="132"/>
    <n v="16"/>
    <s v="Own Your Future, Update Your Skills with Resources and Career Ideas from Microsoft"/>
  </r>
  <r>
    <s v="W:\Livres\Informatique\Photoshop CC pour PC et Mac (2015) - [Eyrolles] - Pierre Labbe.pdf"/>
    <x v="3"/>
    <x v="6"/>
    <s v="Pierre Labbe"/>
    <s v=""/>
    <s v=".pdf"/>
    <n v="66"/>
    <n v="12"/>
    <s v="Photoshop CC pour PC et Mac"/>
  </r>
  <r>
    <s v="W:\Livres\Informatique\Photoshop Elements 11 pour les photographes (2013) - [Eyrolles] - Scott Kelby, Matt Kloskowski.pdf"/>
    <x v="5"/>
    <x v="6"/>
    <s v="Scott Kelby, Matt Kloskowski"/>
    <s v=""/>
    <s v=".pdf"/>
    <n v="98"/>
    <n v="28"/>
    <s v="Photoshop Elements 11 pour les photographes"/>
  </r>
  <r>
    <s v="W:\Livres\Informatique\Pratique de l'impression 3D (2013) - [Eyrolles] - Anna Kaziunas France.pdf"/>
    <x v="5"/>
    <x v="6"/>
    <s v="Anna Kaziunas France"/>
    <s v=""/>
    <s v=".pdf"/>
    <n v="74"/>
    <n v="20"/>
    <s v="Pratique de l'impression 3D"/>
  </r>
  <r>
    <s v="W:\Livres\Informatique\Premiers pas vers le digital (2016) - [Eyrolles] - Lalée Pinoncély.pdf"/>
    <x v="2"/>
    <x v="6"/>
    <s v="Lalée Pinoncély"/>
    <s v=""/>
    <s v=".pdf"/>
    <n v="70"/>
    <n v="15"/>
    <s v="Premiers pas vers le digital"/>
  </r>
  <r>
    <s v="W:\Livres\Informatique\Sage Beginner's Guide (2011) - [Packt] - Craig Finch.pdf"/>
    <x v="0"/>
    <x v="14"/>
    <s v="Craig Finch"/>
    <s v=""/>
    <s v=".pdf"/>
    <n v="56"/>
    <n v="11"/>
    <s v="Sage Beginner's Guide"/>
  </r>
  <r>
    <s v="W:\Livres\Informatique\SEO zéro euro, Le référencement web en 4 étapes (2014) - [Eyrolles] - Olivier Andrieu.pdf"/>
    <x v="6"/>
    <x v="6"/>
    <s v="Olivier Andrieu"/>
    <s v=""/>
    <s v=".pdf"/>
    <n v="89"/>
    <n v="15"/>
    <s v="SEO zéro euro, Le référencement web en 4 étapes"/>
  </r>
  <r>
    <s v="W:\Livres\Informatique\Server Load Balancing (2001) - [O'Reilly] - Tony Bourke.pdf"/>
    <x v="15"/>
    <x v="4"/>
    <s v="Tony Bourke"/>
    <s v=""/>
    <s v=".pdf"/>
    <n v="59"/>
    <n v="11"/>
    <s v="Server Load Balancing"/>
  </r>
  <r>
    <s v="W:\Livres\Informatique\Sketchup pour les architectes - [Eyrolles] - Lehmann, Varano, Wetzel.pdf"/>
    <x v="10"/>
    <x v="6"/>
    <s v="Lehmann, Varano, Wetzel"/>
    <s v=""/>
    <s v=".pdf"/>
    <n v="72"/>
    <n v="23"/>
    <s v="Sketchup pour les architectes"/>
  </r>
  <r>
    <s v="W:\Livres\Informatique\Sketchup pour les architectes, Extension web.zip"/>
    <x v="10"/>
    <x v="8"/>
    <s v="?"/>
    <s v=""/>
    <s v=".zip"/>
    <n v="48"/>
    <n v="1"/>
    <s v="Sketchup pour les architectes, Extension web"/>
  </r>
  <r>
    <s v="W:\Livres\Informatique\Smart home, Habitat connecté, installations domotiques et multimédia (2014) - [Dunod] - Méziane Boudellal.pdf"/>
    <x v="6"/>
    <x v="2"/>
    <s v="Méziane Boudellal"/>
    <s v=""/>
    <s v=".pdf"/>
    <n v="109"/>
    <n v="17"/>
    <s v="Smart home, Habitat connecté, installations domotiques et multimédia"/>
  </r>
  <r>
    <s v="W:\Livres\Informatique\Stratégie de contenu mobile (2012) - [Eyrolles] - Karen McGrane.pdf"/>
    <x v="8"/>
    <x v="6"/>
    <s v="Karen McGrane"/>
    <s v=""/>
    <s v=".pdf"/>
    <n v="67"/>
    <n v="13"/>
    <s v="Stratégie de contenu mobile"/>
  </r>
  <r>
    <s v="W:\Livres\Informatique\SVG Essentials (2002) - [O'Reilly] - J. David Eisenberg.pdf"/>
    <x v="16"/>
    <x v="4"/>
    <s v="J. David Eisenberg"/>
    <s v=""/>
    <s v=".pdf"/>
    <n v="59"/>
    <n v="18"/>
    <s v="SVG Essentials"/>
  </r>
  <r>
    <s v="W:\Livres\Informatique\The Book of VMware, The Complete Guide to VMware Workstation (2002) - [No Starch] - Brian Ward.pdf"/>
    <x v="16"/>
    <x v="15"/>
    <s v="Brian Ward"/>
    <s v=""/>
    <s v=".pdf"/>
    <n v="98"/>
    <n v="10"/>
    <s v="The Book of VMware, The Complete Guide to VMware Workstation"/>
  </r>
  <r>
    <s v="W:\Livres\Informatique\Tout sur Adobe Reader X et Acrobat X Pro (2012) - [Eyrolles] - Thierry Buanic.pdf"/>
    <x v="8"/>
    <x v="6"/>
    <s v="Thierry Buanic"/>
    <s v=""/>
    <s v=".pdf"/>
    <n v="81"/>
    <n v="14"/>
    <s v="Tout sur Adobe Reader X et Acrobat X Pro"/>
  </r>
  <r>
    <s v="W:\Livres\Informatique\Traitement de l'image de la numérisation à l'archivage et la communication (2013) - [Elsevier Masson] - Olivier Hélénon.pdf"/>
    <x v="5"/>
    <x v="16"/>
    <s v="Olivier Hélénon"/>
    <s v=""/>
    <s v=".pdf"/>
    <n v="123"/>
    <n v="15"/>
    <s v="Traitement de l'image de la numérisation à l'archivage et la communication"/>
  </r>
  <r>
    <s v="W:\Livres\Informatique\Algorithmes, Programmation divers\A Guide to Graph Colouring, Algorithms and Applications (2016) - [Springer] - R.M.R. Lewis.pdf"/>
    <x v="2"/>
    <x v="9"/>
    <s v="R.M.R. Lewis"/>
    <s v=""/>
    <s v=".pdf"/>
    <n v="94"/>
    <n v="12"/>
    <s v="A Guide to Graph Colouring, Algorithms and Applications"/>
  </r>
  <r>
    <s v="W:\Livres\Informatique\Algorithmes, Programmation divers\A Practical Theory of Programming (2016) - [Springer] - Eric C.R. Hehner.pdf"/>
    <x v="2"/>
    <x v="9"/>
    <s v="Eric C.R. Hehner"/>
    <s v=""/>
    <s v=".pdf"/>
    <n v="76"/>
    <n v="16"/>
    <s v="A Practical Theory of Programming"/>
  </r>
  <r>
    <s v="W:\Livres\Informatique\Algorithmes, Programmation divers\Advanced Data Structures (2008) - [Cambridge] - Peter Brass.pdf"/>
    <x v="13"/>
    <x v="17"/>
    <s v="Peter Brass"/>
    <s v=""/>
    <s v=".pdf"/>
    <n v="63"/>
    <n v="11"/>
    <s v="Advanced Data Structures"/>
  </r>
  <r>
    <s v="W:\Livres\Informatique\Algorithmes, Programmation divers\Algorithm Design (2006) {Scan} - [Pearson] - John Kleinberg, Éva Tardos.pdf"/>
    <x v="17"/>
    <x v="7"/>
    <s v="John Kleinberg, Éva Tardos"/>
    <s v="Scan"/>
    <s v=".pdf"/>
    <n v="75"/>
    <n v="26"/>
    <s v="Algorithm Design"/>
  </r>
  <r>
    <s v="W:\Livres\Informatique\Algorithmes, Programmation divers\Algorithm Theory, SWAT 2002 (2002) - [Springer] - M. Penttonen, E. Meineche Schmidt.pdf"/>
    <x v="16"/>
    <x v="9"/>
    <s v="M. Penttonen, E. Meineche Schmidt"/>
    <s v=""/>
    <s v=".pdf"/>
    <n v="87"/>
    <n v="33"/>
    <s v="Algorithm Theory, SWAT 2002"/>
  </r>
  <r>
    <s v="W:\Livres\Informatique\Algorithmes, Programmation divers\Algorithmique et programmation pour non-matheux (2008) - Christophe Darmengeat.pdf"/>
    <x v="13"/>
    <x v="8"/>
    <s v="Christophe Darmengeat"/>
    <s v=""/>
    <s v=".pdf"/>
    <n v="82"/>
    <n v="21"/>
    <s v="Algorithmique et programmation pour non-matheux"/>
  </r>
  <r>
    <s v="W:\Livres\Informatique\Algorithmes, Programmation divers\Algorithmique, Raisonner pour concevoir (2009) {Dump} - [ENI] - Christophe Haro.pdf"/>
    <x v="4"/>
    <x v="18"/>
    <s v="Christophe Haro"/>
    <s v="Dump"/>
    <s v=".pdf"/>
    <n v="83"/>
    <n v="15"/>
    <s v="Algorithmique, Raisonner pour concevoir"/>
  </r>
  <r>
    <s v="W:\Livres\Informatique\Algorithmes, Programmation divers\Algorithmique, Techniques fondamentales de programmation, Exemples en Java (2007) {Dump} - [ENI] - Sébastien Rohaut.pdf"/>
    <x v="9"/>
    <x v="18"/>
    <s v="Sébastien Rohaut"/>
    <s v="Dump"/>
    <s v=".pdf"/>
    <n v="119"/>
    <n v="16"/>
    <s v="Algorithmique, Techniques fondamentales de programmation, Exemples en Java"/>
  </r>
  <r>
    <s v="W:\Livres\Informatique\Algorithmes, Programmation divers\Algorithmique, Techniques fondamentales de programmation, Exemples en PHP (2009) {Dump} - [ENI] - Sébastien Rohaut.pdf"/>
    <x v="4"/>
    <x v="18"/>
    <s v="Sébastien Rohaut"/>
    <s v="Dump"/>
    <s v=".pdf"/>
    <n v="118"/>
    <n v="16"/>
    <s v="Algorithmique, Techniques fondamentales de programmation, Exemples en PHP"/>
  </r>
  <r>
    <s v="W:\Livres\Informatique\Algorithmes, Programmation divers\Algorithms (4th ed, 2011) - [Addison-Wesley] - Robert Sedgewick, Kevin Wayne.pdf"/>
    <x v="0"/>
    <x v="19"/>
    <s v="Robert Sedgewick, Kevin Wayne"/>
    <s v=""/>
    <s v=".pdf"/>
    <n v="80"/>
    <n v="29"/>
    <s v="Algorithms"/>
  </r>
  <r>
    <s v="W:\Livres\Informatique\Algorithmes, Programmation divers\Algorithms (1984) - [Addison-Wesley] - Robert Sedgewick.pdf"/>
    <x v="18"/>
    <x v="19"/>
    <s v="Robert Sedgewick"/>
    <s v=""/>
    <s v=".pdf"/>
    <n v="59"/>
    <n v="16"/>
    <s v="Algorithms"/>
  </r>
  <r>
    <s v="W:\Livres\Informatique\Algorithmes, Programmation divers\Algorithms and Data Structures (1985) - Niklaus Wirth.pdf"/>
    <x v="19"/>
    <x v="8"/>
    <s v="Niklaus Wirth"/>
    <s v=""/>
    <s v=".pdf"/>
    <n v="57"/>
    <n v="13"/>
    <s v="Algorithms and Data Structures"/>
  </r>
  <r>
    <s v="W:\Livres\Informatique\Algorithmes, Programmation divers\Algorithms and Data Structures (1986) - [Prentice Hall] - Niklaus Wirth.pdf"/>
    <x v="20"/>
    <x v="20"/>
    <s v="Niklaus Wirth"/>
    <s v=""/>
    <s v=".pdf"/>
    <n v="75"/>
    <n v="13"/>
    <s v="Algorithms and Data Structures"/>
  </r>
  <r>
    <s v="W:\Livres\Informatique\Algorithmes, Programmation divers\Algorithms and Data Structures in C++ (1993) {Dump} - [CRC Press] - Alan Parker.pdf"/>
    <x v="21"/>
    <x v="21"/>
    <s v="Alan Parker"/>
    <s v="Dump"/>
    <s v=".pdf"/>
    <n v="83"/>
    <n v="11"/>
    <s v="Algorithms and Data Structures in C++"/>
  </r>
  <r>
    <s v="W:\Livres\Informatique\Algorithmes, Programmation divers\Algorithms and Parallel Computing (2011) - [Wiley] - Fayez Gebali.pdf"/>
    <x v="0"/>
    <x v="22"/>
    <s v="Fayez Gebali"/>
    <s v=""/>
    <s v=".pdf"/>
    <n v="69"/>
    <n v="12"/>
    <s v="Algorithms and Parallel Computing"/>
  </r>
  <r>
    <s v="W:\Livres\Informatique\Algorithmes, Programmation divers\Algorithms for Interviews (2010) - [CreateSpace] - Adnan Aziz, Amit Prakash.pdf"/>
    <x v="14"/>
    <x v="23"/>
    <s v="Adnan Aziz, Amit Prakash"/>
    <s v=""/>
    <s v=".pdf"/>
    <n v="79"/>
    <n v="24"/>
    <s v="Algorithms for Interviews"/>
  </r>
  <r>
    <s v="W:\Livres\Informatique\Algorithmes, Programmation divers\Algorithms for Linear-quadratic Optimization (1996) - [Marcel Dekker] - Vasile Sima.djvu"/>
    <x v="22"/>
    <x v="24"/>
    <s v="Vasile Sima"/>
    <s v=""/>
    <s v=".djvu"/>
    <n v="88"/>
    <n v="11"/>
    <s v="Algorithms for Linear-quadratic Optimization"/>
  </r>
  <r>
    <s v="W:\Livres\Informatique\Algorithmes, Programmation divers\Algorithms for Visual Design Using the Processing Language (2009) - [Wiley] - Kostas Terzidis.pdf"/>
    <x v="4"/>
    <x v="22"/>
    <s v="Kostas Terzidis"/>
    <s v=""/>
    <s v=".pdf"/>
    <n v="97"/>
    <n v="15"/>
    <s v="Algorithms for Visual Design Using the Processing Language"/>
  </r>
  <r>
    <s v="W:\Livres\Informatique\Algorithmes, Programmation divers\Algorithms in a Nutshell, A Desktop Quick Reference (2009) - [O'Reilly] - George T. Heineman, Gary Pollice, Stanley Selkow.pdf"/>
    <x v="4"/>
    <x v="4"/>
    <s v="George T. Heineman, Gary Pollice, Stanley Selkow"/>
    <s v=""/>
    <s v=".pdf"/>
    <n v="126"/>
    <n v="48"/>
    <s v="Algorithms in a Nutshell, A Desktop Quick Reference"/>
  </r>
  <r>
    <s v="W:\Livres\Informatique\Algorithmes, Programmation divers\Algorithms in C (1990) - [Addison-Wesley] - Robert Sedgewick.pdf"/>
    <x v="23"/>
    <x v="19"/>
    <s v="Robert Sedgewick"/>
    <s v=""/>
    <s v=".pdf"/>
    <n v="64"/>
    <n v="16"/>
    <s v="Algorithms in C"/>
  </r>
  <r>
    <s v="W:\Livres\Informatique\Algorithmes, Programmation divers\Algorithms in C, Parts 1-4 (3rd ed, 1998) - [Addison-Wesley] - Robert Sedgewick.pdf"/>
    <x v="12"/>
    <x v="19"/>
    <s v="Robert Sedgewick"/>
    <s v=""/>
    <s v=".pdf"/>
    <n v="83"/>
    <n v="16"/>
    <s v="Algorithms in C, Parts 1-4"/>
  </r>
  <r>
    <s v="W:\Livres\Informatique\Algorithmes, Programmation divers\Algorithms, A Functional Programming Approach (2nd ed, 1999) - [Addison-Wesley] - Fethi Rabhi, Guy Lapalme.djvu"/>
    <x v="11"/>
    <x v="19"/>
    <s v="Fethi Rabhi, Guy Lapalme"/>
    <s v=""/>
    <s v=".djvu"/>
    <n v="111"/>
    <n v="24"/>
    <s v="Algorithms, A Functional Programming Approach"/>
  </r>
  <r>
    <s v="W:\Livres\Informatique\Algorithmes, Programmation divers\An Introduction to the Analysis of Algorithms (2nd ed, 2012) - [World Scientific] - Michael Soltys.pdf"/>
    <x v="8"/>
    <x v="25"/>
    <s v="Michael Soltys"/>
    <s v=""/>
    <s v=".pdf"/>
    <n v="102"/>
    <n v="14"/>
    <s v="An Introduction to the Analysis of Algorithms"/>
  </r>
  <r>
    <s v="W:\Livres\Informatique\Algorithmes, Programmation divers\An Introduction to the Analysis of Algorithms (2nd ed, 2013) - [Addison-Wesley] - Robert Sedgewick, Philippe Flajolet.pdf"/>
    <x v="5"/>
    <x v="19"/>
    <s v="Robert Sedgewick, Philippe Flajolet"/>
    <s v=""/>
    <s v=".pdf"/>
    <n v="121"/>
    <n v="35"/>
    <s v="An Introduction to the Analysis of Algorithms"/>
  </r>
  <r>
    <s v="W:\Livres\Informatique\Algorithmes, Programmation divers\An Introduction to the Theory of Computation (1989) {Webdump} - [Computer Science Press] - Eitan M. Gurari.pdf"/>
    <x v="24"/>
    <x v="26"/>
    <s v="Eitan M. Gurari"/>
    <s v="Webdump"/>
    <s v=".pdf"/>
    <n v="110"/>
    <n v="15"/>
    <s v="An Introduction to the Theory of Computation"/>
  </r>
  <r>
    <s v="W:\Livres\Informatique\Algorithmes, Programmation divers\Analysis of Algorithms, An Active Learning Approach (2001) - [Jones and Bartlett] - Jeffrey J. McConnell.pdf"/>
    <x v="15"/>
    <x v="27"/>
    <s v="Jeffrey J. McConnell"/>
    <s v=""/>
    <s v=".pdf"/>
    <n v="108"/>
    <n v="20"/>
    <s v="Analysis of Algorithms, An Active Learning Approach"/>
  </r>
  <r>
    <s v="W:\Livres\Informatique\Algorithmes, Programmation divers\Apprendre à programmer, Algorithmes et conception objet (2è ed, 2008) - [Eyrolles] - Christophe Dabancourt.pdf"/>
    <x v="13"/>
    <x v="6"/>
    <s v="Christophe Dabancourt"/>
    <s v=""/>
    <s v=".pdf"/>
    <n v="110"/>
    <n v="21"/>
    <s v="Apprendre à programmer, Algorithmes et conception objet"/>
  </r>
  <r>
    <s v="W:\Livres\Informatique\Algorithmes, Programmation divers\C++ Plus Data Structures (3rd ed, 2003) - [Jones and Bartlett Publishers] - Nell Dale.pdf"/>
    <x v="25"/>
    <x v="28"/>
    <s v="Nell Dale"/>
    <s v=""/>
    <s v=".pdf"/>
    <n v="89"/>
    <n v="9"/>
    <s v="C++ Plus Data Structures"/>
  </r>
  <r>
    <s v="W:\Livres\Informatique\Algorithmes, Programmation divers\Clean Code Cheat Sheet v2.1 (2013) - [Bbv Software Services] - Urs Enzler.pdf"/>
    <x v="5"/>
    <x v="29"/>
    <s v="Urs Enzler"/>
    <s v=""/>
    <s v=".pdf"/>
    <n v="77"/>
    <n v="10"/>
    <s v="Clean Code Cheat Sheet v2.1"/>
  </r>
  <r>
    <s v="W:\Livres\Informatique\Algorithmes, Programmation divers\Colonies de fourmis (2008) - [Developpez.com] - Pierre Schwartz.pdf"/>
    <x v="13"/>
    <x v="30"/>
    <s v="Pierre Schwartz"/>
    <s v=""/>
    <s v=".pdf"/>
    <n v="67"/>
    <n v="15"/>
    <s v="Colonies de fourmis"/>
  </r>
  <r>
    <s v="W:\Livres\Informatique\Algorithmes, Programmation divers\Computing Handbook (3rd ed, 2014) - [CRC Press] - Tucker, Allen, Gonzalez, Teofilo, Diaz-Herrera, Jorge.pdf"/>
    <x v="6"/>
    <x v="21"/>
    <s v="Tucker, Allen, Gonzalez, Teofilo, Diaz-Herrera, Jorge"/>
    <s v=""/>
    <s v=".pdf"/>
    <n v="107"/>
    <n v="53"/>
    <s v="Computing Handbook"/>
  </r>
  <r>
    <s v="W:\Livres\Informatique\Algorithmes, Programmation divers\Cours Algorithmique et Programmation, Licence Informatique (2010) - J. Stern.pdf"/>
    <x v="14"/>
    <x v="8"/>
    <s v="J. Stern"/>
    <s v=""/>
    <s v=".pdf"/>
    <n v="80"/>
    <n v="8"/>
    <s v="Cours Algorithmique et Programmation, Licence Informatique"/>
  </r>
  <r>
    <s v="W:\Livres\Informatique\Algorithmes, Programmation divers\Data Abstraction and Problem Solving with C++, Walls and Mirrors (3rd ed, 2002) - [Addison-Wesley] - Frank M Carrano, Janet J Prichard.pdf"/>
    <x v="16"/>
    <x v="19"/>
    <s v="Frank M Carrano, Janet J Prichard"/>
    <s v=""/>
    <s v=".pdf"/>
    <n v="138"/>
    <n v="33"/>
    <s v="Data Abstraction and Problem Solving with C++, Walls and Mirrors"/>
  </r>
  <r>
    <s v="W:\Livres\Informatique\Algorithmes, Programmation divers\Data Compression, The Complete Reference (3rd ed, 2004) - [Springer] - David Salomon.pdf"/>
    <x v="26"/>
    <x v="9"/>
    <s v="David Salomon"/>
    <s v=""/>
    <s v=".pdf"/>
    <n v="88"/>
    <n v="13"/>
    <s v="Data Compression, The Complete Reference"/>
  </r>
  <r>
    <s v="W:\Livres\Informatique\Algorithmes, Programmation divers\Data Structures and Algorithms (2001) {Dump} - Alfred V. Aho, John E. Hopcroft, Jeffrey D. Ullman.pdf"/>
    <x v="15"/>
    <x v="8"/>
    <s v="Alfred V. Aho, John E. Hopcroft, Jeffrey D. Ullman"/>
    <s v="Dump"/>
    <s v=".pdf"/>
    <n v="101"/>
    <n v="50"/>
    <s v="Data Structures and Algorithms"/>
  </r>
  <r>
    <s v="W:\Livres\Informatique\Algorithmes, Programmation divers\Data Structures and Algorithms in C++ (2nd ed, 2001) - [Thomson] - Adam Drozdek.djvu"/>
    <x v="15"/>
    <x v="31"/>
    <s v="Adam Drozdek"/>
    <s v=""/>
    <s v=".djvu"/>
    <n v="84"/>
    <n v="12"/>
    <s v="Data Structures and Algorithms in C++"/>
  </r>
  <r>
    <s v="W:\Livres\Informatique\Algorithmes, Programmation divers\Data Structures and Algorithms in C++ (2nd ed, 2011) - [Wiley] - Goodrich, Tamassia, Mount.pdf"/>
    <x v="0"/>
    <x v="22"/>
    <s v="Goodrich, Tamassia, Mount"/>
    <s v=""/>
    <s v=".pdf"/>
    <n v="94"/>
    <n v="25"/>
    <s v="Data Structures and Algorithms in C++"/>
  </r>
  <r>
    <s v="W:\Livres\Informatique\Algorithmes, Programmation divers\Data Structures and Algorithms in Java (2nd ed, 2005) - [Thomson] - Adam Drozdek.pdf"/>
    <x v="1"/>
    <x v="31"/>
    <s v="Adam Drozdek"/>
    <s v=""/>
    <s v=".pdf"/>
    <n v="84"/>
    <n v="12"/>
    <s v="Data Structures and Algorithms in Java"/>
  </r>
  <r>
    <s v="W:\Livres\Informatique\Algorithmes, Programmation divers\Data Structures and Algorithms in Java (4th ed, 2005) - [Wiley] - Goodrich, Tamassia.pdf"/>
    <x v="1"/>
    <x v="22"/>
    <s v="Goodrich, Tamassia"/>
    <s v=""/>
    <s v=".pdf"/>
    <n v="88"/>
    <n v="18"/>
    <s v="Data Structures and Algorithms in Java"/>
  </r>
  <r>
    <s v="W:\Livres\Informatique\Algorithmes, Programmation divers\Data Structures and Algorithms in Java (6th ed, 2014) - [Wiley] - Goodrich, Tamassia, Goldwasser.pdf"/>
    <x v="6"/>
    <x v="22"/>
    <s v="Goodrich, Tamassia, Goldwasser"/>
    <s v=""/>
    <s v=".pdf"/>
    <n v="100"/>
    <n v="30"/>
    <s v="Data Structures and Algorithms in Java"/>
  </r>
  <r>
    <s v="W:\Livres\Informatique\Algorithmes, Programmation divers\Data Structures and Algorithms in Python (2013) - [Wiley] - Goodrich, Tamassia, Goldwasser.pdf"/>
    <x v="5"/>
    <x v="22"/>
    <s v="Goodrich, Tamassia, Goldwasser"/>
    <s v=""/>
    <s v=".pdf"/>
    <n v="94"/>
    <n v="30"/>
    <s v="Data Structures and Algorithms in Python"/>
  </r>
  <r>
    <s v="W:\Livres\Informatique\Algorithmes, Programmation divers\Data Structures and Algorithms with JavaScript (2014) - [O'Reilly] - Michael McMillan.pdf"/>
    <x v="6"/>
    <x v="4"/>
    <s v="Michael McMillan"/>
    <s v=""/>
    <s v=".pdf"/>
    <n v="89"/>
    <n v="16"/>
    <s v="Data Structures and Algorithms with JavaScript"/>
  </r>
  <r>
    <s v="W:\Livres\Informatique\Algorithmes, Programmation divers\Data Structures and Program Design in C++ (2000) - [Prentice Hall] - Robert L. Kruse, Alexander J. Ryba.pdf"/>
    <x v="7"/>
    <x v="20"/>
    <s v="Robert L. Kruse, Alexander J. Ryba"/>
    <s v=""/>
    <s v=".pdf"/>
    <n v="107"/>
    <n v="34"/>
    <s v="Data Structures and Program Design in C++"/>
  </r>
  <r>
    <s v="W:\Livres\Informatique\Algorithmes, Programmation divers\Design Concepts in Programming Languages (2008) - [MIT Press] - Franklyn Turbak, David Gifford.pdf"/>
    <x v="13"/>
    <x v="32"/>
    <s v="Franklyn Turbak, David Gifford"/>
    <s v=""/>
    <s v=".pdf"/>
    <n v="98"/>
    <n v="30"/>
    <s v="Design Concepts in Programming Languages"/>
  </r>
  <r>
    <s v="W:\Livres\Informatique\Algorithmes, Programmation divers\Développez des applications originales pour iPhone et iPod Touch (2010) - [Pearson] - Jean-Marc Delprato.pdf"/>
    <x v="14"/>
    <x v="7"/>
    <s v="Jean-Marc Delprato"/>
    <s v=""/>
    <s v=".pdf"/>
    <n v="108"/>
    <n v="18"/>
    <s v="Développez des applications originales pour iPhone et iPod Touch"/>
  </r>
  <r>
    <s v="W:\Livres\Informatique\Algorithmes, Programmation divers\Encyclopedia of Algorithms (2008) - [Springer] - Ming-Yang Kao.pdf"/>
    <x v="13"/>
    <x v="9"/>
    <s v="Ming-Yang Kao"/>
    <s v=""/>
    <s v=".pdf"/>
    <n v="66"/>
    <n v="13"/>
    <s v="Encyclopedia of Algorithms"/>
  </r>
  <r>
    <s v="W:\Livres\Informatique\Algorithmes, Programmation divers\Essentials of Programming Languages (3rd ed, 2008) - [MIT Press] - Daniel P. Friedman, Mitchell Wand.pdf"/>
    <x v="13"/>
    <x v="32"/>
    <s v="Daniel P. Friedman, Mitchell Wand"/>
    <s v=""/>
    <s v=".pdf"/>
    <n v="104"/>
    <n v="33"/>
    <s v="Essentials of Programming Languages"/>
  </r>
  <r>
    <s v="W:\Livres\Informatique\Algorithmes, Programmation divers\Event Processing in Action (2009) {Dump} - [Manning] - Opher Etzion, Peter Niblett.pdf"/>
    <x v="4"/>
    <x v="0"/>
    <s v="Opher Etzion, Peter Niblett"/>
    <s v="Dump"/>
    <s v=".pdf"/>
    <n v="86"/>
    <n v="27"/>
    <s v="Event Processing in Action"/>
  </r>
  <r>
    <s v="W:\Livres\Informatique\Algorithmes, Programmation divers\Fundamentals of Computer Algorithms (1984) - [Computer Science Press] - Ellis Horowitz.pdf"/>
    <x v="18"/>
    <x v="26"/>
    <s v="Ellis Horowitz"/>
    <s v=""/>
    <s v=".pdf"/>
    <n v="90"/>
    <n v="14"/>
    <s v="Fundamentals of Computer Algorithms"/>
  </r>
  <r>
    <s v="W:\Livres\Informatique\Algorithmes, Programmation divers\Head First Object-Oriented Analysis and Design (2007) - [O'Reilly] - Brett D. McLaughlin, Gary Pollice, David West.pdf"/>
    <x v="9"/>
    <x v="4"/>
    <s v="Brett D. McLaughlin, Gary Pollice, David West"/>
    <s v=""/>
    <s v=".pdf"/>
    <n v="118"/>
    <n v="45"/>
    <s v="Head First Object-Oriented Analysis and Design"/>
  </r>
  <r>
    <s v="W:\Livres\Informatique\Algorithmes, Programmation divers\Head First Programming (2009) - [O'Reilly] - Paul Barry, David Griffiths.pdf"/>
    <x v="4"/>
    <x v="4"/>
    <s v="Paul Barry, David Griffiths"/>
    <s v=""/>
    <s v=".pdf"/>
    <n v="76"/>
    <n v="27"/>
    <s v="Head First Programming"/>
  </r>
  <r>
    <s v="W:\Livres\Informatique\Algorithmes, Programmation divers\How to Think about Algorithms (2008) - [Cambridge] - Jeff Edmonds.pdf"/>
    <x v="13"/>
    <x v="17"/>
    <s v="Jeff Edmonds"/>
    <s v=""/>
    <s v=".pdf"/>
    <n v="69"/>
    <n v="12"/>
    <s v="How to Think about Algorithms"/>
  </r>
  <r>
    <s v="W:\Livres\Informatique\Algorithmes, Programmation divers\Informatique et sciences du numérique, Édition spéciale Python (2013) - [Eyrolles] - Gilles Dowek.pdf"/>
    <x v="5"/>
    <x v="6"/>
    <s v="Gilles Dowek"/>
    <s v=""/>
    <s v=".pdf"/>
    <n v="101"/>
    <n v="12"/>
    <s v="Informatique et sciences du numérique, Édition spéciale Python"/>
  </r>
  <r>
    <s v="W:\Livres\Informatique\Algorithmes, Programmation divers\Informatique et sciences du numérique, Spécialité ISN en terminale S (2012) - [Eyrolles] - Gilles Dowek.pdf"/>
    <x v="8"/>
    <x v="6"/>
    <s v="Gilles Dowek"/>
    <s v=""/>
    <s v=".pdf"/>
    <n v="107"/>
    <n v="12"/>
    <s v="Informatique et sciences du numérique, Spécialité ISN en terminale S"/>
  </r>
  <r>
    <s v="W:\Livres\Informatique\Algorithmes, Programmation divers\Introduction to Algorithms (2nd ed, 2001) - [MIT Press] - Cormen, Leiserson, Rivest, Stein.pdf"/>
    <x v="15"/>
    <x v="32"/>
    <s v="Cormen, Leiserson, Rivest, Stein"/>
    <s v=""/>
    <s v=".pdf"/>
    <n v="94"/>
    <n v="32"/>
    <s v="Introduction to Algorithms"/>
  </r>
  <r>
    <s v="W:\Livres\Informatique\Algorithmes, Programmation divers\Introduction to Algorithms (3rd ed, 2009) - [MIT Press] - Cormen, Leiserson, Rivest, Stein.pdf"/>
    <x v="4"/>
    <x v="32"/>
    <s v="Cormen, Leiserson, Rivest, Stein"/>
    <s v=""/>
    <s v=".pdf"/>
    <n v="94"/>
    <n v="32"/>
    <s v="Introduction to Algorithms"/>
  </r>
  <r>
    <s v="W:\Livres\Informatique\Algorithmes, Programmation divers\Introduction to Algorithms, Instructor's Manual (2nd ed, 2001) - [MIT Press] - Thomas H. Cormen, Clara Lee, Erica Lin.pdf"/>
    <x v="15"/>
    <x v="32"/>
    <s v="Thomas H. Cormen, Clara Lee, Erica Lin"/>
    <s v=""/>
    <s v=".pdf"/>
    <n v="121"/>
    <n v="38"/>
    <s v="Introduction to Algorithms, Instructor's Manual"/>
  </r>
  <r>
    <s v="W:\Livres\Informatique\Algorithmes, Programmation divers\Introduction to Automata Theory, Languages and Computation (2nd ed, 2001) - [Addison-Wesley] - John E. Hopcroft, Rajeev Motwani, Jeffrey D. Ullman.pdf"/>
    <x v="15"/>
    <x v="19"/>
    <s v="John E. Hopcroft, Rajeev Motwani, Jeffrey D. Ullman"/>
    <s v=""/>
    <s v=".pdf"/>
    <n v="150"/>
    <n v="51"/>
    <s v="Introduction to Automata Theory, Languages and Computation"/>
  </r>
  <r>
    <s v="W:\Livres\Informatique\Algorithmes, Programmation divers\Introduction to Data Compression (3rd ed, 2006) - [Elsevier] - Khalid Sayood.pdf"/>
    <x v="17"/>
    <x v="1"/>
    <s v="Khalid Sayood"/>
    <s v=""/>
    <s v=".pdf"/>
    <n v="80"/>
    <n v="13"/>
    <s v="Introduction to Data Compression"/>
  </r>
  <r>
    <s v="W:\Livres\Informatique\Algorithmes, Programmation divers\Langages formels, Calculabilité et complexité, Cours et exercices corrigés (2014) - [Vuibert] - Olivier Carton.pdf"/>
    <x v="6"/>
    <x v="33"/>
    <s v="Olivier Carton"/>
    <s v=""/>
    <s v=".pdf"/>
    <n v="114"/>
    <n v="14"/>
    <s v="Langages formels, Calculabilité et complexité, Cours et exercices corrigés"/>
  </r>
  <r>
    <s v="W:\Livres\Informatique\Algorithmes, Programmation divers\Les bases de l'informatique et de la programmation (2004) - [Berti] - Robert Michel di Scala.pdf"/>
    <x v="26"/>
    <x v="34"/>
    <s v="Robert Michel di Scala"/>
    <s v=""/>
    <s v=".pdf"/>
    <n v="96"/>
    <n v="22"/>
    <s v="Les bases de l'informatique et de la programmation"/>
  </r>
  <r>
    <s v="W:\Livres\Informatique\Algorithmes, Programmation divers\Les langages à objets, Principes de base, techniques de programmation (1992) - [Armand Colin] - Michel Beaudouin-Lafon.pdf"/>
    <x v="27"/>
    <x v="35"/>
    <s v="Michel Beaudouin-Lafon"/>
    <s v=""/>
    <s v=".pdf"/>
    <n v="122"/>
    <n v="22"/>
    <s v="Les langages à objets, Principes de base, techniques de programmation"/>
  </r>
  <r>
    <s v="W:\Livres\Informatique\Algorithmes, Programmation divers\Les virus informatiques, Théorie, pratique et applications (2è ed, 2009) - [Springer] - Éric Filiol.pdf"/>
    <x v="4"/>
    <x v="9"/>
    <s v="Éric Filiol"/>
    <s v=""/>
    <s v=".pdf"/>
    <n v="103"/>
    <n v="11"/>
    <s v="Les virus informatiques, Théorie, pratique et applications"/>
  </r>
  <r>
    <s v="W:\Livres\Informatique\Algorithmes, Programmation divers\L'orienté objet (2è ed, 2007) - [Eyrolles] - Hugues Bersini.pdf"/>
    <x v="9"/>
    <x v="6"/>
    <s v="Hugues Bersini"/>
    <s v=""/>
    <s v=".pdf"/>
    <n v="63"/>
    <n v="14"/>
    <s v="L'orienté objet"/>
  </r>
  <r>
    <s v="W:\Livres\Informatique\Algorithmes, Programmation divers\Mastering Algorithms with C (1999) - [O'Reilly] - Kyle Loudon.epub"/>
    <x v="11"/>
    <x v="4"/>
    <s v="Kyle Loudon"/>
    <s v=""/>
    <s v=".epub"/>
    <n v="66"/>
    <n v="11"/>
    <s v="Mastering Algorithms with C"/>
  </r>
  <r>
    <s v="W:\Livres\Informatique\Algorithmes, Programmation divers\Mastering Algorithms with C (1999) - [O'Reilly] - Kyle Loudon.pdf"/>
    <x v="11"/>
    <x v="4"/>
    <s v="Kyle Loudon"/>
    <s v=""/>
    <s v=".pdf"/>
    <n v="65"/>
    <n v="11"/>
    <s v="Mastering Algorithms with C"/>
  </r>
  <r>
    <s v="W:\Livres\Informatique\Algorithmes, Programmation divers\Mastering Algorithms with Perl (1999) {Dump} - [O'Reilly] - Jon Orwant, Jarkko Hietaniemi, John Macdonald.pdf"/>
    <x v="11"/>
    <x v="4"/>
    <s v="Jon Orwant, Jarkko Hietaniemi, John Macdonald"/>
    <s v="Dump"/>
    <s v=".pdf"/>
    <n v="109"/>
    <n v="45"/>
    <s v="Mastering Algorithms with Perl"/>
  </r>
  <r>
    <s v="W:\Livres\Informatique\Algorithmes, Programmation divers\Memory Management Algorithms and Implementation in C and C++ (2003) - [Wordware Publishing] - Bill Blunden.pdf"/>
    <x v="25"/>
    <x v="36"/>
    <s v="Bill Blunden"/>
    <s v=""/>
    <s v=".pdf"/>
    <n v="110"/>
    <n v="12"/>
    <s v="Memory Management Algorithms and Implementation in C and C++"/>
  </r>
  <r>
    <s v="W:\Livres\Informatique\Algorithmes, Programmation divers\Object Oriented Software Composition (1995) - [Prentice Hall] - Oscar Nierstrasz, Dennis Tsichritzis.pdf"/>
    <x v="28"/>
    <x v="20"/>
    <s v="Oscar Nierstrasz, Dennis Tsichritzis"/>
    <s v=""/>
    <s v=".pdf"/>
    <n v="104"/>
    <n v="36"/>
    <s v="Object Oriented Software Composition"/>
  </r>
  <r>
    <s v="W:\Livres\Informatique\Algorithmes, Programmation divers\Object-Oriented Construction Handbook (2005) - [Elsevier] - Heinz Züllighoven.pdf"/>
    <x v="1"/>
    <x v="1"/>
    <s v="Heinz Züllighoven"/>
    <s v=""/>
    <s v=".pdf"/>
    <n v="81"/>
    <n v="17"/>
    <s v="Object-Oriented Construction Handbook"/>
  </r>
  <r>
    <s v="W:\Livres\Informatique\Algorithmes, Programmation divers\Practical Genetic Algorithms (2nd ed, 2004) - [Wiley] - Haupt.pdf"/>
    <x v="26"/>
    <x v="22"/>
    <s v="Haupt"/>
    <s v=""/>
    <s v=".pdf"/>
    <n v="65"/>
    <n v="5"/>
    <s v="Practical Genetic Algorithms"/>
  </r>
  <r>
    <s v="W:\Livres\Informatique\Algorithmes, Programmation divers\Problems on Algorithms (2nd ed, 2002) - Ian Parberry, William Gasarch.pdf"/>
    <x v="16"/>
    <x v="8"/>
    <s v="Ian Parberry, William Gasarch"/>
    <s v=""/>
    <s v=".pdf"/>
    <n v="73"/>
    <n v="29"/>
    <s v="Problems on Algorithms"/>
  </r>
  <r>
    <s v="W:\Livres\Informatique\Algorithmes, Programmation divers\Programming Challenges (2003) - [Springer] - Steven S. Skiena Miguel A. Revilla.pdf"/>
    <x v="25"/>
    <x v="9"/>
    <s v="Steven S. Skiena Miguel A. Revilla"/>
    <s v=""/>
    <s v=".pdf"/>
    <n v="83"/>
    <n v="34"/>
    <s v="Programming Challenges"/>
  </r>
  <r>
    <s v="W:\Livres\Informatique\Algorithmes, Programmation divers\Refactoring, Improving the Design of Existing Code (1999) - [Pearson] - Martin Fowler, Kent Beck.pdf"/>
    <x v="11"/>
    <x v="7"/>
    <s v="Martin Fowler, Kent Beck"/>
    <s v=""/>
    <s v=".pdf"/>
    <n v="100"/>
    <n v="24"/>
    <s v="Refactoring, Improving the Design of Existing Code"/>
  </r>
  <r>
    <s v="W:\Livres\Informatique\Algorithmes, Programmation divers\Reverse Engineering of Object Oriented Code (2005) - [Springer] - Paolo Tonella, Alessandra Potrich.pdf"/>
    <x v="1"/>
    <x v="9"/>
    <s v="Paolo Tonella, Alessandra Potrich"/>
    <s v=""/>
    <s v=".pdf"/>
    <n v="103"/>
    <n v="33"/>
    <s v="Reverse Engineering of Object Oriented Code"/>
  </r>
  <r>
    <s v="W:\Livres\Informatique\Algorithmes, Programmation divers\Reversing, Secrets of Reverse Engineering (2005) - [Wiley] - Eldad Eilam.pdf"/>
    <x v="1"/>
    <x v="22"/>
    <s v="Eldad Eilam"/>
    <s v=""/>
    <s v=".pdf"/>
    <n v="76"/>
    <n v="11"/>
    <s v="Reversing, Secrets of Reverse Engineering"/>
  </r>
  <r>
    <s v="W:\Livres\Informatique\Algorithmes, Programmation divers\Secure Programming with Static Analysis (2007) - [Addison-Wesley] - Brian Chess, Jacob West.pdf"/>
    <x v="9"/>
    <x v="19"/>
    <s v="Brian Chess, Jacob West"/>
    <s v=""/>
    <s v=".pdf"/>
    <n v="95"/>
    <n v="23"/>
    <s v="Secure Programming with Static Analysis"/>
  </r>
  <r>
    <s v="W:\Livres\Informatique\Algorithmes, Programmation divers\S'initier à la programmation avec des exemples (2008) - [Eyrolles] - Claude Delannoy.pdf"/>
    <x v="13"/>
    <x v="6"/>
    <s v="Claude Delannoy"/>
    <s v=""/>
    <s v=".pdf"/>
    <n v="88"/>
    <n v="15"/>
    <s v="S'initier à la programmation avec des exemples"/>
  </r>
  <r>
    <s v="W:\Livres\Informatique\Algorithmes, Programmation divers\Structure and Interpretation of Computer Programs (2nd ed, 1996) - [MIT Press] - Abelson, Sussman.pdf"/>
    <x v="22"/>
    <x v="32"/>
    <s v="Abelson, Sussman"/>
    <s v=""/>
    <s v=".pdf"/>
    <n v="101"/>
    <n v="16"/>
    <s v="Structure and Interpretation of Computer Programs"/>
  </r>
  <r>
    <s v="W:\Livres\Informatique\Algorithmes, Programmation divers\The Algorithm Design Manual (2nd ed, 2008) - [Springer] - Steven S Skiena.pdf"/>
    <x v="13"/>
    <x v="9"/>
    <s v="Steven S Skiena"/>
    <s v=""/>
    <s v=".pdf"/>
    <n v="77"/>
    <n v="15"/>
    <s v="The Algorithm Design Manual"/>
  </r>
  <r>
    <s v="W:\Livres\Informatique\Algorithmes, Programmation divers\The Object-Oriented Thought Process (3rd ed, 2008) - [Addison-Wesley] - Matt Weisfeld.pdf"/>
    <x v="13"/>
    <x v="19"/>
    <s v="Matt Weisfeld"/>
    <s v=""/>
    <s v=".pdf"/>
    <n v="89"/>
    <n v="13"/>
    <s v="The Object-Oriented Thought Process"/>
  </r>
  <r>
    <s v="W:\Livres\Informatique\Algorithmes, Programmation divers\Thinking Recursively (1986) - [Wiley] - Eric S Roberts.djvu"/>
    <x v="20"/>
    <x v="22"/>
    <s v="Eric S Roberts"/>
    <s v=""/>
    <s v=".djvu"/>
    <n v="59"/>
    <n v="14"/>
    <s v="Thinking Recursively"/>
  </r>
  <r>
    <s v="W:\Livres\Informatique\Algorithmes, Programmation divers\What Every Programmer Should Know About Memory (2007) - [Red Hat] - Ulrich Drepper.pdf"/>
    <x v="9"/>
    <x v="37"/>
    <s v="Ulrich Drepper"/>
    <s v=""/>
    <s v=".pdf"/>
    <n v="86"/>
    <n v="14"/>
    <s v="What Every Programmer Should Know About Memory"/>
  </r>
  <r>
    <s v="W:\Livres\Informatique\Architecture logicielle, Design Patterns\97 Things Every Software Architect Should Know (2009) - [O'Reilly] - Richard Monson-Haefel.epub"/>
    <x v="4"/>
    <x v="4"/>
    <s v="Richard Monson-Haefel"/>
    <s v=""/>
    <s v=".epub"/>
    <n v="95"/>
    <n v="21"/>
    <s v="97 Things Every Software Architect Should Know"/>
  </r>
  <r>
    <s v="W:\Livres\Informatique\Architecture logicielle, Design Patterns\97 Things Every Software Architect Should Know (2009) - [O'Reilly] - Richard Monson-Haefel.pdf"/>
    <x v="4"/>
    <x v="4"/>
    <s v="Richard Monson-Haefel"/>
    <s v=""/>
    <s v=".pdf"/>
    <n v="94"/>
    <n v="21"/>
    <s v="97 Things Every Software Architect Should Know"/>
  </r>
  <r>
    <s v="W:\Livres\Informatique\Architecture logicielle, Design Patterns\Architecture Logicielle (2006) - [Dunod] - Jacques Printz.pdf"/>
    <x v="17"/>
    <x v="2"/>
    <s v="Jacques Printz"/>
    <s v=""/>
    <s v=".pdf"/>
    <n v="61"/>
    <n v="14"/>
    <s v="Architecture Logicielle"/>
  </r>
  <r>
    <s v="W:\Livres\Informatique\Architecture logicielle, Design Patterns\Design Pattern Card (2007) - Jason S. McDonald.pdf"/>
    <x v="9"/>
    <x v="8"/>
    <s v="Jason S. McDonald"/>
    <s v=""/>
    <s v=".pdf"/>
    <n v="50"/>
    <n v="17"/>
    <s v="Design Pattern Card"/>
  </r>
  <r>
    <s v="W:\Livres\Informatique\Architecture logicielle, Design Patterns\Design Patterns for Dummies (2006) - [Wiley] - Steve Holzner.pdf"/>
    <x v="17"/>
    <x v="22"/>
    <s v="Steve Holzner"/>
    <s v=""/>
    <s v=".pdf"/>
    <n v="64"/>
    <n v="13"/>
    <s v="Design Patterns for Dummies"/>
  </r>
  <r>
    <s v="W:\Livres\Informatique\Architecture logicielle, Design Patterns\Design Patterns, Elements of Reusable Object-Oriented Software (1994) - [Pearson] - Erich Gamma, Richard Helm, Ralph Johnson, John Vlissides.epub"/>
    <x v="29"/>
    <x v="7"/>
    <s v="Erich Gamma, Richard Helm, Ralph Johnson, John Vlissides"/>
    <s v=""/>
    <s v=".epub"/>
    <n v="145"/>
    <n v="56"/>
    <s v="Design Patterns, Elements of Reusable Object-Oriented Software"/>
  </r>
  <r>
    <s v="W:\Livres\Informatique\Architecture logicielle, Design Patterns\Framework Design Guidelines (2nd ed, 2009) - [Addison-Wesley] - Krzysztof Cwalina, Brad Abrams.pdf"/>
    <x v="4"/>
    <x v="19"/>
    <s v="Krzysztof Cwalina, Brad Abrams"/>
    <s v=""/>
    <s v=".pdf"/>
    <n v="98"/>
    <n v="30"/>
    <s v="Framework Design Guidelines"/>
  </r>
  <r>
    <s v="W:\Livres\Informatique\Architecture logicielle, Design Patterns\Object Oriented Design and Patterns (2nd ed, 2006) - [Wiley] - Cay Horstmann.pdf"/>
    <x v="17"/>
    <x v="22"/>
    <s v="Cay Horstmann"/>
    <s v=""/>
    <s v=".pdf"/>
    <n v="80"/>
    <n v="13"/>
    <s v="Object Oriented Design and Patterns"/>
  </r>
  <r>
    <s v="W:\Livres\Informatique\Architecture logicielle, Design Patterns\Patterns of Enterprise Application Architecture (2002) - [Addison-Wesley] - Martin Fowler et al.pdf"/>
    <x v="16"/>
    <x v="19"/>
    <s v="Martin Fowler et al"/>
    <s v=""/>
    <s v=".pdf"/>
    <n v="99"/>
    <n v="19"/>
    <s v="Patterns of Enterprise Application Architecture"/>
  </r>
  <r>
    <s v="W:\Livres\Informatique\Architecture métérielle, Électronique\A Practical Introduction to Computer Architecture (2009) - [Springer] - Daniel Page.pdf"/>
    <x v="4"/>
    <x v="9"/>
    <s v="Daniel Page"/>
    <s v=""/>
    <s v=".pdf"/>
    <n v="87"/>
    <n v="11"/>
    <s v="A Practical Introduction to Computer Architecture"/>
  </r>
  <r>
    <s v="W:\Livres\Informatique\Architecture métérielle, Électronique\Acquisition de données, Du capteur à l'ordinateur (3è ed, 2011) - [Dunod] - Georges Asch.pdf"/>
    <x v="0"/>
    <x v="2"/>
    <s v="Georges Asch"/>
    <s v=""/>
    <s v=".pdf"/>
    <n v="92"/>
    <n v="12"/>
    <s v="Acquisition de données, Du capteur à l'ordinateur"/>
  </r>
  <r>
    <s v="W:\Livres\Informatique\Architecture métérielle, Électronique\Assembler upgrader et dépanner son PC (2010) - [Pearson] - Michel Martin.pdf"/>
    <x v="14"/>
    <x v="7"/>
    <s v="Michel Martin"/>
    <s v=""/>
    <s v=".pdf"/>
    <n v="76"/>
    <n v="13"/>
    <s v="Assembler upgrader et dépanner son PC"/>
  </r>
  <r>
    <s v="W:\Livres\Informatique\Architecture métérielle, Électronique\Computer Architecture, A Quantitative Approach (4th ed, 2007) - [Elsevier] - John L. Hennessy, David A. Patterson.pdf"/>
    <x v="9"/>
    <x v="1"/>
    <s v="John L. Hennessy, David A. Patterson"/>
    <s v=""/>
    <s v=".pdf"/>
    <n v="117"/>
    <n v="36"/>
    <s v="Computer Architecture, A Quantitative Approach"/>
  </r>
  <r>
    <s v="W:\Livres\Informatique\Architecture métérielle, Électronique\Computer Architecture, A Quantitative Approach (4th ed, 2007), Companion CD Appendices.rar"/>
    <x v="9"/>
    <x v="8"/>
    <s v="?"/>
    <s v=""/>
    <s v=".rar"/>
    <n v="90"/>
    <n v="1"/>
    <s v="Computer Architecture, A Quantitative Approach"/>
  </r>
  <r>
    <s v="W:\Livres\Informatique\Architecture métérielle, Électronique\Computer Organization and Design, The Hardware Software Interface (3rd ed, 2005) - [Elsevier] - David a Patterson, John L Henne.pdf"/>
    <x v="1"/>
    <x v="1"/>
    <s v="David a Patterson, John L Henne"/>
    <s v=""/>
    <s v=".pdf"/>
    <n v="131"/>
    <n v="31"/>
    <s v="Computer Organization and Design, The Hardware Software Interface"/>
  </r>
  <r>
    <s v="W:\Livres\Informatique\Architecture métérielle, Électronique\Computer Organization and Design, The Hardware Software Interface (3rd ed, 2005), Solutions.pdf"/>
    <x v="1"/>
    <x v="8"/>
    <s v="?"/>
    <s v=""/>
    <s v=".pdf"/>
    <n v="95"/>
    <n v="1"/>
    <s v="Computer Organization and Design, The Hardware Software Interface"/>
  </r>
  <r>
    <s v="W:\Livres\Informatique\Architecture métérielle, Électronique\Computer Organization and Design, The Hardware Software Interface (4th ed, 2009) {Scan} - [Elsevier] - David a Patterson, John L Henne.pdf"/>
    <x v="4"/>
    <x v="1"/>
    <s v="David a Patterson, John L Henne"/>
    <s v="Scan"/>
    <s v=".pdf"/>
    <n v="138"/>
    <n v="31"/>
    <s v="Computer Organization and Design, The Hardware Software Interface"/>
  </r>
  <r>
    <s v="W:\Livres\Informatique\Architecture métérielle, Électronique\Computer Organization and Design, The Hardware Software Interface (4th ed, 2009), CD.rar"/>
    <x v="4"/>
    <x v="8"/>
    <s v="?"/>
    <s v=""/>
    <s v=".rar"/>
    <n v="88"/>
    <n v="1"/>
    <s v="Computer Organization and Design, The Hardware Software Interface"/>
  </r>
  <r>
    <s v="W:\Livres\Informatique\Architecture métérielle, Électronique\Configuration et dépannage de PC, Guide de formation avec exercices pratiques, De Win XP à Win 8 (5è ed, 2014) - [Eyrolles] - Sophie Lange.pdf"/>
    <x v="6"/>
    <x v="6"/>
    <s v="Sophie Lange"/>
    <s v=""/>
    <s v=".pdf"/>
    <n v="142"/>
    <n v="12"/>
    <s v="Configuration et dépannage de PC, Guide de formation avec exercices pratiques, De Win XP à Win 8"/>
  </r>
  <r>
    <s v="W:\Livres\Informatique\Architecture métérielle, Électronique\Configuration et dépannage de PC, Guide de formation avec exercices pratiques, Win XP, Vista, 7 (4è ed, 2012) - [Eyrolles] - Sophie Lange.pdf"/>
    <x v="8"/>
    <x v="6"/>
    <s v="Sophie Lange"/>
    <s v=""/>
    <s v=".pdf"/>
    <n v="141"/>
    <n v="12"/>
    <s v="Configuration et dépannage de PC, Guide de formation avec exercices pratiques, Win XP, Vista, 7"/>
  </r>
  <r>
    <s v="W:\Livres\Informatique\Architecture métérielle, Électronique\Learn Hardware, Firmware and Software Design (2005) - [Corollary Theorems] - OG Popa.pdf"/>
    <x v="1"/>
    <x v="38"/>
    <s v="OG Popa"/>
    <s v=""/>
    <s v=".pdf"/>
    <n v="88"/>
    <n v="7"/>
    <s v="Learn Hardware, Firmware and Software Design"/>
  </r>
  <r>
    <s v="W:\Livres\Informatique\Architecture métérielle, Électronique\Learn Hardware, Firmware and Software Design (2005), Source Code.rar"/>
    <x v="1"/>
    <x v="8"/>
    <s v="?"/>
    <s v=""/>
    <s v=".rar"/>
    <n v="68"/>
    <n v="1"/>
    <s v="Learn Hardware, Firmware and Software Design"/>
  </r>
  <r>
    <s v="W:\Livres\Informatique\Architecture métérielle, Électronique\Memory Systems, Cache, DRAM, Disk (2008) - [Elsevier] - Bruce Jacob, Spencer W. Ng, David T. Wang.pdf"/>
    <x v="13"/>
    <x v="1"/>
    <s v="Bruce Jacob, Spencer W. Ng, David T. Wang"/>
    <s v=""/>
    <s v=".pdf"/>
    <n v="101"/>
    <n v="41"/>
    <s v="Memory Systems, Cache, DRAM, Disk"/>
  </r>
  <r>
    <s v="W:\Livres\Informatique\Architecture métérielle, Électronique\Mini manuel d'architecture de l'ordinateur (2012) - [Dunod] - Jacques Zorda, Abdelaziz M'zoughi.pdf"/>
    <x v="8"/>
    <x v="2"/>
    <s v="Jacques Zorda, Abdelaziz M'zoughi"/>
    <s v=""/>
    <s v=".pdf"/>
    <n v="99"/>
    <n v="33"/>
    <s v="Mini manuel d'architecture de l'ordinateur"/>
  </r>
  <r>
    <s v="W:\Livres\Informatique\Architecture métérielle, Électronique\See MIPS Run Linux (2nd ed, 2007) - [Elsevier] - Dominic Sweetman.pdf"/>
    <x v="9"/>
    <x v="1"/>
    <s v="Dominic Sweetman"/>
    <s v=""/>
    <s v=".pdf"/>
    <n v="69"/>
    <n v="16"/>
    <s v="See MIPS Run Linux"/>
  </r>
  <r>
    <s v="W:\Livres\Informatique\Architecture métérielle, Électronique\The Computer Engineering Handbook (2002) - [CRC Press] - Vojin Oklobdzija.pdf"/>
    <x v="16"/>
    <x v="21"/>
    <s v="Vojin Oklobdzija"/>
    <s v=""/>
    <s v=".pdf"/>
    <n v="77"/>
    <n v="16"/>
    <s v="The Computer Engineering Handbook"/>
  </r>
  <r>
    <s v="W:\Livres\Informatique\Architecture métérielle, Électronique\USB Complete, The Developer's Guide (4th ed, 2009) - [Lakeview Research] - Jan Axelson.pdf"/>
    <x v="4"/>
    <x v="39"/>
    <s v="Jan Axelson"/>
    <s v=""/>
    <s v=".pdf"/>
    <n v="90"/>
    <n v="11"/>
    <s v="USB Complete, The Developer's Guide"/>
  </r>
  <r>
    <s v="W:\Livres\Informatique\Arduino, Raspberry Pi\Getting Started with Sensors (2014) - [Maker Media] - Kimmo Karvinen, Tero Karvinen.pdf"/>
    <x v="6"/>
    <x v="40"/>
    <s v="Kimmo Karvinen, Tero Karvinen"/>
    <s v=""/>
    <s v=".pdf"/>
    <n v="87"/>
    <n v="29"/>
    <s v="Getting Started with Sensors"/>
  </r>
  <r>
    <s v="W:\Livres\Informatique\Arduino, Raspberry Pi\Les capteurs pour Arduino et Raspberry Pi (2014) - [Dunod] - Karvinen, Valtokari.pdf"/>
    <x v="6"/>
    <x v="2"/>
    <s v="Karvinen, Valtokari"/>
    <s v=""/>
    <s v=".pdf"/>
    <n v="84"/>
    <n v="19"/>
    <s v="Les capteurs pour Arduino et Raspberry Pi"/>
  </r>
  <r>
    <s v="W:\Livres\Informatique\Arduino, Raspberry Pi\Make Sensors (2014) - [Maker Media] - Tero Karvinen, Kimmo Karvinen, Ville Valtokari.epub"/>
    <x v="6"/>
    <x v="40"/>
    <s v="Tero Karvinen, Kimmo Karvinen, Ville Valtokari"/>
    <s v=""/>
    <s v=".epub"/>
    <n v="89"/>
    <n v="46"/>
    <s v="Make Sensors"/>
  </r>
  <r>
    <s v="W:\Livres\Informatique\Arduino, Raspberry Pi\Mouvement, lumière et son avec Arduino et Raspberry Pi (2016) - [Eyrolles] - Simon Monk.pdf"/>
    <x v="2"/>
    <x v="6"/>
    <s v="Simon Monk"/>
    <s v=""/>
    <s v=".pdf"/>
    <n v="91"/>
    <n v="10"/>
    <s v="Mouvement, lumière et son avec Arduino et Raspberry Pi"/>
  </r>
  <r>
    <s v="W:\Livres\Informatique\Arduino, Raspberry Pi\Raspberry Pi Home Automation with Arduino (1st ed, 2013) - [Packt] - Andrew K. Dennis.pdf"/>
    <x v="5"/>
    <x v="14"/>
    <s v="Andrew K. Dennis"/>
    <s v=""/>
    <s v=".pdf"/>
    <n v="89"/>
    <n v="16"/>
    <s v="Raspberry Pi Home Automation with Arduino"/>
  </r>
  <r>
    <s v="W:\Livres\Informatique\Arduino, Raspberry Pi\Raspberry Pi Home Automation with Arduino (2nd ed, 2015) - [Packt] - Andrew K. Dennis.pdf"/>
    <x v="3"/>
    <x v="14"/>
    <s v="Andrew K. Dennis"/>
    <s v=""/>
    <s v=".pdf"/>
    <n v="89"/>
    <n v="16"/>
    <s v="Raspberry Pi Home Automation with Arduino"/>
  </r>
  <r>
    <s v="W:\Livres\Informatique\Arduino, Raspberry Pi\The Internet of Things, Do-It-Yourself at Home Projects for Arduino, Raspberry Pi and BeagleBone Black (2015) - [McGraw-Hill] - Donald Norris.pdf"/>
    <x v="3"/>
    <x v="41"/>
    <s v="Donald Norris"/>
    <s v=""/>
    <s v=".pdf"/>
    <n v="145"/>
    <n v="13"/>
    <s v="The Internet of Things, Do-It-Yourself at Home Projects for Arduino, Raspberry Pi and BeagleBone Black"/>
  </r>
  <r>
    <s v="W:\Livres\Informatique\Arduino, Raspberry Pi\Arduino\À l'aventure avec Arduino (2015) - [Eyrolles] - Becky Stewart.pdf"/>
    <x v="3"/>
    <x v="6"/>
    <s v="Becky Stewart"/>
    <s v=""/>
    <s v=".pdf"/>
    <n v="65"/>
    <n v="13"/>
    <s v="À l'aventure avec Arduino"/>
  </r>
  <r>
    <s v="W:\Livres\Informatique\Arduino, Raspberry Pi\Arduino\À l'aventure avec Arduino, Code.rar"/>
    <x v="10"/>
    <x v="8"/>
    <s v="?"/>
    <s v=""/>
    <s v=".rar"/>
    <n v="35"/>
    <n v="1"/>
    <s v="À l'aventure avec Arduino, Code"/>
  </r>
  <r>
    <s v="W:\Livres\Informatique\Arduino, Raspberry Pi\Arduino\Arduino (2011) - Floss Manuals.epub"/>
    <x v="0"/>
    <x v="8"/>
    <s v="Floss Manuals"/>
    <s v=""/>
    <s v=".epub"/>
    <n v="35"/>
    <n v="13"/>
    <s v="Arduino"/>
  </r>
  <r>
    <s v="W:\Livres\Informatique\Arduino, Raspberry Pi\Arduino\Arduino (2011) - Floss Manuals.pdf"/>
    <x v="0"/>
    <x v="8"/>
    <s v="Floss Manuals"/>
    <s v=""/>
    <s v=".pdf"/>
    <n v="34"/>
    <n v="13"/>
    <s v="Arduino"/>
  </r>
  <r>
    <s v="W:\Livres\Informatique\Arduino, Raspberry Pi\Arduino\Arduino Adventures (2013) - [Apress] - James Floyd Kelly, Harold Timmis.pdf"/>
    <x v="5"/>
    <x v="42"/>
    <s v="James Floyd Kelly, Harold Timmis"/>
    <s v=""/>
    <s v=".pdf"/>
    <n v="75"/>
    <n v="32"/>
    <s v="Arduino Adventures"/>
  </r>
  <r>
    <s v="W:\Livres\Informatique\Arduino, Raspberry Pi\Arduino\Arduino and Kinect Projects (2012) - [Apress] - Enrique Ramos Melgar, Ciriaco Castro Díez, Przemek Jaworski.pdf"/>
    <x v="8"/>
    <x v="42"/>
    <s v="Enrique Ramos Melgar, Ciriaco Castro Díez, Przemek Jaworski"/>
    <s v=""/>
    <s v=".pdf"/>
    <n v="111"/>
    <n v="59"/>
    <s v="Arduino and Kinect Projects"/>
  </r>
  <r>
    <s v="W:\Livres\Informatique\Arduino, Raspberry Pi\Arduino\Arduino and Lego Projects (2013) - [Apress] - Jon Lazar.pdf"/>
    <x v="5"/>
    <x v="42"/>
    <s v="Jon Lazar"/>
    <s v=""/>
    <s v=".pdf"/>
    <n v="59"/>
    <n v="9"/>
    <s v="Arduino and Lego Projects"/>
  </r>
  <r>
    <s v="W:\Livres\Informatique\Arduino, Raspberry Pi\Arduino\Arduino Android Blueprints (2014) - [Packt] - Marco Schwartz, Stefan Buttigieg.pdf"/>
    <x v="6"/>
    <x v="14"/>
    <s v="Marco Schwartz, Stefan Buttigieg"/>
    <s v=""/>
    <s v=".pdf"/>
    <n v="82"/>
    <n v="32"/>
    <s v="Arduino Android Blueprints"/>
  </r>
  <r>
    <s v="W:\Livres\Informatique\Arduino, Raspberry Pi\Arduino\Arduino Bots and Gadgets (2011) - [O'Reilly] - Kimmo Karvinen, Tero Karvinen.pdf"/>
    <x v="0"/>
    <x v="4"/>
    <s v="Kimmo Karvinen, Tero Karvinen"/>
    <s v=""/>
    <s v=".pdf"/>
    <n v="80"/>
    <n v="29"/>
    <s v="Arduino Bots and Gadgets"/>
  </r>
  <r>
    <s v="W:\Livres\Informatique\Arduino, Raspberry Pi\Arduino\Arduino Cookbook (1st ed, 2011) - [O'Reilly] - Michael Margolis.pdf"/>
    <x v="0"/>
    <x v="4"/>
    <s v="Michael Margolis"/>
    <s v=""/>
    <s v=".pdf"/>
    <n v="67"/>
    <n v="16"/>
    <s v="Arduino Cookbook"/>
  </r>
  <r>
    <s v="W:\Livres\Informatique\Arduino, Raspberry Pi\Arduino\Arduino Cookbook (2nd ed, 2012) - [O'Reilly] - Michael Margolis.pdf"/>
    <x v="8"/>
    <x v="4"/>
    <s v="Michael Margolis"/>
    <s v=""/>
    <s v=".pdf"/>
    <n v="67"/>
    <n v="16"/>
    <s v="Arduino Cookbook"/>
  </r>
  <r>
    <s v="W:\Livres\Informatique\Arduino, Raspberry Pi\Arduino\Arduino Development Cookbook (2015) - [Packt] - Cornel Amariei.pdf"/>
    <x v="3"/>
    <x v="14"/>
    <s v="Cornel Amariei"/>
    <s v=""/>
    <s v=".pdf"/>
    <n v="66"/>
    <n v="14"/>
    <s v="Arduino Development Cookbook"/>
  </r>
  <r>
    <s v="W:\Livres\Informatique\Arduino, Raspberry Pi\Arduino\Arduino Electronics Blueprints (2015) - [Packt] - Don Wilcher.pdf"/>
    <x v="3"/>
    <x v="14"/>
    <s v="Don Wilcher"/>
    <s v=""/>
    <s v=".pdf"/>
    <n v="65"/>
    <n v="11"/>
    <s v="Arduino Electronics Blueprints"/>
  </r>
  <r>
    <s v="W:\Livres\Informatique\Arduino, Raspberry Pi\Arduino\Arduino for Secret Agents (2015) - [Packt] - Marco Schwartz.pdf"/>
    <x v="3"/>
    <x v="14"/>
    <s v="Marco Schwartz"/>
    <s v=""/>
    <s v=".pdf"/>
    <n v="63"/>
    <n v="14"/>
    <s v="Arduino for Secret Agents"/>
  </r>
  <r>
    <s v="W:\Livres\Informatique\Arduino, Raspberry Pi\Arduino\Arduino in Action (2013) - [Manning] - Martin Evans, Joshua Noble, Jordan Hochenbaum.pdf"/>
    <x v="5"/>
    <x v="0"/>
    <s v="Martin Evans, Joshua Noble, Jordan Hochenbaum"/>
    <s v=""/>
    <s v=".pdf"/>
    <n v="88"/>
    <n v="45"/>
    <s v="Arduino in Action"/>
  </r>
  <r>
    <s v="W:\Livres\Informatique\Arduino, Raspberry Pi\Arduino\Arduino Maîtrisez sa programmation et ses cartes d'interface (2è ed, 2014) - [Dunod] - Christian Tavernier.pdf"/>
    <x v="6"/>
    <x v="2"/>
    <s v="Christian Tavernier"/>
    <s v=""/>
    <s v=".pdf"/>
    <n v="110"/>
    <n v="19"/>
    <s v="Arduino Maîtrisez sa programmation et ses cartes d'interface"/>
  </r>
  <r>
    <s v="W:\Livres\Informatique\Arduino, Raspberry Pi\Arduino\Arduino Music and Audio Projects (2015) - [Apress] - Mike Cook.pdf"/>
    <x v="3"/>
    <x v="42"/>
    <s v="Mike Cook"/>
    <s v=""/>
    <s v=".pdf"/>
    <n v="66"/>
    <n v="9"/>
    <s v="Arduino Music and Audio Projects"/>
  </r>
  <r>
    <s v="W:\Livres\Informatique\Arduino, Raspberry Pi\Arduino\Arduino Premiers pas en informatique embarquée (2014) - Simon Landrault, Hippolyte Weisslinger.epub"/>
    <x v="6"/>
    <x v="8"/>
    <s v="Simon Landrault, Hippolyte Weisslinger"/>
    <s v=""/>
    <s v=".epub"/>
    <n v="99"/>
    <n v="38"/>
    <s v="Arduino Premiers pas en informatique embarquée"/>
  </r>
  <r>
    <s v="W:\Livres\Informatique\Arduino, Raspberry Pi\Arduino\Arduino Premiers pas en informatique embarquée (2014) - Simon Landrault, Hippolyte Weisslinger.pdf"/>
    <x v="6"/>
    <x v="8"/>
    <s v="Simon Landrault, Hippolyte Weisslinger"/>
    <s v=""/>
    <s v=".pdf"/>
    <n v="98"/>
    <n v="38"/>
    <s v="Arduino Premiers pas en informatique embarquée"/>
  </r>
  <r>
    <s v="W:\Livres\Informatique\Arduino, Raspberry Pi\Arduino\Arduino Projects to Save the World (2011) - [Apress] - Emery Premeaux, Brian Evans.pdf"/>
    <x v="0"/>
    <x v="42"/>
    <s v="Emery Premeaux, Brian Evans"/>
    <s v=""/>
    <s v=".pdf"/>
    <n v="86"/>
    <n v="27"/>
    <s v="Arduino Projects to Save the World"/>
  </r>
  <r>
    <s v="W:\Livres\Informatique\Arduino, Raspberry Pi\Arduino\Arduino Robotics (2011) - [Apress] - Warren, Adams, Holle.pdf"/>
    <x v="0"/>
    <x v="42"/>
    <s v="Warren, Adams, Holle"/>
    <s v=""/>
    <s v=".pdf"/>
    <n v="61"/>
    <n v="20"/>
    <s v="Arduino Robotics"/>
  </r>
  <r>
    <s v="W:\Livres\Informatique\Arduino, Raspberry Pi\Arduino\Arduino Sketches (2015) - [Wiley] - James A. Langbridge.pdf"/>
    <x v="3"/>
    <x v="22"/>
    <s v="James A. Langbridge"/>
    <s v=""/>
    <s v=".pdf"/>
    <n v="59"/>
    <n v="19"/>
    <s v="Arduino Sketches"/>
  </r>
  <r>
    <s v="W:\Livres\Informatique\Arduino, Raspberry Pi\Arduino\Arduino Starter Kit Projects Book (1st ed, 2012).pdf"/>
    <x v="8"/>
    <x v="8"/>
    <s v="?"/>
    <s v=""/>
    <s v=".pdf"/>
    <n v="52"/>
    <n v="1"/>
    <s v="Arduino Starter Kit Projects Book"/>
  </r>
  <r>
    <s v="W:\Livres\Informatique\Arduino, Raspberry Pi\Arduino\Arduino User Guide for Operating System (2nd ed, 2015) - [SS Publishing] - Robert Scott.epub"/>
    <x v="3"/>
    <x v="43"/>
    <s v="Robert Scott"/>
    <s v=""/>
    <s v=".epub"/>
    <n v="92"/>
    <n v="12"/>
    <s v="Arduino User Guide for Operating System"/>
  </r>
  <r>
    <s v="W:\Livres\Informatique\Arduino, Raspberry Pi\Arduino\Arduino User Guide for Operating System (2nd ed, 2015) - [SS Publishing] - Robert Scott.pdf"/>
    <x v="3"/>
    <x v="43"/>
    <s v="Robert Scott"/>
    <s v=""/>
    <s v=".pdf"/>
    <n v="91"/>
    <n v="12"/>
    <s v="Arduino User Guide for Operating System"/>
  </r>
  <r>
    <s v="W:\Livres\Informatique\Arduino, Raspberry Pi\Arduino\Arduino Wearables (2012) - [Apress] - Tony Olsson.pdf"/>
    <x v="8"/>
    <x v="42"/>
    <s v="Tony Olsson"/>
    <s v=""/>
    <s v=".pdf"/>
    <n v="53"/>
    <n v="11"/>
    <s v="Arduino Wearables"/>
  </r>
  <r>
    <s v="W:\Livres\Informatique\Arduino, Raspberry Pi\Arduino\Arduino Workshop (2013) - [No Starch] - John Boxall.pdf"/>
    <x v="5"/>
    <x v="15"/>
    <s v="John Boxall"/>
    <s v=""/>
    <s v=".pdf"/>
    <n v="55"/>
    <n v="11"/>
    <s v="Arduino Workshop"/>
  </r>
  <r>
    <s v="W:\Livres\Informatique\Arduino, Raspberry Pi\Arduino\Arduino, A Quick-Start Guide (1st ed, 2011) - [The Pragmatic Programmers] - Maik Schmidf.pdf"/>
    <x v="0"/>
    <x v="44"/>
    <s v="Maik Schmidf"/>
    <s v=""/>
    <s v=".pdf"/>
    <n v="92"/>
    <n v="12"/>
    <s v="Arduino, A Quick-Start Guide"/>
  </r>
  <r>
    <s v="W:\Livres\Informatique\Arduino, Raspberry Pi\Arduino\Arduino, A Quick-Start Guide (2nd ed, 2015) - [The Pragmatic Programmers] - Maik Schmidf.pdf"/>
    <x v="3"/>
    <x v="44"/>
    <s v="Maik Schmidf"/>
    <s v=""/>
    <s v=".pdf"/>
    <n v="92"/>
    <n v="12"/>
    <s v="Arduino, A Quick-Start Guide"/>
  </r>
  <r>
    <s v="W:\Livres\Informatique\Arduino, Raspberry Pi\Arduino\Arduino, A Technical Reference (2016) - [O'Reilly] - J. M. Hughes.epub"/>
    <x v="2"/>
    <x v="4"/>
    <s v="J. M. Hughes"/>
    <s v=""/>
    <s v=".epub"/>
    <n v="70"/>
    <n v="12"/>
    <s v="Arduino, A Technical Reference"/>
  </r>
  <r>
    <s v="W:\Livres\Informatique\Arduino, Raspberry Pi\Arduino\Arduino, A Technical Reference (2016) - [O'Reilly] - J. M. Hughes.pdf"/>
    <x v="2"/>
    <x v="4"/>
    <s v="J. M. Hughes"/>
    <s v=""/>
    <s v=".pdf"/>
    <n v="69"/>
    <n v="12"/>
    <s v="Arduino, A Technical Reference"/>
  </r>
  <r>
    <s v="W:\Livres\Informatique\Arduino, Raspberry Pi\Arduino\Atelier Arduino (2006) - Jean-Noël Montagné.pdf"/>
    <x v="17"/>
    <x v="8"/>
    <s v="Jean-Noël Montagné"/>
    <s v=""/>
    <s v=".pdf"/>
    <n v="47"/>
    <n v="18"/>
    <s v="Atelier Arduino"/>
  </r>
  <r>
    <s v="W:\Livres\Informatique\Arduino, Raspberry Pi\Arduino\Atmospheric Monitoring with Arduino (2012) - [O'Reilly] - Patrick Di Justo, Emily Gertz.pdf"/>
    <x v="8"/>
    <x v="4"/>
    <s v="Patrick Di Justo, Emily Gertz"/>
    <s v=""/>
    <s v=".pdf"/>
    <n v="91"/>
    <n v="29"/>
    <s v="Atmospheric Monitoring with Arduino"/>
  </r>
  <r>
    <s v="W:\Livres\Informatique\Arduino, Raspberry Pi\Arduino\Beginning Arduino (2nd ed, 2013) - [Apress] - Michal McRoberts.pdf"/>
    <x v="5"/>
    <x v="42"/>
    <s v="Michal McRoberts"/>
    <s v=""/>
    <s v=".pdf"/>
    <n v="66"/>
    <n v="16"/>
    <s v="Beginning Arduino"/>
  </r>
  <r>
    <s v="W:\Livres\Informatique\Arduino, Raspberry Pi\Arduino\Beginning C for Arduino (1st ed, 2012) - [Apress] - Jack Purdum.pdf"/>
    <x v="8"/>
    <x v="42"/>
    <s v="Jack Purdum"/>
    <s v=""/>
    <s v=".pdf"/>
    <n v="67"/>
    <n v="11"/>
    <s v="Beginning C for Arduino"/>
  </r>
  <r>
    <s v="W:\Livres\Informatique\Arduino, Raspberry Pi\Arduino\Beginning C for Arduino (2nd ed, 2015) - [Apress] - Jack Purdum.pdf"/>
    <x v="3"/>
    <x v="42"/>
    <s v="Jack Purdum"/>
    <s v=""/>
    <s v=".pdf"/>
    <n v="67"/>
    <n v="11"/>
    <s v="Beginning C for Arduino"/>
  </r>
  <r>
    <s v="W:\Livres\Informatique\Arduino, Raspberry Pi\Arduino\Building Arduino Projects for the Internet of Things (2016) - [Apress] - Adeel Javed.pdf"/>
    <x v="2"/>
    <x v="42"/>
    <s v="Adeel Javed"/>
    <s v=""/>
    <s v=".pdf"/>
    <n v="88"/>
    <n v="11"/>
    <s v="Building Arduino Projects for the Internet of Things"/>
  </r>
  <r>
    <s v="W:\Livres\Informatique\Arduino, Raspberry Pi\Arduino\C Programming for Arduino (2013) - [Packt] - Julien Bayle.pdf"/>
    <x v="5"/>
    <x v="14"/>
    <s v="Julien Bayle"/>
    <s v=""/>
    <s v=".pdf"/>
    <n v="61"/>
    <n v="12"/>
    <s v="C Programming for Arduino"/>
  </r>
  <r>
    <s v="W:\Livres\Informatique\Arduino, Raspberry Pi\Arduino\Getting Started with Arduino (2nd ed, 2011) - [Maker Media] - Massimo Banzi.pdf"/>
    <x v="0"/>
    <x v="40"/>
    <s v="Massimo Banzi"/>
    <s v=""/>
    <s v=".pdf"/>
    <n v="79"/>
    <n v="13"/>
    <s v="Getting Started with Arduino"/>
  </r>
  <r>
    <s v="W:\Livres\Informatique\Arduino, Raspberry Pi\Arduino\Getting Started with Arduino (3rd ed, 2014) - [Maker Media] - Massimo Banzi, Michael Shiloh.pdf"/>
    <x v="6"/>
    <x v="40"/>
    <s v="Massimo Banzi, Michael Shiloh"/>
    <s v=""/>
    <s v=".pdf"/>
    <n v="95"/>
    <n v="29"/>
    <s v="Getting Started with Arduino"/>
  </r>
  <r>
    <s v="W:\Livres\Informatique\Arduino, Raspberry Pi\Arduino\Getting Started with RFID (2012) - [O'Reilly] - Tom Igoe.pdf"/>
    <x v="8"/>
    <x v="4"/>
    <s v="Tom Igoe"/>
    <s v=""/>
    <s v=".pdf"/>
    <n v="60"/>
    <n v="8"/>
    <s v="Getting Started with RFID"/>
  </r>
  <r>
    <s v="W:\Livres\Informatique\Arduino, Raspberry Pi\Arduino\Internet of Things with the Arduino Yún (2014) - [Packt] - Marco Schwartz.pdf"/>
    <x v="6"/>
    <x v="14"/>
    <s v="Marco Schwartz"/>
    <s v=""/>
    <s v=".pdf"/>
    <n v="77"/>
    <n v="14"/>
    <s v="Internet of Things with the Arduino Yún"/>
  </r>
  <r>
    <s v="W:\Livres\Informatique\Arduino, Raspberry Pi\Arduino\iOS Sensor Apps with Arduino (2011) - [O'Reilly] - Alasdair Allan.pdf"/>
    <x v="0"/>
    <x v="4"/>
    <s v="Alasdair Allan"/>
    <s v=""/>
    <s v=".pdf"/>
    <n v="69"/>
    <n v="14"/>
    <s v="iOS Sensor Apps with Arduino"/>
  </r>
  <r>
    <s v="W:\Livres\Informatique\Arduino, Raspberry Pi\Arduino\Le grand livre d'Arduino (2è ed, 2015) - [Eyrolles] - Erik Bartmann.pdf"/>
    <x v="3"/>
    <x v="6"/>
    <s v="Erik Bartmann"/>
    <s v=""/>
    <s v=".pdf"/>
    <n v="71"/>
    <n v="13"/>
    <s v="Le grand livre d'Arduino"/>
  </r>
  <r>
    <s v="W:\Livres\Informatique\Arduino, Raspberry Pi\Arduino\Le grand livre d'Arduino (2è ed, 2015), Fichiers de travail.zip"/>
    <x v="3"/>
    <x v="8"/>
    <s v="?"/>
    <s v=""/>
    <s v=".zip"/>
    <n v="63"/>
    <n v="1"/>
    <s v="Le grand livre d'Arduino"/>
  </r>
  <r>
    <s v="W:\Livres\Informatique\Arduino, Raspberry Pi\Arduino\Learn Electronics with Arduino (2012) - [Apress] - Don Wilcher.pdf"/>
    <x v="8"/>
    <x v="42"/>
    <s v="Don Wilcher"/>
    <s v=""/>
    <s v=".pdf"/>
    <n v="66"/>
    <n v="11"/>
    <s v="Learn Electronics with Arduino"/>
  </r>
  <r>
    <s v="W:\Livres\Informatique\Arduino, Raspberry Pi\Arduino\Make a Mind-Controlled Arduino Robot (2012) - [O'Reilly] - Tero Karvinen, Kimmo Karvinen.pdf"/>
    <x v="8"/>
    <x v="4"/>
    <s v="Tero Karvinen, Kimmo Karvinen"/>
    <s v=""/>
    <s v=".pdf"/>
    <n v="92"/>
    <n v="29"/>
    <s v="Make a Mind-Controlled Arduino Robot"/>
  </r>
  <r>
    <s v="W:\Livres\Informatique\Arduino, Raspberry Pi\Arduino\Practical Arduino Engineering (2011) - [Apress] - Harold Timmis.pdf"/>
    <x v="0"/>
    <x v="42"/>
    <s v="Harold Timmis"/>
    <s v=""/>
    <s v=".pdf"/>
    <n v="67"/>
    <n v="13"/>
    <s v="Practical Arduino Engineering"/>
  </r>
  <r>
    <s v="W:\Livres\Informatique\Arduino, Raspberry Pi\Arduino\Practical Arduino, Cool Projects for Open Source Hardware (2009) - [Apress] - Jonathan Oxer, Hugh Blemings.pdf"/>
    <x v="4"/>
    <x v="42"/>
    <s v="Jonathan Oxer, Hugh Blemings"/>
    <s v=""/>
    <s v=".pdf"/>
    <n v="110"/>
    <n v="28"/>
    <s v="Practical Arduino, Cool Projects for Open Source Hardware"/>
  </r>
  <r>
    <s v="W:\Livres\Informatique\Arduino, Raspberry Pi\Arduino\Practical AVR Microcontrollers (2012) - [Apress] - Alan Trevennor.pdf"/>
    <x v="8"/>
    <x v="42"/>
    <s v="Alan Trevennor"/>
    <s v=""/>
    <s v=".pdf"/>
    <n v="69"/>
    <n v="14"/>
    <s v="Practical AVR Microcontrollers"/>
  </r>
  <r>
    <s v="W:\Livres\Informatique\Arduino, Raspberry Pi\Arduino\Professional Android Open Accessory Programming with Arduino (2013) - [Wiley] - Andreas Göransson, David Cuartielles Ruiz.pdf"/>
    <x v="5"/>
    <x v="22"/>
    <s v="Andreas Göransson, David Cuartielles Ruiz"/>
    <s v=""/>
    <s v=".pdf"/>
    <n v="125"/>
    <n v="41"/>
    <s v="Professional Android Open Accessory Programming with Arduino"/>
  </r>
  <r>
    <s v="W:\Livres\Informatique\Arduino, Raspberry Pi\Arduino\Programming Arduino with LabVIEW (2015) - [Packt] - Marco Schwartz, Oliver Manickum.pdf"/>
    <x v="3"/>
    <x v="14"/>
    <s v="Marco Schwartz, Oliver Manickum"/>
    <s v=""/>
    <s v=".pdf"/>
    <n v="87"/>
    <n v="31"/>
    <s v="Programming Arduino with LabVIEW"/>
  </r>
  <r>
    <s v="W:\Livres\Informatique\Arduino, Raspberry Pi\Arduino\Programming Your Home, Automate with Arduino, Android, and Your Computer (2012) - [The Pragmatic Programmers] - Mike Riley.pdf"/>
    <x v="8"/>
    <x v="44"/>
    <s v="Mike Riley"/>
    <s v=""/>
    <s v=".pdf"/>
    <n v="126"/>
    <n v="10"/>
    <s v="Programming Your Home, Automate with Arduino, Android, and Your Computer"/>
  </r>
  <r>
    <s v="W:\Livres\Informatique\Arduino, Raspberry Pi\Arduino\Python Programming for Arduino (2015) - [Packt] - Pratik Desai.pdf"/>
    <x v="3"/>
    <x v="14"/>
    <s v="Pratik Desai"/>
    <s v=""/>
    <s v=".pdf"/>
    <n v="66"/>
    <n v="12"/>
    <s v="Python Programming for Arduino"/>
  </r>
  <r>
    <s v="W:\Livres\Informatique\Arduino, Raspberry Pi\Raspberry Pi\À la découverte du Raspberry Pi (2014) - [Eyrolles] - Matt Richardson, Shawn Wallace.pdf"/>
    <x v="6"/>
    <x v="6"/>
    <s v="Matt Richardson, Shawn Wallace"/>
    <s v=""/>
    <s v=".pdf"/>
    <n v="88"/>
    <n v="30"/>
    <s v="À la découverte du Raspberry Pi"/>
  </r>
  <r>
    <s v="W:\Livres\Informatique\Arduino, Raspberry Pi\Raspberry Pi\Adventures in Raspberry Pi (2014) - [Wiley] - Carrie Anne Philbin.pdf"/>
    <x v="6"/>
    <x v="22"/>
    <s v="Carrie Anne Philbin"/>
    <s v=""/>
    <s v=".pdf"/>
    <n v="69"/>
    <n v="19"/>
    <s v="Adventures in Raspberry Pi"/>
  </r>
  <r>
    <s v="W:\Livres\Informatique\Arduino, Raspberry Pi\Raspberry Pi\Beginning Raspberry Pi 2 (2015) - [Suntime Publishing] - Charles Daniels.pdf"/>
    <x v="3"/>
    <x v="45"/>
    <s v="Charles Daniels"/>
    <s v=""/>
    <s v=".pdf"/>
    <n v="76"/>
    <n v="15"/>
    <s v="Beginning Raspberry Pi 2"/>
  </r>
  <r>
    <s v="W:\Livres\Informatique\Arduino, Raspberry Pi\Raspberry Pi\Beginning Sensor Networks with Arduino and Raspberry Pi (2013) - [Apress] - Charles Bell.epub"/>
    <x v="5"/>
    <x v="42"/>
    <s v="Charles Bell"/>
    <s v=""/>
    <s v=".epub"/>
    <n v="93"/>
    <n v="12"/>
    <s v="Beginning Sensor Networks with Arduino and Raspberry Pi"/>
  </r>
  <r>
    <s v="W:\Livres\Informatique\Arduino, Raspberry Pi\Raspberry Pi\Building a Home Security System with Raspberry Pi (2015) - [Packt] - Matthew Poole.pdf"/>
    <x v="3"/>
    <x v="14"/>
    <s v="Matthew Poole"/>
    <s v=""/>
    <s v=".pdf"/>
    <n v="86"/>
    <n v="13"/>
    <s v="Building a Home Security System with Raspberry Pi"/>
  </r>
  <r>
    <s v="W:\Livres\Informatique\Arduino, Raspberry Pi\Raspberry Pi\Experimenting with Raspberry Pi (2014) - [Apress] - Warren Gay.pdf"/>
    <x v="6"/>
    <x v="42"/>
    <s v="Warren Gay"/>
    <s v=""/>
    <s v=".pdf"/>
    <n v="66"/>
    <n v="10"/>
    <s v="Experimenting with Raspberry Pi"/>
  </r>
  <r>
    <s v="W:\Livres\Informatique\Arduino, Raspberry Pi\Raspberry Pi\Exploring Raspberry Pi Interfacing to the Real World (2016) - [Wiley] - Derek Molloy.epub"/>
    <x v="2"/>
    <x v="22"/>
    <s v="Derek Molloy"/>
    <s v=""/>
    <s v=".epub"/>
    <n v="89"/>
    <n v="12"/>
    <s v="Exploring Raspberry Pi Interfacing to the Real World"/>
  </r>
  <r>
    <s v="W:\Livres\Informatique\Arduino, Raspberry Pi\Raspberry Pi\Exploring Raspberry Pi Interfacing to the Real World (2016) - [Wiley] - Derek Molloy.pdf"/>
    <x v="2"/>
    <x v="22"/>
    <s v="Derek Molloy"/>
    <s v=""/>
    <s v=".pdf"/>
    <n v="88"/>
    <n v="12"/>
    <s v="Exploring Raspberry Pi Interfacing to the Real World"/>
  </r>
  <r>
    <s v="W:\Livres\Informatique\Arduino, Raspberry Pi\Raspberry Pi\Exploring the Raspberry Pi 2 with C++ (2015) - [Apress] - Warren Gay.pdf"/>
    <x v="3"/>
    <x v="42"/>
    <s v="Warren Gay"/>
    <s v=""/>
    <s v=".pdf"/>
    <n v="72"/>
    <n v="10"/>
    <s v="Exploring the Raspberry Pi 2 with C++"/>
  </r>
  <r>
    <s v="W:\Livres\Informatique\Arduino, Raspberry Pi\Raspberry Pi\Getting Started with Raspberry Pi (2nd ed, 2015) - [Maker Media] - Matt Richardson, Shawn Wallace.epub"/>
    <x v="3"/>
    <x v="40"/>
    <s v="Matt Richardson, Shawn Wallace"/>
    <s v=""/>
    <s v=".epub"/>
    <n v="102"/>
    <n v="30"/>
    <s v="Getting Started with Raspberry Pi"/>
  </r>
  <r>
    <s v="W:\Livres\Informatique\Arduino, Raspberry Pi\Raspberry Pi\Getting Started with Raspberry Pi (2013) - [O'Reilly] - Matt Richardson, Shawn Wallace.pdf"/>
    <x v="5"/>
    <x v="4"/>
    <s v="Matt Richardson, Shawn Wallace"/>
    <s v=""/>
    <s v=".pdf"/>
    <n v="90"/>
    <n v="30"/>
    <s v="Getting Started with Raspberry Pi"/>
  </r>
  <r>
    <s v="W:\Livres\Informatique\Arduino, Raspberry Pi\Raspberry Pi\Getting Started with Raspberry Pi 3 (2016) - Agus Kurniawan.epub"/>
    <x v="2"/>
    <x v="8"/>
    <s v="Agus Kurniawan"/>
    <s v=""/>
    <s v=".epub"/>
    <n v="64"/>
    <n v="14"/>
    <s v="Getting Started with Raspberry Pi 3"/>
  </r>
  <r>
    <s v="W:\Livres\Informatique\Arduino, Raspberry Pi\Raspberry Pi\Getting Started with Raspberry Pi 3 (2016) - Agus Kurniawan.pdf"/>
    <x v="2"/>
    <x v="8"/>
    <s v="Agus Kurniawan"/>
    <s v=""/>
    <s v=".pdf"/>
    <n v="63"/>
    <n v="14"/>
    <s v="Getting Started with Raspberry Pi 3"/>
  </r>
  <r>
    <s v="W:\Livres\Informatique\Arduino, Raspberry Pi\Raspberry Pi\Getting Started with Raspberry Pi Zero (2016) - [Packt] - Richard Grimmett.epub"/>
    <x v="2"/>
    <x v="14"/>
    <s v="Richard Grimmett"/>
    <s v=""/>
    <s v=".epub"/>
    <n v="79"/>
    <n v="16"/>
    <s v="Getting Started with Raspberry Pi Zero"/>
  </r>
  <r>
    <s v="W:\Livres\Informatique\Arduino, Raspberry Pi\Raspberry Pi\Getting Started with Raspberry Pi Zero (2016) - [Packt] - Richard Grimmett.pdf"/>
    <x v="2"/>
    <x v="14"/>
    <s v="Richard Grimmett"/>
    <s v=""/>
    <s v=".pdf"/>
    <n v="78"/>
    <n v="16"/>
    <s v="Getting Started with Raspberry Pi Zero"/>
  </r>
  <r>
    <s v="W:\Livres\Informatique\Arduino, Raspberry Pi\Raspberry Pi\Getting Started with the Raspberry Pi (2013) - Kevin Johnson.epub"/>
    <x v="5"/>
    <x v="8"/>
    <s v="Kevin Johnson"/>
    <s v=""/>
    <s v=".epub"/>
    <n v="65"/>
    <n v="13"/>
    <s v="Getting Started with the Raspberry Pi"/>
  </r>
  <r>
    <s v="W:\Livres\Informatique\Arduino, Raspberry Pi\Raspberry Pi\Hello Raspberry Pi! Python programming for kids and other beginners (2016) - [Manning] - Ryan Heitz.epub"/>
    <x v="2"/>
    <x v="0"/>
    <s v="Ryan Heitz"/>
    <s v=""/>
    <s v=".epub"/>
    <n v="104"/>
    <n v="10"/>
    <s v="Hello Raspberry Pi! Python programming for kids and other beginners"/>
  </r>
  <r>
    <s v="W:\Livres\Informatique\Arduino, Raspberry Pi\Raspberry Pi\Hello Raspberry Pi! Python programming for kids and other beginners (2016) - [Manning] - Ryan Heitz.pdf"/>
    <x v="2"/>
    <x v="0"/>
    <s v="Ryan Heitz"/>
    <s v=""/>
    <s v=".pdf"/>
    <n v="103"/>
    <n v="10"/>
    <s v="Hello Raspberry Pi! Python programming for kids and other beginners"/>
  </r>
  <r>
    <s v="W:\Livres\Informatique\Arduino, Raspberry Pi\Raspberry Pi\How to Mount an External Hard Drive on the Raspberry Pi {Document}.pdf"/>
    <x v="10"/>
    <x v="8"/>
    <s v="?"/>
    <s v="Document"/>
    <s v=".pdf"/>
    <n v="70"/>
    <n v="1"/>
    <s v="How to Mount an External Hard Drive on the Raspberry Pi"/>
  </r>
  <r>
    <s v="W:\Livres\Informatique\Arduino, Raspberry Pi\Raspberry Pi\Learn Raspberry Pi 2 with Linux and Windows 10 (2nd ed, 2015) - [Apress] - Peter Membrey, David Hows.pdf"/>
    <x v="3"/>
    <x v="42"/>
    <s v="Peter Membrey, David Hows"/>
    <s v=""/>
    <s v=".pdf"/>
    <n v="104"/>
    <n v="25"/>
    <s v="Learn Raspberry Pi 2 with Linux and Windows 10"/>
  </r>
  <r>
    <s v="W:\Livres\Informatique\Arduino, Raspberry Pi\Raspberry Pi\Learn Raspberry Pi Programming with Python (2014) - [Apress] - Wolfram Donat.pdf"/>
    <x v="6"/>
    <x v="42"/>
    <s v="Wolfram Donat"/>
    <s v=""/>
    <s v=".pdf"/>
    <n v="80"/>
    <n v="13"/>
    <s v="Learn Raspberry Pi Programming with Python"/>
  </r>
  <r>
    <s v="W:\Livres\Informatique\Arduino, Raspberry Pi\Raspberry Pi\Learn Raspberry Pi with Linux (2013) - [Apress] - Peter Membrey, David Hows.pdf"/>
    <x v="5"/>
    <x v="42"/>
    <s v="Peter Membrey, David Hows"/>
    <s v=""/>
    <s v=".pdf"/>
    <n v="79"/>
    <n v="25"/>
    <s v="Learn Raspberry Pi with Linux"/>
  </r>
  <r>
    <s v="W:\Livres\Informatique\Arduino, Raspberry Pi\Raspberry Pi\Learning Internet of Things (2015) - [Packt] - Peter Waher.pdf"/>
    <x v="3"/>
    <x v="14"/>
    <s v="Peter Waher"/>
    <s v=""/>
    <s v=".pdf"/>
    <n v="62"/>
    <n v="11"/>
    <s v="Learning Internet of Things"/>
  </r>
  <r>
    <s v="W:\Livres\Informatique\Arduino, Raspberry Pi\Raspberry Pi\Learning Python with Raspberry Pi (2014) - [Wiley] - Alex Bradbury, Ben Everard.pdf"/>
    <x v="6"/>
    <x v="22"/>
    <s v="Alex Bradbury, Ben Everard"/>
    <s v=""/>
    <s v=".pdf"/>
    <n v="83"/>
    <n v="26"/>
    <s v="Learning Python with Raspberry Pi"/>
  </r>
  <r>
    <s v="W:\Livres\Informatique\Arduino, Raspberry Pi\Raspberry Pi\Mastering the Raspberry Pi (2014) - [Apress] - Warren Gay.pdf"/>
    <x v="6"/>
    <x v="42"/>
    <s v="Warren Gay"/>
    <s v=""/>
    <s v=".pdf"/>
    <n v="61"/>
    <n v="10"/>
    <s v="Mastering the Raspberry Pi"/>
  </r>
  <r>
    <s v="W:\Livres\Informatique\Arduino, Raspberry Pi\Raspberry Pi\Movement, Light, and Sound with Arduino and Raspberry Pi (2016) - [Maker Media] - Simon Monk.pdf"/>
    <x v="2"/>
    <x v="40"/>
    <s v="Simon Monk"/>
    <s v=""/>
    <s v=".pdf"/>
    <n v="96"/>
    <n v="10"/>
    <s v="Movement, Light, and Sound with Arduino and Raspberry Pi"/>
  </r>
  <r>
    <s v="W:\Livres\Informatique\Arduino, Raspberry Pi\Raspberry Pi\Penetration Testing with Raspberry Pi (2015) - [Packt] - Aamir Lakhani, Joseph Muniz.pdf"/>
    <x v="3"/>
    <x v="14"/>
    <s v="Aamir Lakhani, Joseph Muniz"/>
    <s v=""/>
    <s v=".pdf"/>
    <n v="88"/>
    <n v="27"/>
    <s v="Penetration Testing with Raspberry Pi"/>
  </r>
  <r>
    <s v="W:\Livres\Informatique\Arduino, Raspberry Pi\Raspberry Pi\Practical Raspberry Pi (2013) - [Apress] - Brendan Horan.pdf"/>
    <x v="5"/>
    <x v="42"/>
    <s v="Brendan Horan"/>
    <s v=""/>
    <s v=".pdf"/>
    <n v="60"/>
    <n v="13"/>
    <s v="Practical Raspberry Pi"/>
  </r>
  <r>
    <s v="W:\Livres\Informatique\Arduino, Raspberry Pi\Raspberry Pi\Programmez un Raspberry Pi avec Python (2014) - [Dunod] - Simon Monk.pdf"/>
    <x v="6"/>
    <x v="2"/>
    <s v="Simon Monk"/>
    <s v=""/>
    <s v=".pdf"/>
    <n v="72"/>
    <n v="10"/>
    <s v="Programmez un Raspberry Pi avec Python"/>
  </r>
  <r>
    <s v="W:\Livres\Informatique\Arduino, Raspberry Pi\Raspberry Pi\Programming the Raspberry Pi, Getting Started with Python (1st ed, 2013) - [McGraw-Hill] - Simon Monk.epub"/>
    <x v="5"/>
    <x v="41"/>
    <s v="Simon Monk"/>
    <s v=""/>
    <s v=".epub"/>
    <n v="106"/>
    <n v="10"/>
    <s v="Programming the Raspberry Pi, Getting Started with Python"/>
  </r>
  <r>
    <s v="W:\Livres\Informatique\Arduino, Raspberry Pi\Raspberry Pi\Programming the Raspberry Pi, Getting Started with Python (1st ed, 2013), Source Codes.rar"/>
    <x v="5"/>
    <x v="8"/>
    <s v="?"/>
    <s v=""/>
    <s v=".rar"/>
    <n v="90"/>
    <n v="1"/>
    <s v="Programming the Raspberry Pi, Getting Started with Python"/>
  </r>
  <r>
    <s v="W:\Livres\Informatique\Arduino, Raspberry Pi\Raspberry Pi\Programming the Raspberry Pi, Getting Started with Python (2nd ed, 2016) - [McGraw-Hill] - Simon Monk.pdf"/>
    <x v="2"/>
    <x v="41"/>
    <s v="Simon Monk"/>
    <s v=""/>
    <s v=".pdf"/>
    <n v="105"/>
    <n v="10"/>
    <s v="Programming the Raspberry Pi, Getting Started with Python"/>
  </r>
  <r>
    <s v="W:\Livres\Informatique\Arduino, Raspberry Pi\Raspberry Pi\Raspberry Pi Android Projects (2015) - [Packt] - Gokhan Kurt.epub"/>
    <x v="3"/>
    <x v="14"/>
    <s v="Gokhan Kurt"/>
    <s v=""/>
    <s v=".epub"/>
    <n v="65"/>
    <n v="11"/>
    <s v="Raspberry Pi Android Projects"/>
  </r>
  <r>
    <s v="W:\Livres\Informatique\Arduino, Raspberry Pi\Raspberry Pi\Raspberry Pi Blueprints (2015) - [Packt] - Dan Nixon.pdf"/>
    <x v="3"/>
    <x v="14"/>
    <s v="Dan Nixon"/>
    <s v=""/>
    <s v=".pdf"/>
    <n v="56"/>
    <n v="9"/>
    <s v="Raspberry Pi Blueprints"/>
  </r>
  <r>
    <s v="W:\Livres\Informatique\Arduino, Raspberry Pi\Raspberry Pi\Raspberry Pi Computer Architecture Essentials (2016) - [Packt] - Andrew K. Dennis.epub"/>
    <x v="2"/>
    <x v="14"/>
    <s v="Andrew K. Dennis"/>
    <s v=""/>
    <s v=".epub"/>
    <n v="86"/>
    <n v="16"/>
    <s v="Raspberry Pi Computer Architecture Essentials"/>
  </r>
  <r>
    <s v="W:\Livres\Informatique\Arduino, Raspberry Pi\Raspberry Pi\Raspberry Pi Computer Architecture Essentials (2016) - [Packt] - Andrew K. Dennis.pdf"/>
    <x v="2"/>
    <x v="14"/>
    <s v="Andrew K. Dennis"/>
    <s v=""/>
    <s v=".pdf"/>
    <n v="85"/>
    <n v="16"/>
    <s v="Raspberry Pi Computer Architecture Essentials"/>
  </r>
  <r>
    <s v="W:\Livres\Informatique\Arduino, Raspberry Pi\Raspberry Pi\Raspberry Pi Computer Vision Programming (2015) - [Packt] - Ashwin Pajankar.pdf"/>
    <x v="3"/>
    <x v="14"/>
    <s v="Ashwin Pajankar"/>
    <s v=""/>
    <s v=".pdf"/>
    <n v="79"/>
    <n v="15"/>
    <s v="Raspberry Pi Computer Vision Programming"/>
  </r>
  <r>
    <s v="W:\Livres\Informatique\Arduino, Raspberry Pi\Raspberry Pi\Raspberry Pi Cookbook (2nd ed, 2016) - [O'Reilly] - Simon Monk.epub"/>
    <x v="2"/>
    <x v="4"/>
    <s v="Simon Monk"/>
    <s v=""/>
    <s v=".epub"/>
    <n v="67"/>
    <n v="10"/>
    <s v="Raspberry Pi Cookbook"/>
  </r>
  <r>
    <s v="W:\Livres\Informatique\Arduino, Raspberry Pi\Raspberry Pi\Raspberry Pi Cookbook (2nd ed, 2016) - [O'Reilly] - Simon Monk.pdf"/>
    <x v="2"/>
    <x v="4"/>
    <s v="Simon Monk"/>
    <s v=""/>
    <s v=".pdf"/>
    <n v="66"/>
    <n v="10"/>
    <s v="Raspberry Pi Cookbook"/>
  </r>
  <r>
    <s v="W:\Livres\Informatique\Arduino, Raspberry Pi\Raspberry Pi\Raspberry Pi Cookbook (2014) - [O'Reilly] - Simon Monk.pdf"/>
    <x v="6"/>
    <x v="4"/>
    <s v="Simon Monk"/>
    <s v=""/>
    <s v=".pdf"/>
    <n v="58"/>
    <n v="10"/>
    <s v="Raspberry Pi Cookbook"/>
  </r>
  <r>
    <s v="W:\Livres\Informatique\Arduino, Raspberry Pi\Raspberry Pi\Raspberry Pi Cookbook for Python Programmers (2014) - [Packt] - Tim Cox.pdf"/>
    <x v="6"/>
    <x v="14"/>
    <s v="Tim Cox"/>
    <s v=""/>
    <s v=".pdf"/>
    <n v="75"/>
    <n v="7"/>
    <s v="Raspberry Pi Cookbook for Python Programmers"/>
  </r>
  <r>
    <s v="W:\Livres\Informatique\Arduino, Raspberry Pi\Raspberry Pi\Raspberry Pi Embedded Projects (2015) - [Packt] - Sai Yamanoor, Srihari Yamanoor.pdf"/>
    <x v="3"/>
    <x v="14"/>
    <s v="Sai Yamanoor, Srihari Yamanoor"/>
    <s v=""/>
    <s v=".pdf"/>
    <n v="84"/>
    <n v="30"/>
    <s v="Raspberry Pi Embedded Projects"/>
  </r>
  <r>
    <s v="W:\Livres\Informatique\Arduino, Raspberry Pi\Raspberry Pi\Raspberry Pi for Dummies (1st ed, 2013) - [Wiley] - Sean McManus, Mike Cook.pdf"/>
    <x v="5"/>
    <x v="22"/>
    <s v="Sean McManus, Mike Cook"/>
    <s v=""/>
    <s v=".pdf"/>
    <n v="79"/>
    <n v="23"/>
    <s v="Raspberry Pi for Dummies"/>
  </r>
  <r>
    <s v="W:\Livres\Informatique\Arduino, Raspberry Pi\Raspberry Pi\Raspberry Pi for Dummies (2nd ed, 2014) - [Wiley] - Sean McManus, Mike Cook.epub"/>
    <x v="6"/>
    <x v="22"/>
    <s v="Sean McManus, Mike Cook"/>
    <s v=""/>
    <s v=".epub"/>
    <n v="80"/>
    <n v="23"/>
    <s v="Raspberry Pi for Dummies"/>
  </r>
  <r>
    <s v="W:\Livres\Informatique\Arduino, Raspberry Pi\Raspberry Pi\Raspberry Pi for Kids for Dummies (2015) - [Wiley] - Richard Wentk.epub"/>
    <x v="3"/>
    <x v="22"/>
    <s v="Richard Wentk"/>
    <s v=""/>
    <s v=".epub"/>
    <n v="71"/>
    <n v="13"/>
    <s v="Raspberry Pi for Kids for Dummies"/>
  </r>
  <r>
    <s v="W:\Livres\Informatique\Arduino, Raspberry Pi\Raspberry Pi\Raspberry Pi for Kids for Dummies (2015) - [Wiley] - Richard Wentk.pdf"/>
    <x v="3"/>
    <x v="22"/>
    <s v="Richard Wentk"/>
    <s v=""/>
    <s v=".pdf"/>
    <n v="70"/>
    <n v="13"/>
    <s v="Raspberry Pi for Kids for Dummies"/>
  </r>
  <r>
    <s v="W:\Livres\Informatique\Arduino, Raspberry Pi\Raspberry Pi\Raspberry Pi for Secret Agents (2013) - [Packt] - Stefan Sjogelid.pdf"/>
    <x v="5"/>
    <x v="14"/>
    <s v="Stefan Sjogelid"/>
    <s v=""/>
    <s v=".pdf"/>
    <n v="69"/>
    <n v="15"/>
    <s v="Raspberry Pi for Secret Agents"/>
  </r>
  <r>
    <s v="W:\Livres\Informatique\Arduino, Raspberry Pi\Raspberry Pi\Raspberry Pi Gaming (2nd ed, 2015) - [Packt] - Shea Silverman.pdf"/>
    <x v="3"/>
    <x v="14"/>
    <s v="Shea Silverman"/>
    <s v=""/>
    <s v=".pdf"/>
    <n v="65"/>
    <n v="14"/>
    <s v="Raspberry Pi Gaming"/>
  </r>
  <r>
    <s v="W:\Livres\Informatique\Arduino, Raspberry Pi\Raspberry Pi\Raspberry Pi Hacks (2014) - [O'Reilly] - Ruth Suehle, Tom Callaway.epub"/>
    <x v="6"/>
    <x v="4"/>
    <s v="Ruth Suehle, Tom Callaway"/>
    <s v=""/>
    <s v=".epub"/>
    <n v="71"/>
    <n v="25"/>
    <s v="Raspberry Pi Hacks"/>
  </r>
  <r>
    <s v="W:\Livres\Informatique\Arduino, Raspberry Pi\Raspberry Pi\Raspberry Pi Hacks (2014) - [O'Reilly] - Ruth Suehle, Tom Callaway.pdf"/>
    <x v="6"/>
    <x v="4"/>
    <s v="Ruth Suehle, Tom Callaway"/>
    <s v=""/>
    <s v=".pdf"/>
    <n v="70"/>
    <n v="25"/>
    <s v="Raspberry Pi Hacks"/>
  </r>
  <r>
    <s v="W:\Livres\Informatique\Arduino, Raspberry Pi\Raspberry Pi\Raspberry Pi Hardware Projects Vol. 1 - [Wiley] - Andrew Robinson, Mike Cook.pdf"/>
    <x v="10"/>
    <x v="22"/>
    <s v="Andrew Robinson, Mike Cook"/>
    <s v=""/>
    <s v=".pdf"/>
    <n v="80"/>
    <n v="26"/>
    <s v="Raspberry Pi Hardware Projects Vol. 1"/>
  </r>
  <r>
    <s v="W:\Livres\Informatique\Arduino, Raspberry Pi\Raspberry Pi\Raspberry Pi Hardware Reference (2014) - [Apress] - Warren Gay.pdf"/>
    <x v="6"/>
    <x v="42"/>
    <s v="Warren Gay"/>
    <s v=""/>
    <s v=".pdf"/>
    <n v="66"/>
    <n v="10"/>
    <s v="Raspberry Pi Hardware Reference"/>
  </r>
  <r>
    <s v="W:\Livres\Informatique\Arduino, Raspberry Pi\Raspberry Pi\Raspberry Pi LED Blueprints (2015) - [Packt] - Agus Kurniawan.pdf"/>
    <x v="3"/>
    <x v="14"/>
    <s v="Agus Kurniawan"/>
    <s v=""/>
    <s v=".pdf"/>
    <n v="65"/>
    <n v="14"/>
    <s v="Raspberry Pi LED Blueprints"/>
  </r>
  <r>
    <s v="W:\Livres\Informatique\Arduino, Raspberry Pi\Raspberry Pi\Raspberry Pi Mechatronics Projects (2015) - [Packt] - Sai+Srihari Yamanoor.pdf"/>
    <x v="3"/>
    <x v="14"/>
    <s v="Sai+Srihari Yamanoor"/>
    <s v=""/>
    <s v=".pdf"/>
    <n v="78"/>
    <n v="20"/>
    <s v="Raspberry Pi Mechatronics Projects"/>
  </r>
  <r>
    <s v="W:\Livres\Informatique\Arduino, Raspberry Pi\Raspberry Pi\Raspberry Pi Networking Cookbook (1st ed, 2013) - [Packt] - Rick Golden.pdf"/>
    <x v="5"/>
    <x v="14"/>
    <s v="Rick Golden"/>
    <s v=""/>
    <s v=".pdf"/>
    <n v="75"/>
    <n v="11"/>
    <s v="Raspberry Pi Networking Cookbook"/>
  </r>
  <r>
    <s v="W:\Livres\Informatique\Arduino, Raspberry Pi\Raspberry Pi\Raspberry Pi Networking Cookbook (2nd ed, 2015) - [Packt] - Rick Golden.pdf"/>
    <x v="3"/>
    <x v="14"/>
    <s v="Rick Golden"/>
    <s v=""/>
    <s v=".pdf"/>
    <n v="75"/>
    <n v="11"/>
    <s v="Raspberry Pi Networking Cookbook"/>
  </r>
  <r>
    <s v="W:\Livres\Informatique\Arduino, Raspberry Pi\Raspberry Pi\Raspberry Pi Projects for Kids (1st ed, 2014) - [Packt] - Daniel Bates.pdf"/>
    <x v="6"/>
    <x v="14"/>
    <s v="Daniel Bates"/>
    <s v=""/>
    <s v=".pdf"/>
    <n v="74"/>
    <n v="12"/>
    <s v="Raspberry Pi Projects for Kids"/>
  </r>
  <r>
    <s v="W:\Livres\Informatique\Arduino, Raspberry Pi\Raspberry Pi\Raspberry Pi Projects for Kids (2nd ed, 2015) - [Packt] - Daniel Bates.pdf"/>
    <x v="3"/>
    <x v="14"/>
    <s v="Daniel Bates"/>
    <s v=""/>
    <s v=".pdf"/>
    <n v="74"/>
    <n v="12"/>
    <s v="Raspberry Pi Projects for Kids"/>
  </r>
  <r>
    <s v="W:\Livres\Informatique\Arduino, Raspberry Pi\Raspberry Pi\Raspberry Pi Robotic Blueprints (2015) - [Packt] - Richard Grimmett.pdf"/>
    <x v="3"/>
    <x v="14"/>
    <s v="Richard Grimmett"/>
    <s v=""/>
    <s v=".pdf"/>
    <n v="71"/>
    <n v="16"/>
    <s v="Raspberry Pi Robotic Blueprints"/>
  </r>
  <r>
    <s v="W:\Livres\Informatique\Arduino, Raspberry Pi\Raspberry Pi\Raspberry Pi Robotics Essentials (2015) - [Packt] - Richard Grimmett.pdf"/>
    <x v="3"/>
    <x v="14"/>
    <s v="Richard Grimmett"/>
    <s v=""/>
    <s v=".pdf"/>
    <n v="72"/>
    <n v="16"/>
    <s v="Raspberry Pi Robotics Essentials"/>
  </r>
  <r>
    <s v="W:\Livres\Informatique\Arduino, Raspberry Pi\Raspberry Pi\Raspberry Pi Robotics Projects (2nd ed, 2015) - [Packt] - Richard Grimmett.epub"/>
    <x v="3"/>
    <x v="14"/>
    <s v="Richard Grimmett"/>
    <s v=""/>
    <s v=".epub"/>
    <n v="79"/>
    <n v="16"/>
    <s v="Raspberry Pi Robotics Projects"/>
  </r>
  <r>
    <s v="W:\Livres\Informatique\Arduino, Raspberry Pi\Raspberry Pi\Raspberry Pi Robotics Projects (2014) - [Packt] - Richard Grimmett.pdf"/>
    <x v="6"/>
    <x v="14"/>
    <s v="Richard Grimmett"/>
    <s v=""/>
    <s v=".pdf"/>
    <n v="70"/>
    <n v="16"/>
    <s v="Raspberry Pi Robotics Projects"/>
  </r>
  <r>
    <s v="W:\Livres\Informatique\Arduino, Raspberry Pi\Raspberry Pi\Raspberry Pi Server Essentials (2014) - [Packt] - Piotr J. Kula.epub"/>
    <x v="6"/>
    <x v="14"/>
    <s v="Piotr J. Kula"/>
    <s v=""/>
    <s v=".epub"/>
    <n v="68"/>
    <n v="13"/>
    <s v="Raspberry Pi Server Essentials"/>
  </r>
  <r>
    <s v="W:\Livres\Informatique\Arduino, Raspberry Pi\Raspberry Pi\Raspberry Pi Server Essentials (2014) - [Packt] - Piotr J. Kula.pdf"/>
    <x v="6"/>
    <x v="14"/>
    <s v="Piotr J. Kula"/>
    <s v=""/>
    <s v=".pdf"/>
    <n v="67"/>
    <n v="13"/>
    <s v="Raspberry Pi Server Essentials"/>
  </r>
  <r>
    <s v="W:\Livres\Informatique\Arduino, Raspberry Pi\Raspberry Pi\Raspberry Pi System Software Reference (2014) - [Apress] - Warren Gay.pdf"/>
    <x v="6"/>
    <x v="42"/>
    <s v="Warren Gay"/>
    <s v=""/>
    <s v=".pdf"/>
    <n v="73"/>
    <n v="10"/>
    <s v="Raspberry Pi System Software Reference"/>
  </r>
  <r>
    <s v="W:\Livres\Informatique\Arduino, Raspberry Pi\Raspberry Pi\Raspberry Pi User Guide (2nd ed, 2014) - [Wiley] - Eben Upton, Gareth Halfacree.pdf"/>
    <x v="6"/>
    <x v="22"/>
    <s v="Eben Upton, Gareth Halfacree"/>
    <s v=""/>
    <s v=".pdf"/>
    <n v="83"/>
    <n v="28"/>
    <s v="Raspberry Pi User Guide"/>
  </r>
  <r>
    <s v="W:\Livres\Informatique\Arduino, Raspberry Pi\Raspberry Pi\Raspberry Pi User Guide (2014) - Vilros.pdf"/>
    <x v="6"/>
    <x v="8"/>
    <s v="Vilros"/>
    <s v=""/>
    <s v=".pdf"/>
    <n v="43"/>
    <n v="6"/>
    <s v="Raspberry Pi User Guide"/>
  </r>
  <r>
    <s v="W:\Livres\Informatique\Arduino, Raspberry Pi\Raspberry Pi\Raspberry Pi, A Quick-Start Guide (1st ed, 2012) - [The Pragmatic Programmers] - Maik Schmidt.epub"/>
    <x v="8"/>
    <x v="44"/>
    <s v="Maik Schmidt"/>
    <s v=""/>
    <s v=".epub"/>
    <n v="98"/>
    <n v="12"/>
    <s v="Raspberry Pi, A Quick-Start Guide"/>
  </r>
  <r>
    <s v="W:\Livres\Informatique\Arduino, Raspberry Pi\Raspberry Pi\Raspberry Pi, A Quick-Start Guide (1st ed, 2012) - [The Pragmatic Programmers] - Maik Schmidt.pdf"/>
    <x v="8"/>
    <x v="44"/>
    <s v="Maik Schmidt"/>
    <s v=""/>
    <s v=".pdf"/>
    <n v="97"/>
    <n v="12"/>
    <s v="Raspberry Pi, A Quick-Start Guide"/>
  </r>
  <r>
    <s v="W:\Livres\Informatique\Arduino, Raspberry Pi\Raspberry Pi\Raspberry Pi, A Quick-Start Guide (2nd ed, 2014) - [The Pragmatic Programmers] - Maik Schmidt.epub"/>
    <x v="6"/>
    <x v="44"/>
    <s v="Maik Schmidt"/>
    <s v=""/>
    <s v=".epub"/>
    <n v="98"/>
    <n v="12"/>
    <s v="Raspberry Pi, A Quick-Start Guide"/>
  </r>
  <r>
    <s v="W:\Livres\Informatique\Arduino, Raspberry Pi\Raspberry Pi\Raspberry Pi, A Quick-Start Guide (2nd ed, 2014) - [The Pragmatic Programmers] - Maik Schmidt.pdf"/>
    <x v="6"/>
    <x v="44"/>
    <s v="Maik Schmidt"/>
    <s v=""/>
    <s v=".pdf"/>
    <n v="97"/>
    <n v="12"/>
    <s v="Raspberry Pi, A Quick-Start Guide"/>
  </r>
  <r>
    <s v="W:\Livres\Informatique\Arduino, Raspberry Pi\Raspberry Pi\Raspberry Pi, Prise en main et premières réalisations (2013) - [Dunod] - Christian Tavernier.pdf"/>
    <x v="5"/>
    <x v="2"/>
    <s v="Christian Tavernier"/>
    <s v=""/>
    <s v=".pdf"/>
    <n v="96"/>
    <n v="19"/>
    <s v="Raspberry Pi, Prise en main et premières réalisations"/>
  </r>
  <r>
    <s v="W:\Livres\Informatique\Arduino, Raspberry Pi\Raspberry Pi\Raspberry Pi, The Ultimate Beginner's Guide - Kevin Gray.epub"/>
    <x v="10"/>
    <x v="8"/>
    <s v="Kevin Gray"/>
    <s v=""/>
    <s v=".epub"/>
    <n v="61"/>
    <n v="10"/>
    <s v="Raspberry Pi, The Ultimate Beginner's Guide"/>
  </r>
  <r>
    <s v="W:\Livres\Informatique\Arduino, Raspberry Pi\Raspberry Pi\Raspberry Pi, The Ultimate Beginner's Guide - Kevin Gray.pdf"/>
    <x v="10"/>
    <x v="8"/>
    <s v="Kevin Gray"/>
    <s v=""/>
    <s v=".pdf"/>
    <n v="60"/>
    <n v="10"/>
    <s v="Raspberry Pi, The Ultimate Beginner's Guide"/>
  </r>
  <r>
    <s v="W:\Livres\Informatique\Arduino, Raspberry Pi\Raspberry Pi\Raspberry Pi, The Ultimate User Guide - Patrick Hunter.epub"/>
    <x v="10"/>
    <x v="8"/>
    <s v="Patrick Hunter"/>
    <s v=""/>
    <s v=".epub"/>
    <n v="59"/>
    <n v="14"/>
    <s v="Raspberry Pi, The Ultimate User Guide"/>
  </r>
  <r>
    <s v="W:\Livres\Informatique\Arduino, Raspberry Pi\Raspberry Pi\Raspberry Pi, The Ultimate User Guide - Patrick Hunter.pdf"/>
    <x v="10"/>
    <x v="8"/>
    <s v="Patrick Hunter"/>
    <s v=""/>
    <s v=".pdf"/>
    <n v="58"/>
    <n v="14"/>
    <s v="Raspberry Pi, The Ultimate User Guide"/>
  </r>
  <r>
    <s v="W:\Livres\Informatique\Arduino, Raspberry Pi\Raspberry Pi\Teach Yourself Visually Raspberry Pi (2014) - [Wiley] - Richard Wentk.pdf"/>
    <x v="6"/>
    <x v="22"/>
    <s v="Richard Wentk"/>
    <s v=""/>
    <s v=".pdf"/>
    <n v="73"/>
    <n v="13"/>
    <s v="Teach Yourself Visually Raspberry Pi"/>
  </r>
  <r>
    <s v="W:\Livres\Informatique\Arduino, Raspberry Pi\Raspberry Pi\The Maker's Guide to the Zombie Apocalypse (2016) - [No Starch] - Simon Monk.pdf"/>
    <x v="2"/>
    <x v="15"/>
    <s v="Simon Monk"/>
    <s v=""/>
    <s v=".pdf"/>
    <n v="80"/>
    <n v="10"/>
    <s v="The Maker's Guide to the Zombie Apocalypse"/>
  </r>
  <r>
    <s v="W:\Livres\Informatique\Arduino, Raspberry Pi\Raspberry Pi\Ultimate Guide to Raspberry Pi (2014) - [Magbook] - Kevin Partner.pdf"/>
    <x v="6"/>
    <x v="46"/>
    <s v="Kevin Partner"/>
    <s v=""/>
    <s v=".pdf"/>
    <n v="69"/>
    <n v="13"/>
    <s v="Ultimate Guide to Raspberry Pi"/>
  </r>
  <r>
    <s v="W:\Livres\Informatique\Arduino, Raspberry Pi\Raspberry Pi\Un Media Center dans mon salon avec un Raspberry Pi (2016) - [Mediaforma] - Michel Martin.pdf"/>
    <x v="2"/>
    <x v="47"/>
    <s v="Michel Martin"/>
    <s v=""/>
    <s v=".pdf"/>
    <n v="93"/>
    <n v="13"/>
    <s v="Un Media Center dans mon salon avec un Raspberry Pi"/>
  </r>
  <r>
    <s v="W:\Livres\Informatique\Arduino, Raspberry Pi\Raspberry Pi\Your Unofficial Raspberry Pi Manual {Document} - Christian Cawley.pdf"/>
    <x v="10"/>
    <x v="8"/>
    <s v="Christian Cawley"/>
    <s v="Document"/>
    <s v=".pdf"/>
    <n v="69"/>
    <n v="16"/>
    <s v="Your Unofficial Raspberry Pi Manual"/>
  </r>
  <r>
    <s v="W:\Livres\Informatique\Arduino, Raspberry Pi\Raspberry Pi\Revues divers\Guru Guide - Raspberry Pi Projects 2015.pdf"/>
    <x v="10"/>
    <x v="8"/>
    <s v="Raspberry Pi Projects 2015"/>
    <s v=""/>
    <s v=".pdf"/>
    <n v="43"/>
    <n v="26"/>
    <s v="Guru Guide"/>
  </r>
  <r>
    <s v="W:\Livres\Informatique\Arduino, Raspberry Pi\Raspberry Pi\Revues divers\Linux Journal - 2013-05 - Raspberry Pi.pdf"/>
    <x v="10"/>
    <x v="8"/>
    <s v="$$$ Seg 1 sans ["/>
    <s v=""/>
    <s v=".pdf"/>
    <n v="42"/>
    <n v="16"/>
    <s v="Linux Journal"/>
  </r>
  <r>
    <s v="W:\Livres\Informatique\Arduino, Raspberry Pi\Raspberry Pi\Revues divers\Linux Magazine HS 75 - Raspberry Pi.pdf"/>
    <x v="10"/>
    <x v="8"/>
    <s v="Raspberry Pi"/>
    <s v=""/>
    <s v=".pdf"/>
    <n v="39"/>
    <n v="12"/>
    <s v="Linux Magazine HS 75"/>
  </r>
  <r>
    <s v="W:\Livres\Informatique\Arduino, Raspberry Pi\Raspberry Pi\Revues divers\Linux User &amp; Developer - Practical Raspberry Pi Projects.pdf"/>
    <x v="10"/>
    <x v="8"/>
    <s v="Practical Raspberry Pi Projects"/>
    <s v=""/>
    <s v=".pdf"/>
    <n v="60"/>
    <n v="31"/>
    <s v="Linux User &amp; Developer"/>
  </r>
  <r>
    <s v="W:\Livres\Informatique\Arduino, Raspberry Pi\Raspberry Pi\Revues divers\Linux User &amp; Developer - Raspberry Pi 2.pdf"/>
    <x v="10"/>
    <x v="8"/>
    <s v="Raspberry Pi 2"/>
    <s v=""/>
    <s v=".pdf"/>
    <n v="43"/>
    <n v="14"/>
    <s v="Linux User &amp; Developer"/>
  </r>
  <r>
    <s v="W:\Livres\Informatique\Arduino, Raspberry Pi\Raspberry Pi\Revues divers\Linux User &amp; Developer - Raspberry Pi for Beginners (2nd ed, 2014).pdf"/>
    <x v="10"/>
    <x v="8"/>
    <s v="Raspberry Pi for Beginners (2nd ed, 2014)"/>
    <s v=""/>
    <s v=".pdf"/>
    <n v="70"/>
    <n v="41"/>
    <s v="Linux User &amp; Developer"/>
  </r>
  <r>
    <s v="W:\Livres\Informatique\Arduino, Raspberry Pi\Raspberry Pi\Revues divers\Linux User &amp; Developer - Raspberry Pi for Beginners (6th ed, 2016).pdf"/>
    <x v="10"/>
    <x v="8"/>
    <s v="Raspberry Pi for Beginners (6th ed, 2016)"/>
    <s v=""/>
    <s v=".pdf"/>
    <n v="70"/>
    <n v="41"/>
    <s v="Linux User &amp; Developer"/>
  </r>
  <r>
    <s v="W:\Livres\Informatique\Arduino, Raspberry Pi\Raspberry Pi\Revues divers\Linux User &amp; Developer - Raspberry Pi Tips Tricks Hacks Vol 1 (2nd ed, 2015).pdf"/>
    <x v="10"/>
    <x v="8"/>
    <s v="Raspberry Pi Tips Tricks Hacks Vol 1 (2nd ed, 2015)"/>
    <s v=""/>
    <s v=".pdf"/>
    <n v="80"/>
    <n v="51"/>
    <s v="Linux User &amp; Developer"/>
  </r>
  <r>
    <s v="W:\Livres\Informatique\Arduino, Raspberry Pi\Raspberry Pi\Revues divers\Linux User &amp; Developer - Raspberry Pi, The Complete Manual (5th ed, 2015).pdf"/>
    <x v="10"/>
    <x v="8"/>
    <s v="Raspberry Pi, The Complete Manual (5th ed, 2015)"/>
    <s v=""/>
    <s v=".pdf"/>
    <n v="77"/>
    <n v="48"/>
    <s v="Linux User &amp; Developer"/>
  </r>
  <r>
    <s v="W:\Livres\Informatique\Arduino, Raspberry Pi\Raspberry Pi\Revues divers\Linux User &amp; Developer - Raspberry Pi, The Complete Manual (6th ed, 2016).pdf"/>
    <x v="10"/>
    <x v="8"/>
    <s v="Raspberry Pi, The Complete Manual (6th ed, 2016)"/>
    <s v=""/>
    <s v=".pdf"/>
    <n v="77"/>
    <n v="48"/>
    <s v="Linux User &amp; Developer"/>
  </r>
  <r>
    <s v="W:\Livres\Informatique\Arduino, Raspberry Pi\Raspberry Pi\Revues divers\Linux User &amp; Developer n°164 - Go Wireless! 25 Maker Projects for Raspberry Pi.pdf"/>
    <x v="10"/>
    <x v="8"/>
    <s v="Go Wireless! 25 Maker Projects for Raspberry Pi"/>
    <s v=""/>
    <s v=".pdf"/>
    <n v="82"/>
    <n v="47"/>
    <s v="Linux User &amp; Developer n°164"/>
  </r>
  <r>
    <s v="W:\Livres\Informatique\Arduino, Raspberry Pi\Raspberry Pi\Revues divers\Micro Mart - 2016-03-10 - Raspberry Pi 3.pdf"/>
    <x v="10"/>
    <x v="8"/>
    <s v="$$$ Seg 1 sans ["/>
    <s v=""/>
    <s v=".pdf"/>
    <n v="44"/>
    <n v="16"/>
    <s v="Micro Mart"/>
  </r>
  <r>
    <s v="W:\Livres\Informatique\Arduino, Raspberry Pi\Raspberry Pi\Revues divers\Pc Pro - 2012-10 - Office 2013, The Complete Guide Raspberry Pi.pdf"/>
    <x v="10"/>
    <x v="8"/>
    <s v="$$$ Seg 1 sans ["/>
    <s v=""/>
    <s v=".pdf"/>
    <n v="67"/>
    <n v="16"/>
    <s v="Pc Pro"/>
  </r>
  <r>
    <s v="W:\Livres\Informatique\Arduino, Raspberry Pi\Raspberry Pi\Revues divers\RasPi Magazine - Announcing the Raspberry 2.pdf"/>
    <x v="10"/>
    <x v="8"/>
    <s v="Announcing the Raspberry 2"/>
    <s v=""/>
    <s v=".pdf"/>
    <n v="47"/>
    <n v="26"/>
    <s v="RasPi Magazine"/>
  </r>
  <r>
    <s v="W:\Livres\Informatique\Arduino, Raspberry Pi\Raspberry Pi\Revues divers\RasPi n°1 - 2015-07.pdf"/>
    <x v="10"/>
    <x v="8"/>
    <s v="2015-07"/>
    <s v=""/>
    <s v=".pdf"/>
    <n v="23"/>
    <n v="7"/>
    <s v="RasPi n°1"/>
  </r>
  <r>
    <s v="W:\Livres\Informatique\Arduino, Raspberry Pi\Raspberry Pi\Revues divers\Wired - 2013-07 - How Raspberry Pi Conquered the World.pdf"/>
    <x v="10"/>
    <x v="8"/>
    <s v="$$$ Seg 1 sans ["/>
    <s v=""/>
    <s v=".pdf"/>
    <n v="58"/>
    <n v="16"/>
    <s v="Wired"/>
  </r>
  <r>
    <s v="W:\Livres\Informatique\Arduino, Raspberry Pi\Raspberry Pi\The MagPi\MagPi Education Edition n°02.pdf"/>
    <x v="10"/>
    <x v="8"/>
    <s v="?"/>
    <s v=""/>
    <s v=".pdf"/>
    <n v="32"/>
    <n v="1"/>
    <s v="MagPi Education Edition n°02"/>
  </r>
  <r>
    <s v="W:\Livres\Informatique\Arduino, Raspberry Pi\Raspberry Pi\The MagPi\The MagPi Essentials - Learn to code with Scratch.pdf"/>
    <x v="10"/>
    <x v="8"/>
    <s v="Learn to code with Scratch"/>
    <s v=""/>
    <s v=".pdf"/>
    <n v="53"/>
    <n v="26"/>
    <s v="The MagPi Essentials"/>
  </r>
  <r>
    <s v="W:\Livres\Informatique\Arduino, Raspberry Pi\Raspberry Pi\The MagPi\The MagPi Essentials - Learning to code with C.pdf"/>
    <x v="10"/>
    <x v="8"/>
    <s v="Learning to code with C"/>
    <s v=""/>
    <s v=".pdf"/>
    <n v="50"/>
    <n v="23"/>
    <s v="The MagPi Essentials"/>
  </r>
  <r>
    <s v="W:\Livres\Informatique\Arduino, Raspberry Pi\Raspberry Pi\The MagPi\The MagPi Essentials - Minecraft.pdf"/>
    <x v="10"/>
    <x v="8"/>
    <s v="Minecraft"/>
    <s v=""/>
    <s v=".pdf"/>
    <n v="36"/>
    <n v="9"/>
    <s v="The MagPi Essentials"/>
  </r>
  <r>
    <s v="W:\Livres\Informatique\Arduino, Raspberry Pi\Raspberry Pi\The MagPi\The MagPi Essentials - Python Games.pdf"/>
    <x v="10"/>
    <x v="8"/>
    <s v="Python Games"/>
    <s v=""/>
    <s v=".pdf"/>
    <n v="39"/>
    <n v="12"/>
    <s v="The MagPi Essentials"/>
  </r>
  <r>
    <s v="W:\Livres\Informatique\Arduino, Raspberry Pi\Raspberry Pi\The MagPi\The MagPi Essentials - Sense Hat.pdf"/>
    <x v="10"/>
    <x v="8"/>
    <s v="Sense Hat"/>
    <s v=""/>
    <s v=".pdf"/>
    <n v="36"/>
    <n v="9"/>
    <s v="The MagPi Essentials"/>
  </r>
  <r>
    <s v="W:\Livres\Informatique\Arduino, Raspberry Pi\Raspberry Pi\The MagPi\The MagPi Essentials - Simple Electronics with Gpio Zero.pdf"/>
    <x v="10"/>
    <x v="8"/>
    <s v="Simple Electronics with Gpio Zero"/>
    <s v=""/>
    <s v=".pdf"/>
    <n v="60"/>
    <n v="33"/>
    <s v="The MagPi Essentials"/>
  </r>
  <r>
    <s v="W:\Livres\Informatique\Arduino, Raspberry Pi\Raspberry Pi\The MagPi\The MagPi Essentials - Terminal Guide.pdf"/>
    <x v="10"/>
    <x v="8"/>
    <s v="Terminal Guide"/>
    <s v=""/>
    <s v=".pdf"/>
    <n v="41"/>
    <n v="14"/>
    <s v="The MagPi Essentials"/>
  </r>
  <r>
    <s v="W:\Livres\Informatique\Arduino, Raspberry Pi\Raspberry Pi\The MagPi\The MagPi n°01.pdf"/>
    <x v="10"/>
    <x v="8"/>
    <s v="?"/>
    <s v=""/>
    <s v=".pdf"/>
    <n v="18"/>
    <n v="1"/>
    <s v="The MagPi n°01"/>
  </r>
  <r>
    <s v="W:\Livres\Informatique\Arduino, Raspberry Pi\Raspberry Pi\The MagPi\The MagPi n°02.pdf"/>
    <x v="10"/>
    <x v="8"/>
    <s v="?"/>
    <s v=""/>
    <s v=".pdf"/>
    <n v="18"/>
    <n v="1"/>
    <s v="The MagPi n°02"/>
  </r>
  <r>
    <s v="W:\Livres\Informatique\Arduino, Raspberry Pi\Raspberry Pi\The MagPi\The MagPi n°03.pdf"/>
    <x v="10"/>
    <x v="8"/>
    <s v="?"/>
    <s v=""/>
    <s v=".pdf"/>
    <n v="18"/>
    <n v="1"/>
    <s v="The MagPi n°03"/>
  </r>
  <r>
    <s v="W:\Livres\Informatique\Arduino, Raspberry Pi\Raspberry Pi\The MagPi\The MagPi n°04.pdf"/>
    <x v="10"/>
    <x v="8"/>
    <s v="?"/>
    <s v=""/>
    <s v=".pdf"/>
    <n v="18"/>
    <n v="1"/>
    <s v="The MagPi n°04"/>
  </r>
  <r>
    <s v="W:\Livres\Informatique\Arduino, Raspberry Pi\Raspberry Pi\The MagPi\The MagPi n°05.pdf"/>
    <x v="10"/>
    <x v="8"/>
    <s v="?"/>
    <s v=""/>
    <s v=".pdf"/>
    <n v="18"/>
    <n v="1"/>
    <s v="The MagPi n°05"/>
  </r>
  <r>
    <s v="W:\Livres\Informatique\Arduino, Raspberry Pi\Raspberry Pi\The MagPi\The MagPi n°06.pdf"/>
    <x v="10"/>
    <x v="8"/>
    <s v="?"/>
    <s v=""/>
    <s v=".pdf"/>
    <n v="18"/>
    <n v="1"/>
    <s v="The MagPi n°06"/>
  </r>
  <r>
    <s v="W:\Livres\Informatique\Arduino, Raspberry Pi\Raspberry Pi\The MagPi\The MagPi n°07.pdf"/>
    <x v="10"/>
    <x v="8"/>
    <s v="?"/>
    <s v=""/>
    <s v=".pdf"/>
    <n v="18"/>
    <n v="1"/>
    <s v="The MagPi n°07"/>
  </r>
  <r>
    <s v="W:\Livres\Informatique\Arduino, Raspberry Pi\Raspberry Pi\The MagPi\The MagPi n°08.pdf"/>
    <x v="10"/>
    <x v="8"/>
    <s v="?"/>
    <s v=""/>
    <s v=".pdf"/>
    <n v="18"/>
    <n v="1"/>
    <s v="The MagPi n°08"/>
  </r>
  <r>
    <s v="W:\Livres\Informatique\Arduino, Raspberry Pi\Raspberry Pi\The MagPi\The MagPi n°09.pdf"/>
    <x v="10"/>
    <x v="8"/>
    <s v="?"/>
    <s v=""/>
    <s v=".pdf"/>
    <n v="18"/>
    <n v="1"/>
    <s v="The MagPi n°09"/>
  </r>
  <r>
    <s v="W:\Livres\Informatique\Arduino, Raspberry Pi\Raspberry Pi\The MagPi\The MagPi n°10.pdf"/>
    <x v="10"/>
    <x v="8"/>
    <s v="?"/>
    <s v=""/>
    <s v=".pdf"/>
    <n v="18"/>
    <n v="1"/>
    <s v="The MagPi n°10"/>
  </r>
  <r>
    <s v="W:\Livres\Informatique\Arduino, Raspberry Pi\Raspberry Pi\The MagPi\The MagPi n°11.pdf"/>
    <x v="10"/>
    <x v="8"/>
    <s v="?"/>
    <s v=""/>
    <s v=".pdf"/>
    <n v="18"/>
    <n v="1"/>
    <s v="The MagPi n°11"/>
  </r>
  <r>
    <s v="W:\Livres\Informatique\Arduino, Raspberry Pi\Raspberry Pi\The MagPi\The MagPi n°12.pdf"/>
    <x v="10"/>
    <x v="8"/>
    <s v="?"/>
    <s v=""/>
    <s v=".pdf"/>
    <n v="18"/>
    <n v="1"/>
    <s v="The MagPi n°12"/>
  </r>
  <r>
    <s v="W:\Livres\Informatique\Arduino, Raspberry Pi\Raspberry Pi\The MagPi\The MagPi n°13.pdf"/>
    <x v="10"/>
    <x v="8"/>
    <s v="?"/>
    <s v=""/>
    <s v=".pdf"/>
    <n v="18"/>
    <n v="1"/>
    <s v="The MagPi n°13"/>
  </r>
  <r>
    <s v="W:\Livres\Informatique\Arduino, Raspberry Pi\Raspberry Pi\The MagPi\The MagPi n°14.pdf"/>
    <x v="10"/>
    <x v="8"/>
    <s v="?"/>
    <s v=""/>
    <s v=".pdf"/>
    <n v="18"/>
    <n v="1"/>
    <s v="The MagPi n°14"/>
  </r>
  <r>
    <s v="W:\Livres\Informatique\Arduino, Raspberry Pi\Raspberry Pi\The MagPi\The MagPi n°15.pdf"/>
    <x v="10"/>
    <x v="8"/>
    <s v="?"/>
    <s v=""/>
    <s v=".pdf"/>
    <n v="18"/>
    <n v="1"/>
    <s v="The MagPi n°15"/>
  </r>
  <r>
    <s v="W:\Livres\Informatique\Arduino, Raspberry Pi\Raspberry Pi\The MagPi\The MagPi n°16.pdf"/>
    <x v="10"/>
    <x v="8"/>
    <s v="?"/>
    <s v=""/>
    <s v=".pdf"/>
    <n v="18"/>
    <n v="1"/>
    <s v="The MagPi n°16"/>
  </r>
  <r>
    <s v="W:\Livres\Informatique\Arduino, Raspberry Pi\Raspberry Pi\The MagPi\The MagPi n°17.pdf"/>
    <x v="10"/>
    <x v="8"/>
    <s v="?"/>
    <s v=""/>
    <s v=".pdf"/>
    <n v="18"/>
    <n v="1"/>
    <s v="The MagPi n°17"/>
  </r>
  <r>
    <s v="W:\Livres\Informatique\Arduino, Raspberry Pi\Raspberry Pi\The MagPi\The MagPi n°18.pdf"/>
    <x v="10"/>
    <x v="8"/>
    <s v="?"/>
    <s v=""/>
    <s v=".pdf"/>
    <n v="18"/>
    <n v="1"/>
    <s v="The MagPi n°18"/>
  </r>
  <r>
    <s v="W:\Livres\Informatique\Arduino, Raspberry Pi\Raspberry Pi\The MagPi\The MagPi n°19.pdf"/>
    <x v="10"/>
    <x v="8"/>
    <s v="?"/>
    <s v=""/>
    <s v=".pdf"/>
    <n v="18"/>
    <n v="1"/>
    <s v="The MagPi n°19"/>
  </r>
  <r>
    <s v="W:\Livres\Informatique\Arduino, Raspberry Pi\Raspberry Pi\The MagPi\The MagPi n°20.pdf"/>
    <x v="10"/>
    <x v="8"/>
    <s v="?"/>
    <s v=""/>
    <s v=".pdf"/>
    <n v="18"/>
    <n v="1"/>
    <s v="The MagPi n°20"/>
  </r>
  <r>
    <s v="W:\Livres\Informatique\Arduino, Raspberry Pi\Raspberry Pi\The MagPi\The MagPi n°21.pdf"/>
    <x v="10"/>
    <x v="8"/>
    <s v="?"/>
    <s v=""/>
    <s v=".pdf"/>
    <n v="18"/>
    <n v="1"/>
    <s v="The MagPi n°21"/>
  </r>
  <r>
    <s v="W:\Livres\Informatique\Arduino, Raspberry Pi\Raspberry Pi\The MagPi\The MagPi n°22.pdf"/>
    <x v="10"/>
    <x v="8"/>
    <s v="?"/>
    <s v=""/>
    <s v=".pdf"/>
    <n v="18"/>
    <n v="1"/>
    <s v="The MagPi n°22"/>
  </r>
  <r>
    <s v="W:\Livres\Informatique\Arduino, Raspberry Pi\Raspberry Pi\The MagPi\The MagPi n°23.pdf"/>
    <x v="10"/>
    <x v="8"/>
    <s v="?"/>
    <s v=""/>
    <s v=".pdf"/>
    <n v="18"/>
    <n v="1"/>
    <s v="The MagPi n°23"/>
  </r>
  <r>
    <s v="W:\Livres\Informatique\Arduino, Raspberry Pi\Raspberry Pi\The MagPi\The MagPi n°24.pdf"/>
    <x v="10"/>
    <x v="8"/>
    <s v="?"/>
    <s v=""/>
    <s v=".pdf"/>
    <n v="18"/>
    <n v="1"/>
    <s v="The MagPi n°24"/>
  </r>
  <r>
    <s v="W:\Livres\Informatique\Arduino, Raspberry Pi\Raspberry Pi\The MagPi\The MagPi n°25.pdf"/>
    <x v="10"/>
    <x v="8"/>
    <s v="?"/>
    <s v=""/>
    <s v=".pdf"/>
    <n v="18"/>
    <n v="1"/>
    <s v="The MagPi n°25"/>
  </r>
  <r>
    <s v="W:\Livres\Informatique\Arduino, Raspberry Pi\Raspberry Pi\The MagPi\The MagPi n°26.pdf"/>
    <x v="10"/>
    <x v="8"/>
    <s v="?"/>
    <s v=""/>
    <s v=".pdf"/>
    <n v="18"/>
    <n v="1"/>
    <s v="The MagPi n°26"/>
  </r>
  <r>
    <s v="W:\Livres\Informatique\Arduino, Raspberry Pi\Raspberry Pi\The MagPi\The MagPi n°27.pdf"/>
    <x v="10"/>
    <x v="8"/>
    <s v="?"/>
    <s v=""/>
    <s v=".pdf"/>
    <n v="18"/>
    <n v="1"/>
    <s v="The MagPi n°27"/>
  </r>
  <r>
    <s v="W:\Livres\Informatique\Arduino, Raspberry Pi\Raspberry Pi\The MagPi\The MagPi n°28.pdf"/>
    <x v="10"/>
    <x v="8"/>
    <s v="?"/>
    <s v=""/>
    <s v=".pdf"/>
    <n v="18"/>
    <n v="1"/>
    <s v="The MagPi n°28"/>
  </r>
  <r>
    <s v="W:\Livres\Informatique\Arduino, Raspberry Pi\Raspberry Pi\The MagPi\The MagPi n°29.pdf"/>
    <x v="10"/>
    <x v="8"/>
    <s v="?"/>
    <s v=""/>
    <s v=".pdf"/>
    <n v="18"/>
    <n v="1"/>
    <s v="The MagPi n°29"/>
  </r>
  <r>
    <s v="W:\Livres\Informatique\Arduino, Raspberry Pi\Raspberry Pi\The MagPi\The MagPi n°30.pdf"/>
    <x v="10"/>
    <x v="8"/>
    <s v="?"/>
    <s v=""/>
    <s v=".pdf"/>
    <n v="18"/>
    <n v="1"/>
    <s v="The MagPi n°30"/>
  </r>
  <r>
    <s v="W:\Livres\Informatique\Arduino, Raspberry Pi\Raspberry Pi\The MagPi\The MagPi n°31.pdf"/>
    <x v="10"/>
    <x v="8"/>
    <s v="?"/>
    <s v=""/>
    <s v=".pdf"/>
    <n v="18"/>
    <n v="1"/>
    <s v="The MagPi n°31"/>
  </r>
  <r>
    <s v="W:\Livres\Informatique\Arduino, Raspberry Pi\Raspberry Pi\The MagPi\The MagPi n°31b.pdf"/>
    <x v="10"/>
    <x v="8"/>
    <s v="?"/>
    <s v=""/>
    <s v=".pdf"/>
    <n v="19"/>
    <n v="1"/>
    <s v="The MagPi n°31b"/>
  </r>
  <r>
    <s v="W:\Livres\Informatique\Arduino, Raspberry Pi\Raspberry Pi\The MagPi\The MagPi n°32.pdf"/>
    <x v="10"/>
    <x v="8"/>
    <s v="?"/>
    <s v=""/>
    <s v=".pdf"/>
    <n v="18"/>
    <n v="1"/>
    <s v="The MagPi n°32"/>
  </r>
  <r>
    <s v="W:\Livres\Informatique\Arduino, Raspberry Pi\Raspberry Pi\The MagPi\The MagPi n°33.pdf"/>
    <x v="10"/>
    <x v="8"/>
    <s v="?"/>
    <s v=""/>
    <s v=".pdf"/>
    <n v="18"/>
    <n v="1"/>
    <s v="The MagPi n°33"/>
  </r>
  <r>
    <s v="W:\Livres\Informatique\Arduino, Raspberry Pi\Raspberry Pi\The MagPi\The MagPi n°34.pdf"/>
    <x v="10"/>
    <x v="8"/>
    <s v="?"/>
    <s v=""/>
    <s v=".pdf"/>
    <n v="18"/>
    <n v="1"/>
    <s v="The MagPi n°34"/>
  </r>
  <r>
    <s v="W:\Livres\Informatique\Arduino, Raspberry Pi\Raspberry Pi\The MagPi\The MagPi n°35.pdf"/>
    <x v="10"/>
    <x v="8"/>
    <s v="?"/>
    <s v=""/>
    <s v=".pdf"/>
    <n v="18"/>
    <n v="1"/>
    <s v="The MagPi n°35"/>
  </r>
  <r>
    <s v="W:\Livres\Informatique\Arduino, Raspberry Pi\Raspberry Pi\The MagPi\The MagPi n°36.pdf"/>
    <x v="10"/>
    <x v="8"/>
    <s v="?"/>
    <s v=""/>
    <s v=".pdf"/>
    <n v="18"/>
    <n v="1"/>
    <s v="The MagPi n°36"/>
  </r>
  <r>
    <s v="W:\Livres\Informatique\Arduino, Raspberry Pi\Raspberry Pi\The MagPi\The MagPi n°37.pdf"/>
    <x v="10"/>
    <x v="8"/>
    <s v="?"/>
    <s v=""/>
    <s v=".pdf"/>
    <n v="18"/>
    <n v="1"/>
    <s v="The MagPi n°37"/>
  </r>
  <r>
    <s v="W:\Livres\Informatique\Arduino, Raspberry Pi\Raspberry Pi\The MagPi\The MagPi n°38.pdf"/>
    <x v="10"/>
    <x v="8"/>
    <s v="?"/>
    <s v=""/>
    <s v=".pdf"/>
    <n v="18"/>
    <n v="1"/>
    <s v="The MagPi n°38"/>
  </r>
  <r>
    <s v="W:\Livres\Informatique\Arduino, Raspberry Pi\Raspberry Pi\The MagPi\The MagPi n°39.pdf"/>
    <x v="10"/>
    <x v="8"/>
    <s v="?"/>
    <s v=""/>
    <s v=".pdf"/>
    <n v="18"/>
    <n v="1"/>
    <s v="The MagPi n°39"/>
  </r>
  <r>
    <s v="W:\Livres\Informatique\Arduino, Raspberry Pi\Raspberry Pi\The MagPi\The MagPi n°40.pdf"/>
    <x v="10"/>
    <x v="8"/>
    <s v="?"/>
    <s v=""/>
    <s v=".pdf"/>
    <n v="18"/>
    <n v="1"/>
    <s v="The MagPi n°40"/>
  </r>
  <r>
    <s v="W:\Livres\Informatique\Arduino, Raspberry Pi\Raspberry Pi\The MagPi\The MagPi n°41.pdf"/>
    <x v="10"/>
    <x v="8"/>
    <s v="?"/>
    <s v=""/>
    <s v=".pdf"/>
    <n v="18"/>
    <n v="1"/>
    <s v="The MagPi n°41"/>
  </r>
  <r>
    <s v="W:\Livres\Informatique\Arduino, Raspberry Pi\Raspberry Pi\The MagPi\The MagPi n°42.pdf"/>
    <x v="10"/>
    <x v="8"/>
    <s v="?"/>
    <s v=""/>
    <s v=".pdf"/>
    <n v="18"/>
    <n v="1"/>
    <s v="The MagPi n°42"/>
  </r>
  <r>
    <s v="W:\Livres\Informatique\Arduino, Raspberry Pi\Raspberry Pi\The MagPi\The MagPi n°43.pdf"/>
    <x v="10"/>
    <x v="8"/>
    <s v="?"/>
    <s v=""/>
    <s v=".pdf"/>
    <n v="18"/>
    <n v="1"/>
    <s v="The MagPi n°43"/>
  </r>
  <r>
    <s v="W:\Livres\Informatique\Arduino, Raspberry Pi\Raspberry Pi\The MagPi\The MagPi n°44.pdf"/>
    <x v="10"/>
    <x v="8"/>
    <s v="?"/>
    <s v=""/>
    <s v=".pdf"/>
    <n v="18"/>
    <n v="1"/>
    <s v="The MagPi n°44"/>
  </r>
  <r>
    <s v="W:\Livres\Informatique\Arduino, Raspberry Pi\Raspberry Pi\The MagPi\The MagPi n°45.pdf"/>
    <x v="10"/>
    <x v="8"/>
    <s v="?"/>
    <s v=""/>
    <s v=".pdf"/>
    <n v="18"/>
    <n v="1"/>
    <s v="The MagPi n°45"/>
  </r>
  <r>
    <s v="W:\Livres\Informatique\Arduino, Raspberry Pi\Raspberry Pi\The MagPi\The MagPi n°46.pdf"/>
    <x v="10"/>
    <x v="8"/>
    <s v="?"/>
    <s v=""/>
    <s v=".pdf"/>
    <n v="18"/>
    <n v="1"/>
    <s v="The MagPi n°46"/>
  </r>
  <r>
    <s v="W:\Livres\Informatique\Arduino, Raspberry Pi\Raspberry Pi\The MagPi\The MagPi n°47.pdf"/>
    <x v="10"/>
    <x v="8"/>
    <s v="?"/>
    <s v=""/>
    <s v=".pdf"/>
    <n v="18"/>
    <n v="1"/>
    <s v="The MagPi n°47"/>
  </r>
  <r>
    <s v="W:\Livres\Informatique\Arduino, Raspberry Pi\Raspberry Pi\The MagPi\The MagPi n°48.pdf"/>
    <x v="10"/>
    <x v="8"/>
    <s v="?"/>
    <s v=""/>
    <s v=".pdf"/>
    <n v="18"/>
    <n v="1"/>
    <s v="The MagPi n°48"/>
  </r>
  <r>
    <s v="W:\Livres\Informatique\Arduino, Raspberry Pi\Raspberry Pi\The MagPi\The MagPi n°49.pdf"/>
    <x v="10"/>
    <x v="8"/>
    <s v="?"/>
    <s v=""/>
    <s v=".pdf"/>
    <n v="18"/>
    <n v="1"/>
    <s v="The MagPi n°49"/>
  </r>
  <r>
    <s v="W:\Livres\Informatique\Arduino, Raspberry Pi\Raspberry Pi\The MagPi\The MagPi n°50.pdf"/>
    <x v="10"/>
    <x v="8"/>
    <s v="?"/>
    <s v=""/>
    <s v=".pdf"/>
    <n v="18"/>
    <n v="1"/>
    <s v="The MagPi n°50"/>
  </r>
  <r>
    <s v="W:\Livres\Informatique\Arduino, Raspberry Pi\Raspberry Pi\The MagPi\The MagPi n°51.pdf"/>
    <x v="10"/>
    <x v="8"/>
    <s v="?"/>
    <s v=""/>
    <s v=".pdf"/>
    <n v="18"/>
    <n v="1"/>
    <s v="The MagPi n°51"/>
  </r>
  <r>
    <s v="W:\Livres\Informatique\Arduino, Raspberry Pi\Raspberry Pi\The MagPi\The MagPi SE1.pdf"/>
    <x v="10"/>
    <x v="8"/>
    <s v="?"/>
    <s v=""/>
    <s v=".pdf"/>
    <n v="17"/>
    <n v="1"/>
    <s v="The MagPi SE1"/>
  </r>
  <r>
    <s v="W:\Livres\Informatique\Arduino, Raspberry Pi\Raspberry Pi\The MagPi\The Official Raspberry Pi Projects Book.pdf"/>
    <x v="10"/>
    <x v="8"/>
    <s v="?"/>
    <s v=""/>
    <s v=".pdf"/>
    <n v="43"/>
    <n v="1"/>
    <s v="The Official Raspberry Pi Projects Book"/>
  </r>
  <r>
    <s v="W:\Livres\Informatique\Bases de données, SQL\Bases de données orientées graphes avec Neo4j (2016) - [Eyrolles] - Benhenni, Bois.pdf"/>
    <x v="2"/>
    <x v="6"/>
    <s v="Benhenni, Bois"/>
    <s v=""/>
    <s v=".pdf"/>
    <n v="86"/>
    <n v="14"/>
    <s v="Bases de données orientées graphes avec Neo4j"/>
  </r>
  <r>
    <s v="W:\Livres\Informatique\Bases de données, SQL\Beginning Database Design (2nd ed, 2012) - [Apress] - Clare Churcher.pdf"/>
    <x v="8"/>
    <x v="42"/>
    <s v="Clare Churcher"/>
    <s v=""/>
    <s v=".pdf"/>
    <n v="72"/>
    <n v="14"/>
    <s v="Beginning Database Design"/>
  </r>
  <r>
    <s v="W:\Livres\Informatique\Bases de données, SQL\Beginning SQL (2005) - [Wiley] - Paul Wilton, John W. Colby.pdf"/>
    <x v="1"/>
    <x v="22"/>
    <s v="Paul Wilton, John W. Colby"/>
    <s v=""/>
    <s v=".pdf"/>
    <n v="63"/>
    <n v="26"/>
    <s v="Beginning SQL"/>
  </r>
  <r>
    <s v="W:\Livres\Informatique\Bases de données, SQL\Beginning SQL Queries, From Novice to Professional (2nd ed, 2016) - [Apress] - Clare Churcher.pdf"/>
    <x v="2"/>
    <x v="42"/>
    <s v="Clare Churcher"/>
    <s v=""/>
    <s v=".pdf"/>
    <n v="97"/>
    <n v="14"/>
    <s v="Beginning SQL Queries, From Novice to Professional"/>
  </r>
  <r>
    <s v="W:\Livres\Informatique\Bases de données, SQL\Database Programming with JDBC and Java (2nd ed, 2001) {Dump} - [O'Reilly] - George Reese.pdf"/>
    <x v="15"/>
    <x v="4"/>
    <s v="George Reese"/>
    <s v="Dump"/>
    <s v=".pdf"/>
    <n v="93"/>
    <n v="12"/>
    <s v="Database Programming with JDBC and Java"/>
  </r>
  <r>
    <s v="W:\Livres\Informatique\Bases de données, SQL\Introduction pratique aux bases de données relationnelles (2è ed, 2006) - [Springer] - A. Meier.pdf"/>
    <x v="17"/>
    <x v="9"/>
    <s v="A. Meier"/>
    <s v=""/>
    <s v=".pdf"/>
    <n v="99"/>
    <n v="8"/>
    <s v="Introduction pratique aux bases de données relationnelles"/>
  </r>
  <r>
    <s v="W:\Livres\Informatique\Bases de données, SQL\Les bases de données NoSQL et le BigData, Comprendre et mettre en oeuvre (2è ed, 2013) - [Eyrolles] - Rudi Bruchez.pdf"/>
    <x v="5"/>
    <x v="6"/>
    <s v="Rudi Bruchez"/>
    <s v=""/>
    <s v=".pdf"/>
    <n v="118"/>
    <n v="12"/>
    <s v="Les bases de données NoSQL et le BigData, Comprendre et mettre en oeuvre"/>
  </r>
  <r>
    <s v="W:\Livres\Informatique\Bases de données, SQL\Programming Entity Framework, Code First (2012) - [O'Reilly] - Julia Lerman, Rowan Miller.pdf"/>
    <x v="8"/>
    <x v="4"/>
    <s v="Julia Lerman, Rowan Miller"/>
    <s v=""/>
    <s v=".pdf"/>
    <n v="93"/>
    <n v="26"/>
    <s v="Programming Entity Framework, Code First"/>
  </r>
  <r>
    <s v="W:\Livres\Informatique\Bases de données, SQL\Programming Entity Framework, DbContext (2012) - [O'Reilly] - Julia Lerman and Rowan Miller.pdf"/>
    <x v="8"/>
    <x v="4"/>
    <s v="Julia Lerman and Rowan Miller"/>
    <s v=""/>
    <s v=".pdf"/>
    <n v="95"/>
    <n v="29"/>
    <s v="Programming Entity Framework, DbContext"/>
  </r>
  <r>
    <s v="W:\Livres\Informatique\Bases de données, SQL\Microsoft SQL Server\Best Practices for Virtualizing and Managing SQL Server 2012 (2013) - [Microsoft].pdf"/>
    <x v="5"/>
    <x v="48"/>
    <s v="?"/>
    <s v=""/>
    <s v=".pdf"/>
    <n v="85"/>
    <n v="1"/>
    <s v="Best Practices for Virtualizing and Managing SQL Server 2012"/>
  </r>
  <r>
    <s v="W:\Livres\Informatique\Bases de données, SQL\Microsoft SQL Server\Expert SQL Server 2008 Development (2009) - [Apress] - Alastair Aitchison, Adam Machanic.pdf"/>
    <x v="4"/>
    <x v="42"/>
    <s v="Alastair Aitchison, Adam Machanic"/>
    <s v=""/>
    <s v=".pdf"/>
    <n v="92"/>
    <n v="33"/>
    <s v="Expert SQL Server 2008 Development"/>
  </r>
  <r>
    <s v="W:\Livres\Informatique\Bases de données, SQL\Microsoft SQL Server\Extracting and Loading SharePoint Data in SQL Server Integration Services (2012) - [Microsoft].epub"/>
    <x v="8"/>
    <x v="48"/>
    <s v="?"/>
    <s v=""/>
    <s v=".epub"/>
    <n v="99"/>
    <n v="1"/>
    <s v="Extracting and Loading SharePoint Data in SQL Server Integration Services"/>
  </r>
  <r>
    <s v="W:\Livres\Informatique\Bases de données, SQL\Microsoft SQL Server\Extracting and Loading SharePoint Data in SQL Server Integration Services (2012) - [Microsoft].pdf"/>
    <x v="8"/>
    <x v="48"/>
    <s v="?"/>
    <s v=""/>
    <s v=".pdf"/>
    <n v="98"/>
    <n v="1"/>
    <s v="Extracting and Loading SharePoint Data in SQL Server Integration Services"/>
  </r>
  <r>
    <s v="W:\Livres\Informatique\Bases de données, SQL\Microsoft SQL Server\Introducing SQL Server 2008 R2 (2010) - [Microsoft] - Ross Mistry, Stacia Misner.epub"/>
    <x v="14"/>
    <x v="48"/>
    <s v="Ross Mistry, Stacia Misner"/>
    <s v=""/>
    <s v=".epub"/>
    <n v="85"/>
    <n v="26"/>
    <s v="Introducing SQL Server 2008 R2"/>
  </r>
  <r>
    <s v="W:\Livres\Informatique\Bases de données, SQL\Microsoft SQL Server\Introducing SQL Server 2008 R2 (2010) - [Microsoft] - Ross Mistry, Stacia Misner.pdf"/>
    <x v="14"/>
    <x v="48"/>
    <s v="Ross Mistry, Stacia Misner"/>
    <s v=""/>
    <s v=".pdf"/>
    <n v="84"/>
    <n v="26"/>
    <s v="Introducing SQL Server 2008 R2"/>
  </r>
  <r>
    <s v="W:\Livres\Informatique\Bases de données, SQL\Microsoft SQL Server\Introducing SQL Server 2012 - [Microsoft] - Mistry, Misner.epub"/>
    <x v="10"/>
    <x v="48"/>
    <s v="Mistry, Misner"/>
    <s v=""/>
    <s v=".epub"/>
    <n v="63"/>
    <n v="14"/>
    <s v="Introducing SQL Server 2012"/>
  </r>
  <r>
    <s v="W:\Livres\Informatique\Bases de données, SQL\Microsoft SQL Server\Introducing SQL Server 2012 - [Microsoft] - Mistry, Misner.pdf"/>
    <x v="10"/>
    <x v="48"/>
    <s v="Mistry, Misner"/>
    <s v=""/>
    <s v=".pdf"/>
    <n v="62"/>
    <n v="14"/>
    <s v="Introducing SQL Server 2012"/>
  </r>
  <r>
    <s v="W:\Livres\Informatique\Bases de données, SQL\Microsoft SQL Server\Introducing SQL Server 2014 - [Microsoft] - Mistry, Misner.epub"/>
    <x v="10"/>
    <x v="48"/>
    <s v="Mistry, Misner"/>
    <s v=""/>
    <s v=".epub"/>
    <n v="63"/>
    <n v="14"/>
    <s v="Introducing SQL Server 2014"/>
  </r>
  <r>
    <s v="W:\Livres\Informatique\Bases de données, SQL\Microsoft SQL Server\Introducing SQL Server 2014 - [Microsoft] - Mistry, Misner.pdf"/>
    <x v="10"/>
    <x v="48"/>
    <s v="Mistry, Misner"/>
    <s v=""/>
    <s v=".pdf"/>
    <n v="62"/>
    <n v="14"/>
    <s v="Introducing SQL Server 2014"/>
  </r>
  <r>
    <s v="W:\Livres\Informatique\Bases de données, SQL\Microsoft SQL Server\Introducing SQL Server 2016 Preview 2 - [Microsoft] - Varga, Cherry, D'Antoni.epub"/>
    <x v="10"/>
    <x v="48"/>
    <s v="Varga, Cherry, D'Antoni"/>
    <s v=""/>
    <s v=".epub"/>
    <n v="82"/>
    <n v="23"/>
    <s v="Introducing SQL Server 2016 Preview 2"/>
  </r>
  <r>
    <s v="W:\Livres\Informatique\Bases de données, SQL\Microsoft SQL Server\Introducing SQL Server 2016 Preview 2 - [Microsoft] - Varga, Cherry, D'Antoni.pdf"/>
    <x v="10"/>
    <x v="48"/>
    <s v="Varga, Cherry, D'Antoni"/>
    <s v=""/>
    <s v=".pdf"/>
    <n v="81"/>
    <n v="23"/>
    <s v="Introducing SQL Server 2016 Preview 2"/>
  </r>
  <r>
    <s v="W:\Livres\Informatique\Bases de données, SQL\Microsoft SQL Server\Murach's SQL Server 2016 for Developers (2016) - Suverson, Murach.pdf"/>
    <x v="2"/>
    <x v="8"/>
    <s v="Suverson, Murach"/>
    <s v=""/>
    <s v=".pdf"/>
    <n v="69"/>
    <n v="16"/>
    <s v="Murach's SQL Server 2016 for Developers"/>
  </r>
  <r>
    <s v="W:\Livres\Informatique\Bases de données, SQL\Microsoft SQL Server\Refactoring SQL Applications (2008) - [O'Reilly] - Stéphane Faroult.pdf"/>
    <x v="13"/>
    <x v="4"/>
    <s v="Stéphane Faroult"/>
    <s v=""/>
    <s v=".pdf"/>
    <n v="71"/>
    <n v="16"/>
    <s v="Refactoring SQL Applications"/>
  </r>
  <r>
    <s v="W:\Livres\Informatique\Bases de données, SQL\Microsoft SQL Server\SQL Server 2008 Internals (2009) - [Microsoft Press] - Kalen Delaney.pdf"/>
    <x v="4"/>
    <x v="13"/>
    <s v="Kalen Delaney"/>
    <s v=""/>
    <s v=".pdf"/>
    <n v="72"/>
    <n v="13"/>
    <s v="SQL Server 2008 Internals"/>
  </r>
  <r>
    <s v="W:\Livres\Informatique\Bases de données, SQL\Microsoft SQL Server\SQL Server 2012 Tutorials, Analysis Services Data Mining (2012) - [Microsoft].epub"/>
    <x v="8"/>
    <x v="48"/>
    <s v="?"/>
    <s v=""/>
    <s v=".epub"/>
    <n v="82"/>
    <n v="1"/>
    <s v="SQL Server 2012 Tutorials, Analysis Services Data Mining"/>
  </r>
  <r>
    <s v="W:\Livres\Informatique\Bases de données, SQL\Microsoft SQL Server\SQL Server 2012 Tutorials, Analysis Services Data Mining (2012) - [Microsoft].pdf"/>
    <x v="8"/>
    <x v="48"/>
    <s v="?"/>
    <s v=""/>
    <s v=".pdf"/>
    <n v="81"/>
    <n v="1"/>
    <s v="SQL Server 2012 Tutorials, Analysis Services Data Mining"/>
  </r>
  <r>
    <s v="W:\Livres\Informatique\Bases de données, SQL\Microsoft SQL Server\SQL Server 2012 Tutorials, Analysis Services Multidimensional Modeling (2012) - [Microsoft].epub"/>
    <x v="8"/>
    <x v="48"/>
    <s v="?"/>
    <s v=""/>
    <s v=".epub"/>
    <n v="96"/>
    <n v="1"/>
    <s v="SQL Server 2012 Tutorials, Analysis Services Multidimensional Modeling"/>
  </r>
  <r>
    <s v="W:\Livres\Informatique\Bases de données, SQL\Microsoft SQL Server\SQL Server 2012 Tutorials, Analysis Services Multidimensional Modeling (2012) - [Microsoft].pdf"/>
    <x v="8"/>
    <x v="48"/>
    <s v="?"/>
    <s v=""/>
    <s v=".pdf"/>
    <n v="95"/>
    <n v="1"/>
    <s v="SQL Server 2012 Tutorials, Analysis Services Multidimensional Modeling"/>
  </r>
  <r>
    <s v="W:\Livres\Informatique\Bases de données, SQL\Microsoft SQL Server\SQL Server 2012 Tutorials, Analysis Services Tabular Modeling (2012) - [Microsoft].epub"/>
    <x v="8"/>
    <x v="48"/>
    <s v="?"/>
    <s v=""/>
    <s v=".epub"/>
    <n v="87"/>
    <n v="1"/>
    <s v="SQL Server 2012 Tutorials, Analysis Services Tabular Modeling"/>
  </r>
  <r>
    <s v="W:\Livres\Informatique\Bases de données, SQL\Microsoft SQL Server\SQL Server 2012 Tutorials, Analysis Services Tabular Modeling (2012) - [Microsoft].pdf"/>
    <x v="8"/>
    <x v="48"/>
    <s v="?"/>
    <s v=""/>
    <s v=".pdf"/>
    <n v="86"/>
    <n v="1"/>
    <s v="SQL Server 2012 Tutorials, Analysis Services Tabular Modeling"/>
  </r>
  <r>
    <s v="W:\Livres\Informatique\Bases de données, SQL\Microsoft SQL Server\SQL Server 2012 Tutorials, Reporting Services (2012) - [Microsoft].epub"/>
    <x v="8"/>
    <x v="48"/>
    <s v="?"/>
    <s v=""/>
    <s v=".epub"/>
    <n v="71"/>
    <n v="1"/>
    <s v="SQL Server 2012 Tutorials, Reporting Services"/>
  </r>
  <r>
    <s v="W:\Livres\Informatique\Bases de données, SQL\Microsoft SQL Server\SQL Server 2012 Tutorials, Reporting Services (2012) - [Microsoft].pdf"/>
    <x v="8"/>
    <x v="48"/>
    <s v="?"/>
    <s v=""/>
    <s v=".pdf"/>
    <n v="70"/>
    <n v="1"/>
    <s v="SQL Server 2012 Tutorials, Reporting Services"/>
  </r>
  <r>
    <s v="W:\Livres\Informatique\Bases de données, SQL\Microsoft SQL Server\SQL Server 2012 Tutorials, Writing Transact SQL Statements (2012) - [Microsoft].epub"/>
    <x v="8"/>
    <x v="48"/>
    <s v="?"/>
    <s v=""/>
    <s v=".epub"/>
    <n v="84"/>
    <n v="1"/>
    <s v="SQL Server 2012 Tutorials, Writing Transact SQL Statements"/>
  </r>
  <r>
    <s v="W:\Livres\Informatique\Bases de données, SQL\Microsoft SQL Server\SQL Server 2012 Tutorials, Writing Transact SQL Statements (2012) - [Microsoft].pdf"/>
    <x v="8"/>
    <x v="48"/>
    <s v="?"/>
    <s v=""/>
    <s v=".pdf"/>
    <n v="83"/>
    <n v="1"/>
    <s v="SQL Server 2012 Tutorials, Writing Transact SQL Statements"/>
  </r>
  <r>
    <s v="W:\Livres\Informatique\Bases de données, SQL\Microsoft SQL Server\SQL Server 2012 Upgrade Technical Guide (2010) {White Paper} - [Microsoft].epub"/>
    <x v="14"/>
    <x v="48"/>
    <s v="?"/>
    <s v="White Paper"/>
    <s v=".epub"/>
    <n v="79"/>
    <n v="1"/>
    <s v="SQL Server 2012 Upgrade Technical Guide"/>
  </r>
  <r>
    <s v="W:\Livres\Informatique\Bases de données, SQL\Microsoft SQL Server\SQL Server 2012 Upgrade Technical Guide (2010) {White Paper} - [Microsoft].pdf"/>
    <x v="14"/>
    <x v="48"/>
    <s v="?"/>
    <s v="White Paper"/>
    <s v=".pdf"/>
    <n v="78"/>
    <n v="1"/>
    <s v="SQL Server 2012 Upgrade Technical Guide"/>
  </r>
  <r>
    <s v="W:\Livres\Informatique\Bases de données, SQL\Microsoft SQL Server\SQL Server 2012, 5 Tips for a Smooth SSIS Upgrade to SQL Server 2012 (2012) - [Microsoft].epub"/>
    <x v="8"/>
    <x v="48"/>
    <s v="?"/>
    <s v=""/>
    <s v=".epub"/>
    <n v="94"/>
    <n v="1"/>
    <s v="SQL Server 2012, 5 Tips for a Smooth SSIS Upgrade to SQL Server 2012"/>
  </r>
  <r>
    <s v="W:\Livres\Informatique\Bases de données, SQL\Microsoft SQL Server\SQL Server 2012, 5 Tips for a Smooth SSIS Upgrade to SQL Server 2012 (2012) - [Microsoft].pdf"/>
    <x v="8"/>
    <x v="48"/>
    <s v="?"/>
    <s v=""/>
    <s v=".pdf"/>
    <n v="93"/>
    <n v="1"/>
    <s v="SQL Server 2012, 5 Tips for a Smooth SSIS Upgrade to SQL Server 2012"/>
  </r>
  <r>
    <s v="W:\Livres\Informatique\Bases de données, SQL\Microsoft SQL Server\SQL Server 2012, AlwaysOn Solutions Guide for High Availability and Disaster Recovery (2012) - [Microsoft] - Leroy Tuttle.epub"/>
    <x v="8"/>
    <x v="48"/>
    <s v="Leroy Tuttle"/>
    <s v=""/>
    <s v=".epub"/>
    <n v="126"/>
    <n v="12"/>
    <s v="SQL Server 2012, AlwaysOn Solutions Guide for High Availability and Disaster Recovery"/>
  </r>
  <r>
    <s v="W:\Livres\Informatique\Bases de données, SQL\Microsoft SQL Server\SQL Server 2012, AlwaysOn Solutions Guide for High Availability and Disaster Recovery (2012) - [Microsoft] - Leroy Tuttle.pdf"/>
    <x v="8"/>
    <x v="48"/>
    <s v="Leroy Tuttle"/>
    <s v=""/>
    <s v=".pdf"/>
    <n v="125"/>
    <n v="12"/>
    <s v="SQL Server 2012, AlwaysOn Solutions Guide for High Availability and Disaster Recovery"/>
  </r>
  <r>
    <s v="W:\Livres\Informatique\Bases de données, SQL\Microsoft SQL Server\SQL Server 2012, Backup and Restore of SQL Server Databases - [Microsoft].epub"/>
    <x v="10"/>
    <x v="48"/>
    <s v="?"/>
    <s v=""/>
    <s v=".epub"/>
    <n v="78"/>
    <n v="1"/>
    <s v="SQL Server 2012, Backup and Restore of SQL Server Databases"/>
  </r>
  <r>
    <s v="W:\Livres\Informatique\Bases de données, SQL\Microsoft SQL Server\SQL Server 2012, Backup and Restore of SQL Server Databases - [Microsoft].pdf"/>
    <x v="10"/>
    <x v="48"/>
    <s v="?"/>
    <s v=""/>
    <s v=".pdf"/>
    <n v="77"/>
    <n v="1"/>
    <s v="SQL Server 2012, Backup and Restore of SQL Server Databases"/>
  </r>
  <r>
    <s v="W:\Livres\Informatique\Bases de données, SQL\Microsoft SQL Server\SQL Server 2012, Data Analysis Expressions DAX Reference (2012) - [Microsoft].epub"/>
    <x v="8"/>
    <x v="48"/>
    <s v="?"/>
    <s v=""/>
    <s v=".epub"/>
    <n v="82"/>
    <n v="1"/>
    <s v="SQL Server 2012, Data Analysis Expressions DAX Reference"/>
  </r>
  <r>
    <s v="W:\Livres\Informatique\Bases de données, SQL\Microsoft SQL Server\SQL Server 2012, Data Analysis Expressions DAX Reference (2012) - [Microsoft].pdf"/>
    <x v="8"/>
    <x v="48"/>
    <s v="?"/>
    <s v=""/>
    <s v=".pdf"/>
    <n v="81"/>
    <n v="1"/>
    <s v="SQL Server 2012, Data Analysis Expressions DAX Reference"/>
  </r>
  <r>
    <s v="W:\Livres\Informatique\Bases de données, SQL\Microsoft SQL Server\SQL Server 2012, Data Mining Extensions DMX Reference (2012) - [Microsoft].epub"/>
    <x v="8"/>
    <x v="48"/>
    <s v="?"/>
    <s v=""/>
    <s v=".epub"/>
    <n v="79"/>
    <n v="1"/>
    <s v="SQL Server 2012, Data Mining Extensions DMX Reference"/>
  </r>
  <r>
    <s v="W:\Livres\Informatique\Bases de données, SQL\Microsoft SQL Server\SQL Server 2012, Data Mining Extensions DMX Reference (2012) - [Microsoft].pdf"/>
    <x v="8"/>
    <x v="48"/>
    <s v="?"/>
    <s v=""/>
    <s v=".pdf"/>
    <n v="78"/>
    <n v="1"/>
    <s v="SQL Server 2012, Data Mining Extensions DMX Reference"/>
  </r>
  <r>
    <s v="W:\Livres\Informatique\Bases de données, SQL\Microsoft SQL Server\SQL Server 2012, Data Quality Services (2012) - [Microsoft].epub"/>
    <x v="8"/>
    <x v="48"/>
    <s v="?"/>
    <s v=""/>
    <s v=".epub"/>
    <n v="64"/>
    <n v="1"/>
    <s v="SQL Server 2012, Data Quality Services"/>
  </r>
  <r>
    <s v="W:\Livres\Informatique\Bases de données, SQL\Microsoft SQL Server\SQL Server 2012, Data Quality Services (2012) - [Microsoft].pdf"/>
    <x v="8"/>
    <x v="48"/>
    <s v="?"/>
    <s v=""/>
    <s v=".pdf"/>
    <n v="63"/>
    <n v="1"/>
    <s v="SQL Server 2012, Data Quality Services"/>
  </r>
  <r>
    <s v="W:\Livres\Informatique\Bases de données, SQL\Microsoft SQL Server\SQL Server 2012, Distributed Replay - [Microsoft].epub"/>
    <x v="10"/>
    <x v="48"/>
    <s v="?"/>
    <s v=""/>
    <s v=".epub"/>
    <n v="54"/>
    <n v="1"/>
    <s v="SQL Server 2012, Distributed Replay"/>
  </r>
  <r>
    <s v="W:\Livres\Informatique\Bases de données, SQL\Microsoft SQL Server\SQL Server 2012, Distributed Replay - [Microsoft].pdf"/>
    <x v="10"/>
    <x v="48"/>
    <s v="?"/>
    <s v=""/>
    <s v=".pdf"/>
    <n v="53"/>
    <n v="1"/>
    <s v="SQL Server 2012, Distributed Replay"/>
  </r>
  <r>
    <s v="W:\Livres\Informatique\Bases de données, SQL\Microsoft SQL Server\SQL Server 2012, High Availability Solutions (2012) - [Microsoft].epub"/>
    <x v="8"/>
    <x v="48"/>
    <s v="?"/>
    <s v=""/>
    <s v=".epub"/>
    <n v="70"/>
    <n v="1"/>
    <s v="SQL Server 2012, High Availability Solutions"/>
  </r>
  <r>
    <s v="W:\Livres\Informatique\Bases de données, SQL\Microsoft SQL Server\SQL Server 2012, High Availability Solutions (2012) - [Microsoft].pdf"/>
    <x v="8"/>
    <x v="48"/>
    <s v="?"/>
    <s v=""/>
    <s v=".pdf"/>
    <n v="69"/>
    <n v="1"/>
    <s v="SQL Server 2012, High Availability Solutions"/>
  </r>
  <r>
    <s v="W:\Livres\Informatique\Bases de données, SQL\Microsoft SQL Server\SQL Server 2012, Integration Services, Extending Packages with Scripting (2013) - [Microsoft].epub"/>
    <x v="5"/>
    <x v="48"/>
    <s v="?"/>
    <s v=""/>
    <s v=".epub"/>
    <n v="98"/>
    <n v="1"/>
    <s v="SQL Server 2012, Integration Services, Extending Packages with Scripting"/>
  </r>
  <r>
    <s v="W:\Livres\Informatique\Bases de données, SQL\Microsoft SQL Server\SQL Server 2012, Integration Services, Extending Packages with Scripting (2013) - [Microsoft].pdf"/>
    <x v="5"/>
    <x v="48"/>
    <s v="?"/>
    <s v=""/>
    <s v=".pdf"/>
    <n v="97"/>
    <n v="1"/>
    <s v="SQL Server 2012, Integration Services, Extending Packages with Scripting"/>
  </r>
  <r>
    <s v="W:\Livres\Informatique\Bases de données, SQL\Microsoft SQL Server\SQL Server 2012, Monitor and Tune for Performance (2012) - [Microsoft].epub"/>
    <x v="8"/>
    <x v="48"/>
    <s v="?"/>
    <s v=""/>
    <s v=".epub"/>
    <n v="75"/>
    <n v="1"/>
    <s v="SQL Server 2012, Monitor and Tune for Performance"/>
  </r>
  <r>
    <s v="W:\Livres\Informatique\Bases de données, SQL\Microsoft SQL Server\SQL Server 2012, Monitor and Tune for Performance (2012) - [Microsoft].pdf"/>
    <x v="8"/>
    <x v="48"/>
    <s v="?"/>
    <s v=""/>
    <s v=".pdf"/>
    <n v="74"/>
    <n v="1"/>
    <s v="SQL Server 2012, Monitor and Tune for Performance"/>
  </r>
  <r>
    <s v="W:\Livres\Informatique\Bases de données, SQL\Microsoft SQL Server\SQL Server 2012, Multidimensional Expressions MDX Reference (2010) - [Microsoft].epub"/>
    <x v="14"/>
    <x v="48"/>
    <s v="?"/>
    <s v=""/>
    <s v=".epub"/>
    <n v="85"/>
    <n v="1"/>
    <s v="SQL Server 2012, Multidimensional Expressions MDX Reference"/>
  </r>
  <r>
    <s v="W:\Livres\Informatique\Bases de données, SQL\Microsoft SQL Server\SQL Server 2012, Multidimensional Expressions MDX Reference (2010) - [Microsoft].pdf"/>
    <x v="14"/>
    <x v="48"/>
    <s v="?"/>
    <s v=""/>
    <s v=".pdf"/>
    <n v="84"/>
    <n v="1"/>
    <s v="SQL Server 2012, Multidimensional Expressions MDX Reference"/>
  </r>
  <r>
    <s v="W:\Livres\Informatique\Bases de données, SQL\Microsoft SQL Server\SQL Server 2012, Multidimensional Model Programming (2012) - [Microsoft].epub"/>
    <x v="8"/>
    <x v="48"/>
    <s v="?"/>
    <s v=""/>
    <s v=".epub"/>
    <n v="77"/>
    <n v="1"/>
    <s v="SQL Server 2012, Multidimensional Model Programming"/>
  </r>
  <r>
    <s v="W:\Livres\Informatique\Bases de données, SQL\Microsoft SQL Server\SQL Server 2012, Multidimensional Model Programming (2012) - [Microsoft].pdf"/>
    <x v="8"/>
    <x v="48"/>
    <s v="?"/>
    <s v=""/>
    <s v=".pdf"/>
    <n v="76"/>
    <n v="1"/>
    <s v="SQL Server 2012, Multidimensional Model Programming"/>
  </r>
  <r>
    <s v="W:\Livres\Informatique\Bases de données, SQL\Microsoft SQL Server\SQL Server 2012, Optimized Bulk Loading Data into Oracle (2012) - [Microsoft] - Carla Sabotta, Debarchan Sarkar.epub"/>
    <x v="8"/>
    <x v="48"/>
    <s v="Carla Sabotta, Debarchan Sarkar"/>
    <s v=""/>
    <s v=".epub"/>
    <n v="116"/>
    <n v="31"/>
    <s v="SQL Server 2012, Optimized Bulk Loading Data into Oracle"/>
  </r>
  <r>
    <s v="W:\Livres\Informatique\Bases de données, SQL\Microsoft SQL Server\SQL Server 2012, Optimized Bulk Loading Data into Oracle (2012) - [Microsoft] - Carla Sabotta, Debarchan Sarkar.pdf"/>
    <x v="8"/>
    <x v="48"/>
    <s v="Carla Sabotta, Debarchan Sarkar"/>
    <s v=""/>
    <s v=".pdf"/>
    <n v="115"/>
    <n v="31"/>
    <s v="SQL Server 2012, Optimized Bulk Loading Data into Oracle"/>
  </r>
  <r>
    <s v="W:\Livres\Informatique\Bases de données, SQL\Microsoft SQL Server\SQL Server 2012, Planning Disaster Recovery for SQL Server Reporting Services SharePoint Integrated Mode (2012) - [Microsoft] - Jaime Tarquino.epub"/>
    <x v="8"/>
    <x v="48"/>
    <s v="Jaime Tarquino"/>
    <s v=""/>
    <s v=".epub"/>
    <n v="147"/>
    <n v="14"/>
    <s v="SQL Server 2012, Planning Disaster Recovery for SQL Server Reporting Services SharePoint Integrated Mode"/>
  </r>
  <r>
    <s v="W:\Livres\Informatique\Bases de données, SQL\Microsoft SQL Server\SQL Server 2012, Planning Disaster Recovery for SQL Server Reporting Services SharePoint Integrated Mode (2012) - [Microsoft] - Jaime Tarquino.pdf"/>
    <x v="8"/>
    <x v="48"/>
    <s v="Jaime Tarquino"/>
    <s v=""/>
    <s v=".pdf"/>
    <n v="146"/>
    <n v="14"/>
    <s v="SQL Server 2012, Planning Disaster Recovery for SQL Server Reporting Services SharePoint Integrated Mode"/>
  </r>
  <r>
    <s v="W:\Livres\Informatique\Bases de données, SQL\Microsoft SQL Server\SQL Server 2012, Transact SQL Data Definition Language DDL Reference - [Microsoft].epub"/>
    <x v="10"/>
    <x v="48"/>
    <s v="?"/>
    <s v=""/>
    <s v=".epub"/>
    <n v="87"/>
    <n v="1"/>
    <s v="SQL Server 2012, Transact SQL Data Definition Language DDL Reference"/>
  </r>
  <r>
    <s v="W:\Livres\Informatique\Bases de données, SQL\Microsoft SQL Server\SQL Server 2012, Transact SQL Data Definition Language DDL Reference - [Microsoft].pdf"/>
    <x v="10"/>
    <x v="48"/>
    <s v="?"/>
    <s v=""/>
    <s v=".pdf"/>
    <n v="86"/>
    <n v="1"/>
    <s v="SQL Server 2012, Transact SQL Data Definition Language DDL Reference"/>
  </r>
  <r>
    <s v="W:\Livres\Informatique\Bases de données, SQL\Microsoft SQL Server\SQL Server 2012, Transact SQL DML Reference (2012) - [Microsoft].epub"/>
    <x v="8"/>
    <x v="48"/>
    <s v="?"/>
    <s v=""/>
    <s v=".epub"/>
    <n v="69"/>
    <n v="1"/>
    <s v="SQL Server 2012, Transact SQL DML Reference"/>
  </r>
  <r>
    <s v="W:\Livres\Informatique\Bases de données, SQL\Microsoft SQL Server\SQL Server 2012, Transact SQL DML Reference (2012) - [Microsoft].pdf"/>
    <x v="8"/>
    <x v="48"/>
    <s v="?"/>
    <s v=""/>
    <s v=".pdf"/>
    <n v="68"/>
    <n v="1"/>
    <s v="SQL Server 2012, Transact SQL DML Reference"/>
  </r>
  <r>
    <s v="W:\Livres\Informatique\Bases de données, SQL\Microsoft SQL Server\SQL Server 2012, XQuery Language Reference (2012) - [Microsoft].epub"/>
    <x v="8"/>
    <x v="48"/>
    <s v="?"/>
    <s v=""/>
    <s v=".epub"/>
    <n v="68"/>
    <n v="1"/>
    <s v="SQL Server 2012, XQuery Language Reference"/>
  </r>
  <r>
    <s v="W:\Livres\Informatique\Bases de données, SQL\Microsoft SQL Server\SQL Server 2012, XQuery Language Reference (2012) - [Microsoft].pdf"/>
    <x v="8"/>
    <x v="48"/>
    <s v="?"/>
    <s v=""/>
    <s v=".pdf"/>
    <n v="67"/>
    <n v="1"/>
    <s v="SQL Server 2012, XQuery Language Reference"/>
  </r>
  <r>
    <s v="W:\Livres\Informatique\Bases de données, SQL\Microsoft SQL Server\SQL Server 2014, Database Backup Encryption (2014) - [Microsoft] - Sandeep Kumar.pdf"/>
    <x v="6"/>
    <x v="48"/>
    <s v="Sandeep Kumar"/>
    <s v=""/>
    <s v=".pdf"/>
    <n v="84"/>
    <n v="13"/>
    <s v="SQL Server 2014, Database Backup Encryption"/>
  </r>
  <r>
    <s v="W:\Livres\Informatique\Bases de données, SQL\Microsoft SQL Server\SQL Server 2014, In Memory OLTP TDM White Paper (2014) - [Microsoft] - Kalen Delaney.pdf"/>
    <x v="6"/>
    <x v="48"/>
    <s v="Kalen Delaney"/>
    <s v=""/>
    <s v=".pdf"/>
    <n v="88"/>
    <n v="13"/>
    <s v="SQL Server 2014, In Memory OLTP TDM White Paper"/>
  </r>
  <r>
    <s v="W:\Livres\Informatique\Bases de données, SQL\Microsoft SQL Server\SQL Server Analysis Services Multidimensional Performance and Operations Guide (2012) - [Microsoft] - Thomas Kejser and Denny Lee.epub"/>
    <x v="8"/>
    <x v="48"/>
    <s v="Thomas Kejser and Denny Lee"/>
    <s v=""/>
    <s v=".epub"/>
    <n v="134"/>
    <n v="27"/>
    <s v="SQL Server Analysis Services Multidimensional Performance and Operations Guide"/>
  </r>
  <r>
    <s v="W:\Livres\Informatique\Bases de données, SQL\Microsoft SQL Server\SQL Server Analysis Services Multidimensional Performance and Operations Guide (2012) - [Microsoft] - Thomas Kejser and Denny Lee.pdf"/>
    <x v="8"/>
    <x v="48"/>
    <s v="Thomas Kejser and Denny Lee"/>
    <s v=""/>
    <s v=".pdf"/>
    <n v="133"/>
    <n v="27"/>
    <s v="SQL Server Analysis Services Multidimensional Performance and Operations Guide"/>
  </r>
  <r>
    <s v="W:\Livres\Informatique\Bases de données, SQL\Microsoft SQL Server\SQL Server Community FAQs Manual (2013) - [Microsoft].epub"/>
    <x v="5"/>
    <x v="48"/>
    <s v="?"/>
    <s v=""/>
    <s v=".epub"/>
    <n v="58"/>
    <n v="1"/>
    <s v="SQL Server Community FAQs Manual"/>
  </r>
  <r>
    <s v="W:\Livres\Informatique\Bases de données, SQL\Microsoft SQL Server\SQL Server Community FAQs Manual (2013) - [Microsoft].pdf"/>
    <x v="5"/>
    <x v="48"/>
    <s v="?"/>
    <s v=""/>
    <s v=".pdf"/>
    <n v="57"/>
    <n v="1"/>
    <s v="SQL Server Community FAQs Manual"/>
  </r>
  <r>
    <s v="W:\Livres\Informatique\Bases de données, SQL\Microsoft SQL Server\Troubleshooting SQL Server AlwaysOn (2014) - [Microsoft] - Vijay Rodrigues.pdf"/>
    <x v="6"/>
    <x v="48"/>
    <s v="Vijay Rodrigues"/>
    <s v=""/>
    <s v=".pdf"/>
    <n v="78"/>
    <n v="15"/>
    <s v="Troubleshooting SQL Server AlwaysOn"/>
  </r>
  <r>
    <s v="W:\Livres\Informatique\Bases de données, SQL\MySQL\Administrez vos bases de données avec MySQL (2012) - [Le site du zéro] - Chantal Gribaumont.pdf"/>
    <x v="8"/>
    <x v="49"/>
    <s v="Chantal Gribaumont"/>
    <s v=""/>
    <s v=".pdf"/>
    <n v="95"/>
    <n v="18"/>
    <s v="Administrez vos bases de données avec MySQL"/>
  </r>
  <r>
    <s v="W:\Livres\Informatique\Bases de données, SQL\MySQL\Apprendre SQL avec MySQL (2006) - [Eyrolles] - Christian Soutou.pdf"/>
    <x v="17"/>
    <x v="6"/>
    <s v="Christian Soutou"/>
    <s v=""/>
    <s v=".pdf"/>
    <n v="67"/>
    <n v="16"/>
    <s v="Apprendre SQL avec MySQL"/>
  </r>
  <r>
    <s v="W:\Livres\Informatique\Bases de données, SQL\MySQL\Beginning PHP and MySQL (4th ed, 2010) - [Apress] - W. Jason Gilmore.pdf"/>
    <x v="14"/>
    <x v="42"/>
    <s v="W. Jason Gilmore"/>
    <s v=""/>
    <s v=".pdf"/>
    <n v="72"/>
    <n v="16"/>
    <s v="Beginning PHP and MySQL"/>
  </r>
  <r>
    <s v="W:\Livres\Informatique\Bases de données, SQL\MySQL\Beginning PHP6, Apache, MySQL Web Development (2010) - [Wiley] - Boronczyk, Naramore, Gerner et al.pdf"/>
    <x v="14"/>
    <x v="22"/>
    <s v="Boronczyk, Naramore, Gerner et al"/>
    <s v=""/>
    <s v=".pdf"/>
    <n v="102"/>
    <n v="33"/>
    <s v="Beginning PHP6, Apache, MySQL Web Development"/>
  </r>
  <r>
    <s v="W:\Livres\Informatique\Bases de données, SQL\MySQL\Build Your Own Database Driven Web Site Using PHP &amp; MySQL (4th ed, 2009) - [Sitepoint] - Kevin Yank.pdf"/>
    <x v="4"/>
    <x v="5"/>
    <s v="Kevin Yank"/>
    <s v=""/>
    <s v=".pdf"/>
    <n v="103"/>
    <n v="10"/>
    <s v="Build Your Own Database Driven Web Site Using PHP &amp; MySQL"/>
  </r>
  <r>
    <s v="W:\Livres\Informatique\Bases de données, SQL\MySQL\Développer un site Web en PHP, MySQL, JavaScript (4è ed, 2016) - [O'Reilly] - Robin Nixon.pdf"/>
    <x v="2"/>
    <x v="4"/>
    <s v="Robin Nixon"/>
    <s v=""/>
    <s v=".pdf"/>
    <n v="93"/>
    <n v="11"/>
    <s v="Développer un site Web en PHP, MySQL, JavaScript"/>
  </r>
  <r>
    <s v="W:\Livres\Informatique\Bases de données, SQL\MySQL\Expert PHP and MySQL (2013) - [Apress] - Marc Rochkind.pdf"/>
    <x v="5"/>
    <x v="42"/>
    <s v="Marc Rochkind"/>
    <s v=""/>
    <s v=".pdf"/>
    <n v="58"/>
    <n v="13"/>
    <s v="Expert PHP and MySQL"/>
  </r>
  <r>
    <s v="W:\Livres\Informatique\Bases de données, SQL\MySQL\Head First PHP-MySQL (2009) - [O'Reilly] - Lynn Beighley, Michael Morrison.pdf"/>
    <x v="4"/>
    <x v="4"/>
    <s v="Lynn Beighley, Michael Morrison"/>
    <s v=""/>
    <s v=".pdf"/>
    <n v="78"/>
    <n v="31"/>
    <s v="Head First PHP-MySQL"/>
  </r>
  <r>
    <s v="W:\Livres\Informatique\Bases de données, SQL\MySQL\High Performance MySQL (2nd ed, 2008) - [O'Reilly] - Schwartz, Zaitsev, Tkachenko, Zawodny, Lentz, Balling,.pdf"/>
    <x v="13"/>
    <x v="4"/>
    <s v="Schwartz, Zaitsev, Tkachenko, Zawodny, Lentz, Balling,"/>
    <s v=""/>
    <s v=".pdf"/>
    <n v="111"/>
    <n v="54"/>
    <s v="High Performance MySQL"/>
  </r>
  <r>
    <s v="W:\Livres\Informatique\Bases de données, SQL\MySQL\High Performance MySQL (3rd ed, 2012) - [O'Reilly] - Baron Schwartz, Peter Zaitsev, and Vadim Tkachenko.pdf"/>
    <x v="8"/>
    <x v="4"/>
    <s v="Baron Schwartz, Peter Zaitsev, and Vadim Tkachenko"/>
    <s v=""/>
    <s v=".pdf"/>
    <n v="107"/>
    <n v="50"/>
    <s v="High Performance MySQL"/>
  </r>
  <r>
    <s v="W:\Livres\Informatique\Bases de données, SQL\MySQL\Learn PHP, MySQL and CSS (2012) - [O'Reilly] - Robin Nixon.pdf"/>
    <x v="8"/>
    <x v="4"/>
    <s v="Robin Nixon"/>
    <s v=""/>
    <s v=".pdf"/>
    <n v="62"/>
    <n v="11"/>
    <s v="Learn PHP, MySQL and CSS"/>
  </r>
  <r>
    <s v="W:\Livres\Informatique\Bases de données, SQL\MySQL\Murach's MySQL (2012) - Joel Murach.pdf"/>
    <x v="8"/>
    <x v="8"/>
    <s v="Joel Murach"/>
    <s v=""/>
    <s v=".pdf"/>
    <n v="39"/>
    <n v="11"/>
    <s v="Murach's MySQL"/>
  </r>
  <r>
    <s v="W:\Livres\Informatique\Bases de données, SQL\MySQL\MySQL Admin Cookbook (2010) - [Packt] - Daniel Schneller, Udo Schwedt.pdf"/>
    <x v="14"/>
    <x v="14"/>
    <s v="Daniel Schneller, Udo Schwedt"/>
    <s v=""/>
    <s v=".pdf"/>
    <n v="73"/>
    <n v="29"/>
    <s v="MySQL Admin Cookbook"/>
  </r>
  <r>
    <s v="W:\Livres\Informatique\Bases de données, SQL\MySQL\MySQL Administrators Bible (2009) - [Wiley] - Sheeri Cabral, Keith Murphy.pdf"/>
    <x v="4"/>
    <x v="22"/>
    <s v="Sheeri Cabral, Keith Murphy"/>
    <s v=""/>
    <s v=".pdf"/>
    <n v="77"/>
    <n v="27"/>
    <s v="MySQL Administrators Bible"/>
  </r>
  <r>
    <s v="W:\Livres\Informatique\Bases de données, SQL\MySQL\MySQL Cookbook (2002) {Dump} - [O'Reilly] - Paul DuBois.pdf"/>
    <x v="16"/>
    <x v="4"/>
    <s v="Paul DuBois"/>
    <s v="Dump"/>
    <s v=".pdf"/>
    <n v="59"/>
    <n v="11"/>
    <s v="MySQL Cookbook"/>
  </r>
  <r>
    <s v="W:\Livres\Informatique\Bases de données, SQL\MySQL\MySQL High Availability (2010) - [O'Reilly] - Charles Bell, Mats Kindahl, Lars Thalmann.pdf"/>
    <x v="14"/>
    <x v="4"/>
    <s v="Charles Bell, Mats Kindahl, Lars Thalmann"/>
    <s v=""/>
    <s v=".pdf"/>
    <n v="91"/>
    <n v="41"/>
    <s v="MySQL High Availability"/>
  </r>
  <r>
    <s v="W:\Livres\Informatique\Bases de données, SQL\MySQL\MySQL Management and Administration with Navicat (2012) - [Packt] - Gökhan Ozar.pdf"/>
    <x v="8"/>
    <x v="14"/>
    <s v="Gökhan Ozar"/>
    <s v=""/>
    <s v=".pdf"/>
    <n v="83"/>
    <n v="11"/>
    <s v="MySQL Management and Administration with Navicat"/>
  </r>
  <r>
    <s v="W:\Livres\Informatique\Bases de données, SQL\MySQL\MySQL Troubleshooting (2012) - [O'Reilly] - Sveta Smirnova.pdf"/>
    <x v="8"/>
    <x v="4"/>
    <s v="Sveta Smirnova"/>
    <s v=""/>
    <s v=".pdf"/>
    <n v="62"/>
    <n v="14"/>
    <s v="MySQL Troubleshooting"/>
  </r>
  <r>
    <s v="W:\Livres\Informatique\Bases de données, SQL\MySQL\PHP &amp; MySQL et CSS (2009) - [Micro Application] - Jean Carfantan.pdf"/>
    <x v="4"/>
    <x v="50"/>
    <s v="Jean Carfantan"/>
    <s v=""/>
    <s v=".pdf"/>
    <n v="68"/>
    <n v="14"/>
    <s v="PHP &amp; MySQL et CSS"/>
  </r>
  <r>
    <s v="W:\Livres\Informatique\Bases de données, SQL\MySQL\PHP &amp; MySQL, The Missing Manual (2012) - [O'Reilly] - Brett McLaughlin.pdf"/>
    <x v="8"/>
    <x v="4"/>
    <s v="Brett McLaughlin"/>
    <s v=""/>
    <s v=".pdf"/>
    <n v="74"/>
    <n v="16"/>
    <s v="PHP &amp; MySQL, The Missing Manual"/>
  </r>
  <r>
    <s v="W:\Livres\Informatique\Bases de données, SQL\MySQL\PHP 6 and MySQL Programming for Absolute Beginners (2009) - [Cengage Learning] - Andy Harris.pdf"/>
    <x v="4"/>
    <x v="51"/>
    <s v="Andy Harris"/>
    <s v=""/>
    <s v=".pdf"/>
    <n v="96"/>
    <n v="11"/>
    <s v="PHP 6 and MySQL Programming for Absolute Beginners"/>
  </r>
  <r>
    <s v="W:\Livres\Informatique\Bases de données, SQL\MySQL\PHP and MySQL, Novice to Ninja (5th ed, 2012) - [Sitepoint] - Kevin Yank.pdf"/>
    <x v="8"/>
    <x v="5"/>
    <s v="Kevin Yank"/>
    <s v=""/>
    <s v=".pdf"/>
    <n v="76"/>
    <n v="10"/>
    <s v="PHP and MySQL, Novice to Ninja"/>
  </r>
  <r>
    <s v="W:\Livres\Informatique\Bases de données, SQL\MySQL\PHP et MySQL avec Dreamweaver 8 (2006) - [Eyrolles] - Jean-Marie Defrance.pdf"/>
    <x v="17"/>
    <x v="6"/>
    <s v="Jean-Marie Defrance"/>
    <s v=""/>
    <s v=".pdf"/>
    <n v="77"/>
    <n v="19"/>
    <s v="PHP et MySQL avec Dreamweaver 8"/>
  </r>
  <r>
    <s v="W:\Livres\Informatique\Bases de données, SQL\MySQL\Pratique de MySQL et PHP (4è ed, 2009) - [Dunod] - Philippe Rigaux.pdf"/>
    <x v="4"/>
    <x v="2"/>
    <s v="Philippe Rigaux"/>
    <s v=""/>
    <s v=".pdf"/>
    <n v="70"/>
    <n v="15"/>
    <s v="Pratique de MySQL et PHP"/>
  </r>
  <r>
    <s v="W:\Livres\Informatique\Bases de données, SQL\MySQL\Programmer avec MySQL (4è ed, 2015) - [Eyrolles] - Christian Soutou.epub"/>
    <x v="3"/>
    <x v="6"/>
    <s v="Christian Soutou"/>
    <s v=""/>
    <s v=".epub"/>
    <n v="72"/>
    <n v="16"/>
    <s v="Programmer avec MySQL"/>
  </r>
  <r>
    <s v="W:\Livres\Informatique\Bases de données, SQL\MySQL\Programmer avec MySQL (4è ed, 2015) - [Eyrolles] - Christian Soutou.pdf"/>
    <x v="3"/>
    <x v="6"/>
    <s v="Christian Soutou"/>
    <s v=""/>
    <s v=".pdf"/>
    <n v="71"/>
    <n v="16"/>
    <s v="Programmer avec MySQL"/>
  </r>
  <r>
    <s v="W:\Livres\Informatique\Bases de données, SQL\MySQL\Programmer avec MySQL, Annexes.rar"/>
    <x v="10"/>
    <x v="8"/>
    <s v="?"/>
    <s v=""/>
    <s v=".rar"/>
    <n v="34"/>
    <n v="1"/>
    <s v="Programmer avec MySQL, Annexes"/>
  </r>
  <r>
    <s v="W:\Livres\Informatique\Bases de données, SQL\MySQL\Sécurité PHP 5 et MySQL (2007) - [Eyrolles] - Damien Seguy, Philippe Gamache.pdf"/>
    <x v="9"/>
    <x v="6"/>
    <s v="Damien Seguy, Philippe Gamache"/>
    <s v=""/>
    <s v=".pdf"/>
    <n v="80"/>
    <n v="30"/>
    <s v="Sécurité PHP 5 et MySQL"/>
  </r>
  <r>
    <s v="W:\Livres\Informatique\Bases de données, SQL\MySQL\Teach Yourself PHP MySQL Apache (5th ed, 2012) - [Sams] - Julie C. Meloni.pdf"/>
    <x v="8"/>
    <x v="52"/>
    <s v="Julie C. Meloni"/>
    <s v=""/>
    <s v=".pdf"/>
    <n v="77"/>
    <n v="15"/>
    <s v="Teach Yourself PHP MySQL Apache"/>
  </r>
  <r>
    <s v="W:\Livres\Informatique\Bases de données, SQL\Oracle\Building Oracle XML Applications (2000) {Dump} - [O'Reilly] - Steve Muench.pdf"/>
    <x v="7"/>
    <x v="4"/>
    <s v="Steve Muench"/>
    <s v="Dump"/>
    <s v=".pdf"/>
    <n v="78"/>
    <n v="12"/>
    <s v="Building Oracle XML Applications"/>
  </r>
  <r>
    <s v="W:\Livres\Informatique\Bases de données, SQL\Oracle\Expert Oracle Database 10g Administration (2005) - [Apress] - Sam R. Alapati.pdf"/>
    <x v="1"/>
    <x v="42"/>
    <s v="Sam R. Alapati"/>
    <s v=""/>
    <s v=".pdf"/>
    <n v="80"/>
    <n v="14"/>
    <s v="Expert Oracle Database 10g Administration"/>
  </r>
  <r>
    <s v="W:\Livres\Informatique\Bases de données, SQL\Oracle\Expert Oracle Database Architecture (3rd ed, 2015) - [Apress] - Thomas Kyte, Darl Kuhn.pdf"/>
    <x v="3"/>
    <x v="42"/>
    <s v="Thomas Kyte, Darl Kuhn"/>
    <s v=""/>
    <s v=".pdf"/>
    <n v="90"/>
    <n v="22"/>
    <s v="Expert Oracle Database Architecture"/>
  </r>
  <r>
    <s v="W:\Livres\Informatique\Bases de données, SQL\Oracle\Expert Oracle Database Architecture 9i, 10g and 11g, Programming Techniques and Solutions (2nd ed, 2010) - [Apress] - Thomas Kyte.pdf"/>
    <x v="14"/>
    <x v="42"/>
    <s v="Thomas Kyte"/>
    <s v=""/>
    <s v=".pdf"/>
    <n v="133"/>
    <n v="11"/>
    <s v="Expert Oracle Database Architecture 9i, 10g and 11g, Programming Techniques and Solutions"/>
  </r>
  <r>
    <s v="W:\Livres\Informatique\Bases de données, SQL\Oracle\Oracle 10g sous Windows (2006) - [Eyrolles] - Gilles Briard.pdf"/>
    <x v="17"/>
    <x v="6"/>
    <s v="Gilles Briard"/>
    <s v=""/>
    <s v=".pdf"/>
    <n v="63"/>
    <n v="13"/>
    <s v="Oracle 10g sous Windows"/>
  </r>
  <r>
    <s v="W:\Livres\Informatique\Bases de données, SQL\Oracle\Oracle DBA Checklists Pocket Reference (2001) - [O'Reilly] - Quest Software.pdf"/>
    <x v="15"/>
    <x v="4"/>
    <s v="Quest Software"/>
    <s v=""/>
    <s v=".pdf"/>
    <n v="79"/>
    <n v="14"/>
    <s v="Oracle DBA Checklists Pocket Reference"/>
  </r>
  <r>
    <s v="W:\Livres\Informatique\Bases de données, SQL\Oracle\Oracle Distributed Systems (1999) {Dump} - [O'Reilly] - Charles Dye.pdf"/>
    <x v="11"/>
    <x v="4"/>
    <s v="Charles Dye"/>
    <s v="Dump"/>
    <s v=".pdf"/>
    <n v="71"/>
    <n v="11"/>
    <s v="Oracle Distributed Systems"/>
  </r>
  <r>
    <s v="W:\Livres\Informatique\Bases de données, SQL\Oracle\Oracle Essentials, Oracle Database 12c (5th ed, 2013) {Dump} - [O'Reilly] - Rick Greenwald, Robert Stackowiak, Jonathan Stern.pdf"/>
    <x v="5"/>
    <x v="4"/>
    <s v="Rick Greenwald, Robert Stackowiak, Jonathan Stern"/>
    <s v="Dump"/>
    <s v=".pdf"/>
    <n v="129"/>
    <n v="49"/>
    <s v="Oracle Essentials, Oracle Database 12c"/>
  </r>
  <r>
    <s v="W:\Livres\Informatique\Bases de données, SQL\Oracle\Oracle PL-SQL Language Pocket Reference (4th ed, 2008) - [O'Reilly] - Steven Feuerstein, Bill Pribyl, Chip Dawes.pdf"/>
    <x v="13"/>
    <x v="4"/>
    <s v="Steven Feuerstein, Bill Pribyl, Chip Dawes"/>
    <s v=""/>
    <s v=".pdf"/>
    <n v="116"/>
    <n v="42"/>
    <s v="Oracle PL-SQL Language Pocket Reference"/>
  </r>
  <r>
    <s v="W:\Livres\Informatique\Bases de données, SQL\Oracle\Oracle PL-SQL Programming (5th ed, 2009) - [O'Reilly] - Steven Feuerstein, Bill Pribyl.pdf"/>
    <x v="4"/>
    <x v="4"/>
    <s v="Steven Feuerstein, Bill Pribyl"/>
    <s v=""/>
    <s v=".pdf"/>
    <n v="90"/>
    <n v="30"/>
    <s v="Oracle PL-SQL Programming"/>
  </r>
  <r>
    <s v="W:\Livres\Informatique\Bases de données, SQL\Oracle\Oracle PL-SQL Programming (6th ed, 2014) - [O'Reilly] - Steven Feuerstein, Bill Pribyl.epub"/>
    <x v="6"/>
    <x v="4"/>
    <s v="Steven Feuerstein, Bill Pribyl"/>
    <s v=""/>
    <s v=".epub"/>
    <n v="91"/>
    <n v="30"/>
    <s v="Oracle PL-SQL Programming"/>
  </r>
  <r>
    <s v="W:\Livres\Informatique\Bases de données, SQL\Oracle\Oracle PL-SQL Programming (6th ed, 2014) - [O'Reilly] - Steven Feuerstein, Bill Pribyl.pdf"/>
    <x v="6"/>
    <x v="4"/>
    <s v="Steven Feuerstein, Bill Pribyl"/>
    <s v=""/>
    <s v=".pdf"/>
    <n v="90"/>
    <n v="30"/>
    <s v="Oracle PL-SQL Programming"/>
  </r>
  <r>
    <s v="W:\Livres\Informatique\Bases de données, SQL\Oracle\Oracle RMAN Pocket Reference (2001) {Dump} - [O'Reilly] - Darl Kuhn, Scott Schulze.pdf"/>
    <x v="15"/>
    <x v="4"/>
    <s v="Darl Kuhn, Scott Schulze"/>
    <s v="Dump"/>
    <s v=".pdf"/>
    <n v="86"/>
    <n v="24"/>
    <s v="Oracle RMAN Pocket Reference"/>
  </r>
  <r>
    <s v="W:\Livres\Informatique\Bases de données, SQL\Oracle\Oracle SQL Loader, The Definitive Guide (2001) - [O'Reilly] - Jonathan Gennick and Sanjay Mishra.pdf"/>
    <x v="15"/>
    <x v="4"/>
    <s v="Jonathan Gennick and Sanjay Mishra"/>
    <s v=""/>
    <s v=".pdf"/>
    <n v="100"/>
    <n v="34"/>
    <s v="Oracle SQL Loader, The Definitive Guide"/>
  </r>
  <r>
    <s v="W:\Livres\Informatique\Bases de données, SQL\Oracle\Oracle SQL Tuning Pocket (2002) {Dump} - [O'Reilly] - Mark Gurry.pdf"/>
    <x v="16"/>
    <x v="4"/>
    <s v="Mark Gurry"/>
    <s v="Dump"/>
    <s v=".pdf"/>
    <n v="68"/>
    <n v="10"/>
    <s v="Oracle SQL Tuning Pocket"/>
  </r>
  <r>
    <s v="W:\Livres\Informatique\Bases de données, SQL\Oracle\Oracle SQL, The Essential Reference (2000) - [O'reilly] - David Kreines.pdf"/>
    <x v="7"/>
    <x v="4"/>
    <s v="David Kreines"/>
    <s v=""/>
    <s v=".pdf"/>
    <n v="75"/>
    <n v="13"/>
    <s v="Oracle SQL, The Essential Reference"/>
  </r>
  <r>
    <s v="W:\Livres\Informatique\Bases de données, SQL\Oracle\SQL pour Oracle, Applications avec Java, PHP, XML (3è ed, 2008) - [Eyrolles] - Christian Soutou.pdf"/>
    <x v="13"/>
    <x v="6"/>
    <s v="Christian Soutou"/>
    <s v=""/>
    <s v=".pdf"/>
    <n v="99"/>
    <n v="16"/>
    <s v="SQL pour Oracle, Applications avec Java, PHP, XML"/>
  </r>
  <r>
    <s v="W:\Livres\Informatique\Bases de données, SQL\Oracle\UNIX for Oracle DBAs Pocket Reference (2001) {Dump} - [O'Reilly] - Donald K. Burleson.pdf"/>
    <x v="15"/>
    <x v="4"/>
    <s v="Donald K. Burleson"/>
    <s v="Dump"/>
    <s v=".pdf"/>
    <n v="89"/>
    <n v="18"/>
    <s v="UNIX for Oracle DBAs Pocket Reference"/>
  </r>
  <r>
    <s v="W:\Livres\Informatique\Bioinformatics\Beginning Perl for Bioinformatics (2001) - [O'Reilly] - James Tisdall.pdf"/>
    <x v="15"/>
    <x v="4"/>
    <s v="James Tisdall"/>
    <s v=""/>
    <s v=".pdf"/>
    <n v="73"/>
    <n v="13"/>
    <s v="Beginning Perl for Bioinformatics"/>
  </r>
  <r>
    <s v="W:\Livres\Informatique\Bioinformatics\Bioinformatics for DNA Sequence Analysis (2009) - [Humana Press] - David Posada.pdf"/>
    <x v="4"/>
    <x v="53"/>
    <s v="David Posada"/>
    <s v=""/>
    <s v=".pdf"/>
    <n v="83"/>
    <n v="12"/>
    <s v="Bioinformatics for DNA Sequence Analysis"/>
  </r>
  <r>
    <s v="W:\Livres\Informatique\Bioinformatics\Bioinformatics Programming Using Python (2010) - [O'Reilly] - Mitchell L Model.pdf"/>
    <x v="14"/>
    <x v="4"/>
    <s v="Mitchell L Model"/>
    <s v=""/>
    <s v=".pdf"/>
    <n v="82"/>
    <n v="16"/>
    <s v="Bioinformatics Programming Using Python"/>
  </r>
  <r>
    <s v="W:\Livres\Informatique\Bioinformatics\Bioinformatics Research and Development (2008) - [Springer] - Collective.pdf"/>
    <x v="13"/>
    <x v="9"/>
    <s v="Collective"/>
    <s v=""/>
    <s v=".pdf"/>
    <n v="76"/>
    <n v="10"/>
    <s v="Bioinformatics Research and Development"/>
  </r>
  <r>
    <s v="W:\Livres\Informatique\Bioinformatics\Bioinformatics, From Genomes to Drugs (2002) - [Wiley] - Thomas Lengauer.pdf"/>
    <x v="16"/>
    <x v="22"/>
    <s v="Thomas Lengauer"/>
    <s v=""/>
    <s v=".pdf"/>
    <n v="76"/>
    <n v="15"/>
    <s v="Bioinformatics, From Genomes to Drugs"/>
  </r>
  <r>
    <s v="W:\Livres\Informatique\Bioinformatics\Data Mining Multimedia, Soft Computing &amp; Bioinformatics (2003) - [Wiley] - Sushmita Mitra, Tinku Acharya.pdf"/>
    <x v="25"/>
    <x v="22"/>
    <s v="Sushmita Mitra, Tinku Acharya"/>
    <s v=""/>
    <s v=".pdf"/>
    <n v="108"/>
    <n v="29"/>
    <s v="Data Mining Multimedia, Soft Computing &amp; Bioinformatics"/>
  </r>
  <r>
    <s v="W:\Livres\Informatique\Bioinformatics\Developing Bioinformatics Computer Skills (2001) - [O'Reilly] - Cynthia Gibas, Per Jambeck.pdf"/>
    <x v="15"/>
    <x v="4"/>
    <s v="Cynthia Gibas, Per Jambeck"/>
    <s v=""/>
    <s v=".pdf"/>
    <n v="94"/>
    <n v="26"/>
    <s v="Developing Bioinformatics Computer Skills"/>
  </r>
  <r>
    <s v="W:\Livres\Informatique\Bioinformatics\Java for Bioinformatics and Biomedical Applications (2007) - [Springer] - Harshawardhan Bal, Johnny Hujol.pdf"/>
    <x v="9"/>
    <x v="9"/>
    <s v="Harshawardhan Bal, Johnny Hujol"/>
    <s v=""/>
    <s v=".pdf"/>
    <n v="109"/>
    <n v="31"/>
    <s v="Java for Bioinformatics and Biomedical Applications"/>
  </r>
  <r>
    <s v="W:\Livres\Informatique\Cloud\Cloud computing, Sécurité, gouvernance du SI hybride (4è ed, 2016) - [Dunod] - Guillaume Plouin.pdf"/>
    <x v="2"/>
    <x v="2"/>
    <s v="Guillaume Plouin"/>
    <s v=""/>
    <s v=".pdf"/>
    <n v="99"/>
    <n v="16"/>
    <s v="Cloud computing, Sécurité, gouvernance du SI hybride"/>
  </r>
  <r>
    <s v="W:\Livres\Informatique\Cloud\Enterprise Cloud Strategy (2016) - [Microsoft Press] - Barry Briggs, Eduardo Kassner.epub"/>
    <x v="2"/>
    <x v="13"/>
    <s v="Barry Briggs, Eduardo Kassner"/>
    <s v=""/>
    <s v=".epub"/>
    <n v="89"/>
    <n v="29"/>
    <s v="Enterprise Cloud Strategy"/>
  </r>
  <r>
    <s v="W:\Livres\Informatique\Cloud\Enterprise Cloud Strategy (2016) - [Microsoft Press] - Barry Briggs, Eduardo Kassner.pdf"/>
    <x v="2"/>
    <x v="13"/>
    <s v="Barry Briggs, Eduardo Kassner"/>
    <s v=""/>
    <s v=".pdf"/>
    <n v="88"/>
    <n v="29"/>
    <s v="Enterprise Cloud Strategy"/>
  </r>
  <r>
    <s v="W:\Livres\Informatique\Cloud\Heroku Cloud Application Development (2014) - [Packt] - Anubhav Hanjura.pdf"/>
    <x v="6"/>
    <x v="14"/>
    <s v="Anubhav Hanjura"/>
    <s v=""/>
    <s v=".pdf"/>
    <n v="75"/>
    <n v="15"/>
    <s v="Heroku Cloud Application Development"/>
  </r>
  <r>
    <s v="W:\Livres\Informatique\Cloud\Host Your Web Site in the Cloud, AWS made easy (2010) - [Sitepoint] - Jeff Barr.pdf"/>
    <x v="14"/>
    <x v="5"/>
    <s v="Jeff Barr"/>
    <s v=""/>
    <s v=".pdf"/>
    <n v="83"/>
    <n v="9"/>
    <s v="Host Your Web Site in the Cloud, AWS made easy"/>
  </r>
  <r>
    <s v="W:\Livres\Informatique\Cloud\Microsoft Cloud Solutions and Platforms Options (2016) - [Microsoft].pdf"/>
    <x v="2"/>
    <x v="48"/>
    <s v="?"/>
    <s v=""/>
    <s v=".pdf"/>
    <n v="72"/>
    <n v="1"/>
    <s v="Microsoft Cloud Solutions and Platforms Options"/>
  </r>
  <r>
    <s v="W:\Livres\Informatique\Cloud\Microsoft System Center Integrated Cloud Platform (2014) - [Microsoft Press] - David Ziembicki, Mitch Tulloch.epub"/>
    <x v="6"/>
    <x v="13"/>
    <s v="David Ziembicki, Mitch Tulloch"/>
    <s v=""/>
    <s v=".epub"/>
    <n v="114"/>
    <n v="30"/>
    <s v="Microsoft System Center Integrated Cloud Platform"/>
  </r>
  <r>
    <s v="W:\Livres\Informatique\Cloud\Microsoft System Center Integrated Cloud Platform (2014) - [Microsoft Press] - David Ziembicki, Mitch Tulloch.pdf"/>
    <x v="6"/>
    <x v="13"/>
    <s v="David Ziembicki, Mitch Tulloch"/>
    <s v=""/>
    <s v=".pdf"/>
    <n v="113"/>
    <n v="30"/>
    <s v="Microsoft System Center Integrated Cloud Platform"/>
  </r>
  <r>
    <s v="W:\Livres\Informatique\Cloud\Microsoft System Center Network Virtualization and Cloud Computing (2014) - [Microsoft Press] - Benmessaoud, Williams, Mudigonda, Tulloch.epub"/>
    <x v="6"/>
    <x v="13"/>
    <s v="Benmessaoud, Williams, Mudigonda, Tulloch"/>
    <s v=""/>
    <s v=".epub"/>
    <n v="142"/>
    <n v="41"/>
    <s v="Microsoft System Center Network Virtualization and Cloud Computing"/>
  </r>
  <r>
    <s v="W:\Livres\Informatique\Cloud\Microsoft System Center Network Virtualization and Cloud Computing (2014) - [Microsoft Press] - Benmessaoud, Williams, Mudigonda, Tulloch.pdf"/>
    <x v="6"/>
    <x v="13"/>
    <s v="Benmessaoud, Williams, Mudigonda, Tulloch"/>
    <s v=""/>
    <s v=".pdf"/>
    <n v="141"/>
    <n v="41"/>
    <s v="Microsoft System Center Network Virtualization and Cloud Computing"/>
  </r>
  <r>
    <s v="W:\Livres\Informatique\Cloud\Programming Google App Engine (2010) - [O'Reilly] - Dan Sanderson.pdf"/>
    <x v="14"/>
    <x v="4"/>
    <s v="Dan Sanderson"/>
    <s v=""/>
    <s v=".pdf"/>
    <n v="69"/>
    <n v="13"/>
    <s v="Programming Google App Engine"/>
  </r>
  <r>
    <s v="W:\Livres\Informatique\Cloud\Rethinking Enterprise Storage, A Hybrid Cloud Model (2013) - [Microsoft Press] - Marc Farley.epub"/>
    <x v="5"/>
    <x v="13"/>
    <s v="Marc Farley"/>
    <s v=""/>
    <s v=".epub"/>
    <n v="97"/>
    <n v="11"/>
    <s v="Rethinking Enterprise Storage, A Hybrid Cloud Model"/>
  </r>
  <r>
    <s v="W:\Livres\Informatique\Cloud\Rethinking Enterprise Storage, A Hybrid Cloud Model (2013) - [Microsoft Press] - Marc Farley.pdf"/>
    <x v="5"/>
    <x v="13"/>
    <s v="Marc Farley"/>
    <s v=""/>
    <s v=".pdf"/>
    <n v="96"/>
    <n v="11"/>
    <s v="Rethinking Enterprise Storage, A Hybrid Cloud Model"/>
  </r>
  <r>
    <s v="W:\Livres\Informatique\Cloud\System Center Cloud Mgmt with App Controller (2013) - [Microsoft Press] - Yung Chou, Keith Mayer, Mitch Tulloch.epub"/>
    <x v="5"/>
    <x v="13"/>
    <s v="Yung Chou, Keith Mayer, Mitch Tulloch"/>
    <s v=""/>
    <s v=".epub"/>
    <n v="116"/>
    <n v="37"/>
    <s v="System Center Cloud Mgmt with App Controller"/>
  </r>
  <r>
    <s v="W:\Livres\Informatique\Cloud\System Center Cloud Mgmt with App Controller (2013) - [Microsoft Press] - Yung Chou, Keith Mayer, Mitch Tulloch.pdf"/>
    <x v="5"/>
    <x v="13"/>
    <s v="Yung Chou, Keith Mayer, Mitch Tulloch"/>
    <s v=""/>
    <s v=".pdf"/>
    <n v="115"/>
    <n v="37"/>
    <s v="System Center Cloud Mgmt with App Controller"/>
  </r>
  <r>
    <s v="W:\Livres\Informatique\Cloud\System Center Data Protection for Hybrid Cloud (2015) - [Microsoft Press] - Dubey, Tandra Sistla, Garg, Ramdas, Tulloch.epub"/>
    <x v="3"/>
    <x v="13"/>
    <s v="Dubey, Tandra Sistla, Garg, Ramdas, Tulloch"/>
    <s v=""/>
    <s v=".epub"/>
    <n v="124"/>
    <n v="43"/>
    <s v="System Center Data Protection for Hybrid Cloud"/>
  </r>
  <r>
    <s v="W:\Livres\Informatique\Cloud\System Center Data Protection for Hybrid Cloud (2015) - [Microsoft Press] - Dubey, Tandra Sistla, Garg, Ramdas, Tulloch.pdf"/>
    <x v="3"/>
    <x v="13"/>
    <s v="Dubey, Tandra Sistla, Garg, Ramdas, Tulloch"/>
    <s v=""/>
    <s v=".pdf"/>
    <n v="123"/>
    <n v="43"/>
    <s v="System Center Data Protection for Hybrid Cloud"/>
  </r>
  <r>
    <s v="W:\Livres\Informatique\Cloud\Tout pour le cloud personnel (2013) - [Dunod] - Guillaume Plouin.epub"/>
    <x v="5"/>
    <x v="2"/>
    <s v="Guillaume Plouin"/>
    <s v=""/>
    <s v=".epub"/>
    <n v="69"/>
    <n v="16"/>
    <s v="Tout pour le cloud personnel"/>
  </r>
  <r>
    <s v="W:\Livres\Informatique\Cloud\Tout pour le cloud personnel (2013) - [Dunod] - Guillaume Plouin.pdf"/>
    <x v="5"/>
    <x v="2"/>
    <s v="Guillaume Plouin"/>
    <s v=""/>
    <s v=".pdf"/>
    <n v="68"/>
    <n v="16"/>
    <s v="Tout pour le cloud personnel"/>
  </r>
  <r>
    <s v="W:\Livres\Informatique\Cloud\Microsoft Azure\Azure Managed Services Playbook (2016) - [Microsoft].pdf"/>
    <x v="2"/>
    <x v="48"/>
    <s v="?"/>
    <s v=""/>
    <s v=".pdf"/>
    <n v="56"/>
    <n v="1"/>
    <s v="Azure Managed Services Playbook"/>
  </r>
  <r>
    <s v="W:\Livres\Informatique\Cloud\Microsoft Azure\Bring the cloud to your datacenter Microsoft Azure Stack (2016) - [Microsoft].pdf"/>
    <x v="2"/>
    <x v="48"/>
    <s v="?"/>
    <s v=""/>
    <s v=".pdf"/>
    <n v="81"/>
    <n v="1"/>
    <s v="Bring the cloud to your datacenter Microsoft Azure Stack"/>
  </r>
  <r>
    <s v="W:\Livres\Informatique\Cloud\Microsoft Azure\Building Cloud Apps with Microsoft Azure (2014) - [Microsoft Press] - Guthrie, Simms, Dykstra, Anderson, Wasson.epub"/>
    <x v="6"/>
    <x v="13"/>
    <s v="Guthrie, Simms, Dykstra, Anderson, Wasson"/>
    <s v=""/>
    <s v=".epub"/>
    <n v="116"/>
    <n v="41"/>
    <s v="Building Cloud Apps with Microsoft Azure"/>
  </r>
  <r>
    <s v="W:\Livres\Informatique\Cloud\Microsoft Azure\Building Cloud Apps with Microsoft Azure (2014) - [Microsoft Press] - Guthrie, Simms, Dykstra, Anderson, Wasson.pdf"/>
    <x v="6"/>
    <x v="13"/>
    <s v="Guthrie, Simms, Dykstra, Anderson, Wasson"/>
    <s v=""/>
    <s v=".pdf"/>
    <n v="115"/>
    <n v="41"/>
    <s v="Building Cloud Apps with Microsoft Azure"/>
  </r>
  <r>
    <s v="W:\Livres\Informatique\Cloud\Microsoft Azure\Continuous deployment using Microsoft Azure Web Sites (2014) {Whitepaper} - [Microsoft].pdf"/>
    <x v="6"/>
    <x v="48"/>
    <s v="?"/>
    <s v="Whitepaper"/>
    <s v=".pdf"/>
    <n v="91"/>
    <n v="1"/>
    <s v="Continuous deployment using Microsoft Azure Web Sites"/>
  </r>
  <r>
    <s v="W:\Livres\Informatique\Cloud\Microsoft Azure\Introducing Microsoft Azure Hindsight (2014) - [Microsoft Press] - Chauhuan, Fontama, Hart, Hyong Tok, Woody.epub"/>
    <x v="6"/>
    <x v="13"/>
    <s v="Chauhuan, Fontama, Hart, Hyong Tok, Woody"/>
    <s v=""/>
    <s v=".epub"/>
    <n v="113"/>
    <n v="41"/>
    <s v="Introducing Microsoft Azure Hindsight"/>
  </r>
  <r>
    <s v="W:\Livres\Informatique\Cloud\Microsoft Azure\Introducing Microsoft Azure Hindsight (2014) - [Microsoft Press] - Chauhuan, Fontama, Hart, Hyong Tok, Woody.pdf"/>
    <x v="6"/>
    <x v="13"/>
    <s v="Chauhuan, Fontama, Hart, Hyong Tok, Woody"/>
    <s v=""/>
    <s v=".pdf"/>
    <n v="112"/>
    <n v="41"/>
    <s v="Introducing Microsoft Azure Hindsight"/>
  </r>
  <r>
    <s v="W:\Livres\Informatique\Cloud\Microsoft Azure\Introducing Windows Azure for IT Professionals (2013) - [Microsoft Press] - Mitch Tulloch.epub"/>
    <x v="5"/>
    <x v="13"/>
    <s v="Mitch Tulloch"/>
    <s v=""/>
    <s v=".epub"/>
    <n v="94"/>
    <n v="13"/>
    <s v="Introducing Windows Azure for IT Professionals"/>
  </r>
  <r>
    <s v="W:\Livres\Informatique\Cloud\Microsoft Azure\Introducing Windows Azure for IT Professionals (2013) - [Microsoft Press] - Mitch Tulloch.pdf"/>
    <x v="5"/>
    <x v="13"/>
    <s v="Mitch Tulloch"/>
    <s v=""/>
    <s v=".pdf"/>
    <n v="93"/>
    <n v="13"/>
    <s v="Introducing Windows Azure for IT Professionals"/>
  </r>
  <r>
    <s v="W:\Livres\Informatique\Cloud\Microsoft Azure\Microsoft Azure Essentials, Azure Automation (2015) - [Microsoft Press] - Michael McKeown.epub"/>
    <x v="3"/>
    <x v="13"/>
    <s v="Michael McKeown"/>
    <s v=""/>
    <s v=".epub"/>
    <n v="94"/>
    <n v="15"/>
    <s v="Microsoft Azure Essentials, Azure Automation"/>
  </r>
  <r>
    <s v="W:\Livres\Informatique\Cloud\Microsoft Azure\Microsoft Azure Essentials, Azure Automation (2015) - [Microsoft Press] - Michael McKeown.pdf"/>
    <x v="3"/>
    <x v="13"/>
    <s v="Michael McKeown"/>
    <s v=""/>
    <s v=".pdf"/>
    <n v="93"/>
    <n v="15"/>
    <s v="Microsoft Azure Essentials, Azure Automation"/>
  </r>
  <r>
    <s v="W:\Livres\Informatique\Cloud\Microsoft Azure\Microsoft Azure Essentials, Azure Machine Learning (2015) - [Microsoft Press] - Jeff Barnes.epub"/>
    <x v="3"/>
    <x v="13"/>
    <s v="Jeff Barnes"/>
    <s v=""/>
    <s v=".epub"/>
    <n v="96"/>
    <n v="11"/>
    <s v="Microsoft Azure Essentials, Azure Machine Learning"/>
  </r>
  <r>
    <s v="W:\Livres\Informatique\Cloud\Microsoft Azure\Microsoft Azure Essentials, Azure Machine Learning (2015) - [Microsoft Press] - Jeff Barnes.pdf"/>
    <x v="3"/>
    <x v="13"/>
    <s v="Jeff Barnes"/>
    <s v=""/>
    <s v=".pdf"/>
    <n v="95"/>
    <n v="11"/>
    <s v="Microsoft Azure Essentials, Azure Machine Learning"/>
  </r>
  <r>
    <s v="W:\Livres\Informatique\Cloud\Microsoft Azure\Microsoft Azure Essentials, Azure Web Apps for Developers (2015) - [Microsoft Press] - Rick Rainey.epub"/>
    <x v="3"/>
    <x v="13"/>
    <s v="Rick Rainey"/>
    <s v=""/>
    <s v=".epub"/>
    <n v="103"/>
    <n v="11"/>
    <s v="Microsoft Azure Essentials, Azure Web Apps for Developers"/>
  </r>
  <r>
    <s v="W:\Livres\Informatique\Cloud\Microsoft Azure\Microsoft Azure Essentials, Azure Web Apps for Developers (2015) - [Microsoft Press] - Rick Rainey.pdf"/>
    <x v="3"/>
    <x v="13"/>
    <s v="Rick Rainey"/>
    <s v=""/>
    <s v=".pdf"/>
    <n v="102"/>
    <n v="11"/>
    <s v="Microsoft Azure Essentials, Azure Web Apps for Developers"/>
  </r>
  <r>
    <s v="W:\Livres\Informatique\Cloud\Microsoft Azure\Microsoft Azure Essentials, Fundamentals of Azure (2015) - [Microsoft Press] - Michael Collier, Robin Shahan.epub"/>
    <x v="3"/>
    <x v="13"/>
    <s v="Michael Collier, Robin Shahan"/>
    <s v=""/>
    <s v=".epub"/>
    <n v="113"/>
    <n v="29"/>
    <s v="Microsoft Azure Essentials, Fundamentals of Azure"/>
  </r>
  <r>
    <s v="W:\Livres\Informatique\Cloud\Microsoft Azure\Microsoft Azure Essentials, Fundamentals of Azure (2015) - [Microsoft Press] - Michael Collier, Robin Shahan.pdf"/>
    <x v="3"/>
    <x v="13"/>
    <s v="Michael Collier, Robin Shahan"/>
    <s v=""/>
    <s v=".pdf"/>
    <n v="112"/>
    <n v="29"/>
    <s v="Microsoft Azure Essentials, Fundamentals of Azure"/>
  </r>
  <r>
    <s v="W:\Livres\Informatique\Développement\Apprendre à programmer en ActionScript 3 (2008) - [Eyrolles] - Anne Tasso.pdf"/>
    <x v="13"/>
    <x v="6"/>
    <s v="Anne Tasso"/>
    <s v=""/>
    <s v=".pdf"/>
    <n v="77"/>
    <n v="10"/>
    <s v="Apprendre à programmer en ActionScript 3"/>
  </r>
  <r>
    <s v="W:\Livres\Informatique\Développement\HLSL Development Cookbook (2013) - [Packt] - Doron Feinstein.pdf"/>
    <x v="5"/>
    <x v="14"/>
    <s v="Doron Feinstein"/>
    <s v=""/>
    <s v=".pdf"/>
    <n v="64"/>
    <n v="15"/>
    <s v="HLSL Development Cookbook"/>
  </r>
  <r>
    <s v="W:\Livres\Informatique\Développement\iText in Action (2nd ed, 2011) - [Manning] - Bruno Lowagie.pdf"/>
    <x v="0"/>
    <x v="0"/>
    <s v="Bruno Lowagie"/>
    <s v=""/>
    <s v=".pdf"/>
    <n v="62"/>
    <n v="13"/>
    <s v="iText in Action"/>
  </r>
  <r>
    <s v="W:\Livres\Informatique\Développement\iText in Action (2007) - [Manning] - Bruno Lowagie.pdf"/>
    <x v="9"/>
    <x v="0"/>
    <s v="Bruno Lowagie"/>
    <s v=""/>
    <s v=".pdf"/>
    <n v="54"/>
    <n v="13"/>
    <s v="iText in Action"/>
  </r>
  <r>
    <s v="W:\Livres\Informatique\Développement\Android Dev\Android Programming Guide, Android App Development (2nd ed, 2015) - OS Swift.pdf"/>
    <x v="3"/>
    <x v="8"/>
    <s v="OS Swift"/>
    <s v=""/>
    <s v=".pdf"/>
    <n v="80"/>
    <n v="8"/>
    <s v="Android Programming Guide, Android App Development"/>
  </r>
  <r>
    <s v="W:\Livres\Informatique\Développement\Android Dev\Beginning Android 4 Application Development (2012) - [Wiley] - Wei-Meng Lee.pdf"/>
    <x v="8"/>
    <x v="22"/>
    <s v="Wei-Meng Lee"/>
    <s v=""/>
    <s v=".pdf"/>
    <n v="79"/>
    <n v="12"/>
    <s v="Beginning Android 4 Application Development"/>
  </r>
  <r>
    <s v="W:\Livres\Informatique\Développement\Android Dev\Building Android Apps with HTML CSS and JavaScript (2nd ed, 2012) - [O'Reilly] - Jonathan Stark.pdf"/>
    <x v="8"/>
    <x v="4"/>
    <s v="Jonathan Stark"/>
    <s v=""/>
    <s v=".pdf"/>
    <n v="99"/>
    <n v="14"/>
    <s v="Building Android Apps with HTML CSS and JavaScript"/>
  </r>
  <r>
    <s v="W:\Livres\Informatique\Développement\Android Dev\Cookbook développement Android 4 (2013) - [Dunod] - Gosset, Impérial, Pybourdin, Zynovieff.pdf"/>
    <x v="5"/>
    <x v="2"/>
    <s v="Gosset, Impérial, Pybourdin, Zynovieff"/>
    <s v=""/>
    <s v=".pdf"/>
    <n v="94"/>
    <n v="38"/>
    <s v="Cookbook développement Android 4"/>
  </r>
  <r>
    <s v="W:\Livres\Informatique\Développement\Android Dev\Cookbook développement Android 4 (2013), Sources Android.zip"/>
    <x v="5"/>
    <x v="8"/>
    <s v="?"/>
    <s v=""/>
    <s v=".zip"/>
    <n v="60"/>
    <n v="1"/>
    <s v="Cookbook développement Android 4"/>
  </r>
  <r>
    <s v="W:\Livres\Informatique\Développement\Android Dev\Créez des applications pour Android (2012) - [Le site du zéro] - AndroWiiid, Frédéric Espiau.pdf"/>
    <x v="8"/>
    <x v="49"/>
    <s v="AndroWiiid, Frédéric Espiau"/>
    <s v=""/>
    <s v=".pdf"/>
    <n v="96"/>
    <n v="27"/>
    <s v="Créez des applications pour Android"/>
  </r>
  <r>
    <s v="W:\Livres\Informatique\Développement\Android Dev\Hackez Google Android, Introduction à la programmation système (2009) - [Eyrolles] - Frédéric Brault.pdf"/>
    <x v="4"/>
    <x v="6"/>
    <s v="Frédéric Brault"/>
    <s v=""/>
    <s v=".pdf"/>
    <n v="104"/>
    <n v="15"/>
    <s v="Hackez Google Android, Introduction à la programmation système"/>
  </r>
  <r>
    <s v="W:\Livres\Informatique\Développement\Android Dev\Learn HTML5 and JavaScript for Android (2012) - [Apress] - Gavin Williams.pdf"/>
    <x v="8"/>
    <x v="42"/>
    <s v="Gavin Williams"/>
    <s v=""/>
    <s v=".pdf"/>
    <n v="77"/>
    <n v="14"/>
    <s v="Learn HTML5 and JavaScript for Android"/>
  </r>
  <r>
    <s v="W:\Livres\Informatique\Développement\Android Dev\Programmation Android, De la conception au déploiement avec le SDK Google Android 2 (2010) - [Eyrolles] - Guignard, Chable, Robles.pdf"/>
    <x v="14"/>
    <x v="6"/>
    <s v="Guignard, Chable, Robles"/>
    <s v=""/>
    <s v=".pdf"/>
    <n v="134"/>
    <n v="24"/>
    <s v="Programmation Android, De la conception au déploiement avec le SDK Google Android 2"/>
  </r>
  <r>
    <s v="W:\Livres\Informatique\Développement\Compilers\Advanced Compiler Design and Implementation (1997) - [Morgan Kaufmann] - Steven S. Muchnick.djvu"/>
    <x v="30"/>
    <x v="54"/>
    <s v="Steven S. Muchnick"/>
    <s v=""/>
    <s v=".djvu"/>
    <n v="96"/>
    <n v="18"/>
    <s v="Advanced Compiler Design and Implementation"/>
  </r>
  <r>
    <s v="W:\Livres\Informatique\Développement\Compilers\An Introduction to Compiler Construction (1993) - [Harper Collins] - William M. Waite, Lynn Robert Carter.djvu"/>
    <x v="21"/>
    <x v="55"/>
    <s v="William M. Waite, Lynn Robert Carter"/>
    <s v=""/>
    <s v=".djvu"/>
    <n v="110"/>
    <n v="36"/>
    <s v="An Introduction to Compiler Construction"/>
  </r>
  <r>
    <s v="W:\Livres\Informatique\Développement\Compilers\Basics of Compiler Design (2007) - [DIKU] - Torben Ægidius Mogensen.pdf"/>
    <x v="9"/>
    <x v="56"/>
    <s v="Torben Ægidius Mogensen"/>
    <s v=""/>
    <s v=".pdf"/>
    <n v="71"/>
    <n v="23"/>
    <s v="Basics of Compiler Design"/>
  </r>
  <r>
    <s v="W:\Livres\Informatique\Développement\Compilers\Compiler Design in C (1990) - [Prentice Hall] - Allen I. Holub.djvu"/>
    <x v="23"/>
    <x v="20"/>
    <s v="Allen I. Holub"/>
    <s v=""/>
    <s v=".djvu"/>
    <n v="67"/>
    <n v="14"/>
    <s v="Compiler Design in C"/>
  </r>
  <r>
    <s v="W:\Livres\Informatique\Développement\Compilers\Compiler Techniques (1972) - [Auerbach] - Bary W. Pollack.djvu"/>
    <x v="31"/>
    <x v="57"/>
    <s v="Bary W. Pollack"/>
    <s v=""/>
    <s v=".djvu"/>
    <n v="62"/>
    <n v="15"/>
    <s v="Compiler Techniques"/>
  </r>
  <r>
    <s v="W:\Livres\Informatique\Développement\Compilers\Compilers, Principles, Techniques, and Tools (2nd ed, 2007) - [Addison-Wesley] - Alfred V. Aho, Monica S. Lam, Ravi Sethi, Jeffrey D. Ullman.pdf"/>
    <x v="9"/>
    <x v="19"/>
    <s v="Alfred V. Aho, Monica S. Lam, Ravi Sethi, Jeffrey D. Ullman"/>
    <s v=""/>
    <s v=".pdf"/>
    <n v="144"/>
    <n v="59"/>
    <s v="Compilers, Principles, Techniques, and Tools"/>
  </r>
  <r>
    <s v="W:\Livres\Informatique\Développement\Compilers\Engineering a Compiler (2nd ed, 2012) - [Elsevier] - Keith Cooper, Linda Torczon.pdf"/>
    <x v="8"/>
    <x v="1"/>
    <s v="Keith Cooper, Linda Torczon"/>
    <s v=""/>
    <s v=".pdf"/>
    <n v="84"/>
    <n v="27"/>
    <s v="Engineering a Compiler"/>
  </r>
  <r>
    <s v="W:\Livres\Informatique\Développement\Compilers\Linkers and Loaders (2000) - [Morgan Kaufmann] - John R. Levine.djvu"/>
    <x v="7"/>
    <x v="54"/>
    <s v="John R. Levine"/>
    <s v=""/>
    <s v=".djvu"/>
    <n v="68"/>
    <n v="14"/>
    <s v="Linkers and Loaders"/>
  </r>
  <r>
    <s v="W:\Livres\Informatique\Développement\Compilers\Modern Compiler Implementation in C (1998) - [Cambridge] - Andrew W. Appel.djvu"/>
    <x v="12"/>
    <x v="17"/>
    <s v="Andrew W. Appel"/>
    <s v=""/>
    <s v=".djvu"/>
    <n v="79"/>
    <n v="15"/>
    <s v="Modern Compiler Implementation in C"/>
  </r>
  <r>
    <s v="W:\Livres\Informatique\Développement\Compilers\Object-Oriented Compiler Construction (1995) - [Prentice Hall] - Jim Holmes.djvu"/>
    <x v="28"/>
    <x v="20"/>
    <s v="Jim Holmes"/>
    <s v=""/>
    <s v=".djvu"/>
    <n v="80"/>
    <n v="10"/>
    <s v="Object-Oriented Compiler Construction"/>
  </r>
  <r>
    <s v="W:\Livres\Informatique\Développement\Compilers\The Design and Construction of Compilers (1981) - [Wiley] - Robin Hunter.djvu"/>
    <x v="32"/>
    <x v="22"/>
    <s v="Robin Hunter"/>
    <s v=""/>
    <s v=".djvu"/>
    <n v="77"/>
    <n v="12"/>
    <s v="The Design and Construction of Compilers"/>
  </r>
  <r>
    <s v="W:\Livres\Informatique\Développement\Compilers\The Theory and Practice of Compiler Writing (1985) - [McGraw-Hill] - Jean-Paul Tremblay, Paul G. Sorenson.djvu"/>
    <x v="19"/>
    <x v="41"/>
    <s v="Jean-Paul Tremblay, Paul G. Sorenson"/>
    <s v=""/>
    <s v=".djvu"/>
    <n v="110"/>
    <n v="36"/>
    <s v="The Theory and Practice of Compiler Writing"/>
  </r>
  <r>
    <s v="W:\Livres\Informatique\Développement\Compilers\Understanding and Writing Compilers (2008) - Richard Bornat.pdf"/>
    <x v="13"/>
    <x v="8"/>
    <s v="Richard Bornat"/>
    <s v=""/>
    <s v=".pdf"/>
    <n v="63"/>
    <n v="14"/>
    <s v="Understanding and Writing Compilers"/>
  </r>
  <r>
    <s v="W:\Livres\Informatique\Développement\Compilers\Writing Interactive Compilers and Interpreters (1979) - [Wiley] - P.J. Brown.djvu"/>
    <x v="33"/>
    <x v="22"/>
    <s v="P.J. Brown"/>
    <s v=""/>
    <s v=".djvu"/>
    <n v="81"/>
    <n v="10"/>
    <s v="Writing Interactive Compilers and Interpreters"/>
  </r>
  <r>
    <s v="W:\Livres\Informatique\Développement\Debugging\Debugging with GDB 5.1.1 (9th ed, 2002) - [GNU Press] - Richard Stallman, Roland Pesch, Stan Shebs et al.pdf"/>
    <x v="16"/>
    <x v="58"/>
    <s v="Richard Stallman, Roland Pesch, Stan Shebs et al"/>
    <s v=""/>
    <s v=".pdf"/>
    <n v="108"/>
    <n v="48"/>
    <s v="Debugging with GDB 5.1.1"/>
  </r>
  <r>
    <s v="W:\Livres\Informatique\Développement\Debugging\GDB Quick Reference for version 4 (1998) - [Free Software Foundation] - Roland H. Pesch.pdf"/>
    <x v="12"/>
    <x v="59"/>
    <s v="Roland H. Pesch"/>
    <s v=""/>
    <s v=".pdf"/>
    <n v="91"/>
    <n v="15"/>
    <s v="GDB Quick Reference for version 4"/>
  </r>
  <r>
    <s v="W:\Livres\Informatique\Développement\Debugging\Memory Dump Analysis Anthology, Volume 1 (2008) - [Open Task] - Dmitry Vostokov.pdf"/>
    <x v="13"/>
    <x v="60"/>
    <s v="Dmitry Vostokov"/>
    <s v=""/>
    <s v=".pdf"/>
    <n v="83"/>
    <n v="15"/>
    <s v="Memory Dump Analysis Anthology, Volume 1"/>
  </r>
  <r>
    <s v="W:\Livres\Informatique\Développement\Debugging\The Developer's Guide to Debugging (2008) - [Springer] - Grötker, Holtmann, Keding, Wloka.pdf"/>
    <x v="13"/>
    <x v="9"/>
    <s v="Grötker, Holtmann, Keding, Wloka"/>
    <s v=""/>
    <s v=".pdf"/>
    <n v="93"/>
    <n v="32"/>
    <s v="The Developer's Guide to Debugging"/>
  </r>
  <r>
    <s v="W:\Livres\Informatique\Développement\Debugging\Why Programs Fail, A Guide to Systematic Debugging (2nd ed, 2009) - [Elsevier] - Andreas Zeller.pdf"/>
    <x v="4"/>
    <x v="1"/>
    <s v="Andreas Zeller"/>
    <s v=""/>
    <s v=".pdf"/>
    <n v="99"/>
    <n v="14"/>
    <s v="Why Programs Fail, A Guide to Systematic Debugging"/>
  </r>
  <r>
    <s v="W:\Livres\Informatique\Développement\Développement de jeux\A Theory of Fun for Game Design (2005) {Scan} - [Paraglyph] - Raph Koster.pdf"/>
    <x v="1"/>
    <x v="61"/>
    <s v="Raph Koster"/>
    <s v="Scan"/>
    <s v=".pdf"/>
    <n v="77"/>
    <n v="11"/>
    <s v="A Theory of Fun for Game Design"/>
  </r>
  <r>
    <s v="W:\Livres\Informatique\Développement\Développement de jeux\Android Game Programming for Dummies (2013) - [Wiley] - Derek James.pdf"/>
    <x v="5"/>
    <x v="22"/>
    <s v="Derek James"/>
    <s v=""/>
    <s v=".pdf"/>
    <n v="71"/>
    <n v="11"/>
    <s v="Android Game Programming for Dummies"/>
  </r>
  <r>
    <s v="W:\Livres\Informatique\Développement\Développement de jeux\Beginning .Net Game Programming in VB.Net (2004) - [Apress] - David Weller, Alexandre Santos Lobão, Ellen Hatton.pdf"/>
    <x v="26"/>
    <x v="42"/>
    <s v="David Weller, Alexandre Santos Lobão, Ellen Hatton"/>
    <s v=""/>
    <s v=".pdf"/>
    <n v="116"/>
    <n v="50"/>
    <s v="Beginning .Net Game Programming in VB.Net"/>
  </r>
  <r>
    <s v="W:\Livres\Informatique\Développement\Développement de jeux\Beginning C++ Through Game Programming (3rd ed, 2011) - [Cengage Learning] - Michael Dawson.pdf"/>
    <x v="0"/>
    <x v="51"/>
    <s v="Michael Dawson"/>
    <s v=""/>
    <s v=".pdf"/>
    <n v="95"/>
    <n v="14"/>
    <s v="Beginning C++ Through Game Programming"/>
  </r>
  <r>
    <s v="W:\Livres\Informatique\Développement\Développement de jeux\Beginning iPhone Games Development (2010) - [Apress] - Bakhirev, Cabrera, Marsh, Penberthy, Smith, Wing.pdf"/>
    <x v="14"/>
    <x v="42"/>
    <s v="Bakhirev, Cabrera, Marsh, Penberthy, Smith, Wing"/>
    <s v=""/>
    <s v=".pdf"/>
    <n v="107"/>
    <n v="48"/>
    <s v="Beginning iPhone Games Development"/>
  </r>
  <r>
    <s v="W:\Livres\Informatique\Développement\Développement de jeux\Beginning Java SE 6 Game Programming (3rd ed, 2012) - [Cengage Learning] - Jonathan S. Harbour.pdf"/>
    <x v="8"/>
    <x v="51"/>
    <s v="Jonathan S. Harbour"/>
    <s v=""/>
    <s v=".pdf"/>
    <n v="98"/>
    <n v="19"/>
    <s v="Beginning Java SE 6 Game Programming"/>
  </r>
  <r>
    <s v="W:\Livres\Informatique\Développement\Développement de jeux\C# Game Programming for Serious Game Creation (2011) - [Cengage Learning] - Daniel Schuller.pdf"/>
    <x v="0"/>
    <x v="51"/>
    <s v="Daniel Schuller"/>
    <s v=""/>
    <s v=".pdf"/>
    <n v="95"/>
    <n v="15"/>
    <s v="C# Game Programming for Serious Game Creation"/>
  </r>
  <r>
    <s v="W:\Livres\Informatique\Développement\Développement de jeux\Comment devenir programmeur de jeux vidéo, Guide de survie - David Mekersa.pdf"/>
    <x v="10"/>
    <x v="8"/>
    <s v="David Mekersa"/>
    <s v=""/>
    <s v=".pdf"/>
    <n v="78"/>
    <n v="13"/>
    <s v="Comment devenir programmeur de jeux vidéo, Guide de survie"/>
  </r>
  <r>
    <s v="W:\Livres\Informatique\Développement\Développement de jeux\Core Techniques and Algorithms in Game Programming (2003) {Dump} - [New Riders Publishing] - Daniel Sánchez-Crespo.pdf"/>
    <x v="25"/>
    <x v="62"/>
    <s v="Daniel Sánchez-Crespo"/>
    <s v="Dump"/>
    <s v=".pdf"/>
    <n v="118"/>
    <n v="21"/>
    <s v="Core Techniques and Algorithms in Game Programming"/>
  </r>
  <r>
    <s v="W:\Livres\Informatique\Développement\Développement de jeux\Créez des jeux de A à Z avec Unity (2015) - [D-BookeR] - Anthony Cardinale.pdf"/>
    <x v="3"/>
    <x v="63"/>
    <s v="Anthony Cardinale"/>
    <s v=""/>
    <s v=".pdf"/>
    <n v="78"/>
    <n v="17"/>
    <s v="Créez des jeux de A à Z avec Unity"/>
  </r>
  <r>
    <s v="W:\Livres\Informatique\Développement\Développement de jeux\Data Structures and Algorithms for Game Developers (2007) - [Charles River Media] - Allen Sherrod.pdf"/>
    <x v="9"/>
    <x v="64"/>
    <s v="Allen Sherrod"/>
    <s v=""/>
    <s v=".pdf"/>
    <n v="101"/>
    <n v="13"/>
    <s v="Data Structures and Algorithms for Game Developers"/>
  </r>
  <r>
    <s v="W:\Livres\Informatique\Développement\Développement de jeux\Développer des jeux en HTML5 et JavaScript (2013) - [Eyrolles] - Samuel Ronce.pdf"/>
    <x v="5"/>
    <x v="6"/>
    <s v="Samuel Ronce"/>
    <s v=""/>
    <s v=".pdf"/>
    <n v="81"/>
    <n v="12"/>
    <s v="Développer des jeux en HTML5 et JavaScript"/>
  </r>
  <r>
    <s v="W:\Livres\Informatique\Développement\Développement de jeux\GameMaker Studio for Dummies (2014) - [Wiley] - Michael Rohde.pdf"/>
    <x v="6"/>
    <x v="22"/>
    <s v="Michael Rohde"/>
    <s v=""/>
    <s v=".pdf"/>
    <n v="65"/>
    <n v="13"/>
    <s v="GameMaker Studio for Dummies"/>
  </r>
  <r>
    <s v="W:\Livres\Informatique\Développement\Développement de jeux\Invent Your Own Computer Games with Python (2nd ed, 2010) - Al Sweigart.pdf"/>
    <x v="14"/>
    <x v="8"/>
    <s v="Al Sweigart"/>
    <s v=""/>
    <s v=".pdf"/>
    <n v="75"/>
    <n v="11"/>
    <s v="Invent Your Own Computer Games with Python"/>
  </r>
  <r>
    <s v="W:\Livres\Informatique\Développement\Développement de jeux\Level Up! The Guide to Great Video Game Design (2010) - [Wiley] - Scott Rogers.pdf"/>
    <x v="14"/>
    <x v="22"/>
    <s v="Scott Rogers"/>
    <s v=""/>
    <s v=".pdf"/>
    <n v="82"/>
    <n v="12"/>
    <s v="Level Up! The Guide to Great Video Game Design"/>
  </r>
  <r>
    <s v="W:\Livres\Informatique\Développement\Développement de jeux\Making Games with Python &amp; Pygame (2012) - Al Sweigart.pdf"/>
    <x v="8"/>
    <x v="8"/>
    <s v="Al Sweigart"/>
    <s v=""/>
    <s v=".pdf"/>
    <n v="58"/>
    <n v="11"/>
    <s v="Making Games with Python &amp; Pygame"/>
  </r>
  <r>
    <s v="W:\Livres\Informatique\Développement\Développement de jeux\Physics for Game Developers (2002) {Scan} - [O'Reilly] - David M. Bourg.pdf"/>
    <x v="16"/>
    <x v="4"/>
    <s v="David M. Bourg"/>
    <s v="Scan"/>
    <s v=".pdf"/>
    <n v="75"/>
    <n v="14"/>
    <s v="Physics for Game Developers"/>
  </r>
  <r>
    <s v="W:\Livres\Informatique\Développement\Développement de jeux\Pro Android Web Game Apps (2012) - [Apress] - Juriy Bura, Paul Coates.pdf"/>
    <x v="8"/>
    <x v="42"/>
    <s v="Juriy Bura, Paul Coates"/>
    <s v=""/>
    <s v=".pdf"/>
    <n v="73"/>
    <n v="23"/>
    <s v="Pro Android Web Game Apps"/>
  </r>
  <r>
    <s v="W:\Livres\Informatique\Développement\Développement de jeux\Procedural Content Generation for C++ Game Development (2016) - [Packt] - Dale Green.pdf"/>
    <x v="2"/>
    <x v="14"/>
    <s v="Dale Green"/>
    <s v=""/>
    <s v=".pdf"/>
    <n v="88"/>
    <n v="10"/>
    <s v="Procedural Content Generation for C++ Game Development"/>
  </r>
  <r>
    <s v="W:\Livres\Informatique\Développement\Développement de jeux\Procedural Content Generation for C++ Game Development (2016) - Dale Green.epub"/>
    <x v="2"/>
    <x v="8"/>
    <s v="Dale Green"/>
    <s v=""/>
    <s v=".epub"/>
    <n v="79"/>
    <n v="10"/>
    <s v="Procedural Content Generation for C++ Game Development"/>
  </r>
  <r>
    <s v="W:\Livres\Informatique\Développement\Développement de jeux\Rules of Play, Game Design Fundamentals (2004) {Weird page numbering} - [MIT Press] - Katie Salen, Eric Zimmerman.pdf"/>
    <x v="26"/>
    <x v="32"/>
    <s v="Katie Salen, Eric Zimmerman"/>
    <s v="Weird page numbering"/>
    <s v=".pdf"/>
    <n v="117"/>
    <n v="27"/>
    <s v="Rules of Play, Game Design Fundamentals"/>
  </r>
  <r>
    <s v="W:\Livres\Informatique\Développement\Développement de jeux\Scratch 2.0 Game Development Hotshot - [Packt] - Sergio van Pul, Jessica Chiang.pdf"/>
    <x v="10"/>
    <x v="14"/>
    <s v="Sergio van Pul, Jessica Chiang"/>
    <s v=""/>
    <s v=".pdf"/>
    <n v="83"/>
    <n v="30"/>
    <s v="Scratch 2.0 Game Development Hotshot"/>
  </r>
  <r>
    <s v="W:\Livres\Informatique\Développement\Développement de jeux\SDL 2.0 Game Development (2013) - [Packt] - Shaun Mitchell.pdf"/>
    <x v="5"/>
    <x v="14"/>
    <s v="Shaun Mitchell"/>
    <s v=""/>
    <s v=".pdf"/>
    <n v="62"/>
    <n v="14"/>
    <s v="SDL 2.0 Game Development"/>
  </r>
  <r>
    <s v="W:\Livres\Informatique\Développement\Développement de jeux\The Art of Game Design, A Book of Lenses (2008) - [Elsevier] - Jesse Schell.pdf"/>
    <x v="13"/>
    <x v="1"/>
    <s v="Jesse Schell"/>
    <s v=""/>
    <s v=".pdf"/>
    <n v="79"/>
    <n v="12"/>
    <s v="The Art of Game Design, A Book of Lenses"/>
  </r>
  <r>
    <s v="W:\Livres\Informatique\Développement\Git\Pro Git (2009) - Scott Chacon.pdf"/>
    <x v="4"/>
    <x v="8"/>
    <s v="Scott Chacon"/>
    <s v=""/>
    <s v=".pdf"/>
    <n v="33"/>
    <n v="12"/>
    <s v="Pro Git"/>
  </r>
  <r>
    <s v="W:\Livres\Informatique\Développement\Git\Version Control with Git (2nd ed, 2012) - [O'Reilly] - Jon Loeliger, Matthew McCullough.pdf"/>
    <x v="8"/>
    <x v="4"/>
    <s v="Jon Loeliger, Matthew McCullough"/>
    <s v=""/>
    <s v=".pdf"/>
    <n v="91"/>
    <n v="32"/>
    <s v="Version Control with Git"/>
  </r>
  <r>
    <s v="W:\Livres\Informatique\Développement\iOS Dev\Beginning iOS Application Development with HTML and JavaScript (2012) - [Wiley] - Richard Wagner.pdf"/>
    <x v="8"/>
    <x v="22"/>
    <s v="Richard Wagner"/>
    <s v=""/>
    <s v=".pdf"/>
    <n v="100"/>
    <n v="14"/>
    <s v="Beginning iOS Application Development with HTML and JavaScript"/>
  </r>
  <r>
    <s v="W:\Livres\Informatique\Développement\iOS Dev\Cookbook Développement iOS 7 (2013) - [Dunod] - Zinovieff, Pybourdin, Impérial, Gosset.pdf"/>
    <x v="5"/>
    <x v="2"/>
    <s v="Zinovieff, Pybourdin, Impérial, Gosset"/>
    <s v=""/>
    <s v=".pdf"/>
    <n v="90"/>
    <n v="38"/>
    <s v="Cookbook Développement iOS 7"/>
  </r>
  <r>
    <s v="W:\Livres\Informatique\Développement\Latex\A Guide to Latex and Electronic Publishing (4th ed, 2004) - [Addison-Wesley] - Helmut Kopka, Patrick W. Daly.pdf"/>
    <x v="26"/>
    <x v="19"/>
    <s v="Helmut Kopka, Patrick W. Daly"/>
    <s v=""/>
    <s v=".pdf"/>
    <n v="112"/>
    <n v="29"/>
    <s v="A Guide to Latex and Electronic Publishing"/>
  </r>
  <r>
    <s v="W:\Livres\Informatique\Développement\Latex\A Simplified Introduction to LaTeX (1999) - Harvey J. Greenberg.pdf"/>
    <x v="11"/>
    <x v="8"/>
    <s v="Harvey J. Greenberg"/>
    <s v=""/>
    <s v=".pdf"/>
    <n v="67"/>
    <n v="19"/>
    <s v="A Simplified Introduction to LaTeX"/>
  </r>
  <r>
    <s v="W:\Livres\Informatique\Développement\Latex\Latex en sciences humaines (2012) - [Atramenta] - Maïeul Rouquette.pdf"/>
    <x v="8"/>
    <x v="65"/>
    <s v="Maïeul Rouquette"/>
    <s v=""/>
    <s v=".pdf"/>
    <n v="70"/>
    <n v="16"/>
    <s v="Latex en sciences humaines"/>
  </r>
  <r>
    <s v="W:\Livres\Informatique\Développement\Latex\Learning Latex (1997) {Scan} - [Siam] - David F. Griffiths, Desmond J. Higham.pdf"/>
    <x v="30"/>
    <x v="66"/>
    <s v="David F. Griffiths, Desmond J. Higham"/>
    <s v="Scan"/>
    <s v=".pdf"/>
    <n v="81"/>
    <n v="37"/>
    <s v="Learning Latex"/>
  </r>
  <r>
    <s v="W:\Livres\Informatique\Développement\Latex\Math into LaTeX, Introduction to LaTeX and AMS-LaTeX (1996) - [Birkhauser] - George Grätzer.pdf"/>
    <x v="22"/>
    <x v="67"/>
    <s v="George Grätzer"/>
    <s v=""/>
    <s v=".pdf"/>
    <n v="95"/>
    <n v="14"/>
    <s v="Math into LaTeX, Introduction to LaTeX and AMS-LaTeX"/>
  </r>
  <r>
    <s v="W:\Livres\Informatique\Développement\Latex\The LaTeX Companion, Tools and Techniques for Computer Typesetting (2nd ed, 2004) {Scan} - [Addison-Wesley] - Mittelbach, Goossens.djvu"/>
    <x v="26"/>
    <x v="19"/>
    <s v="Mittelbach, Goossens"/>
    <s v="Scan"/>
    <s v=".djvu"/>
    <n v="135"/>
    <n v="20"/>
    <s v="The LaTeX Companion, Tools and Techniques for Computer Typesetting"/>
  </r>
  <r>
    <s v="W:\Livres\Informatique\Développement\Latex\The LaTeX Companion, Tools and Techniques for Computer Typesetting (2nd ed, 2004) {Scan} - [Addison-Wesley] - Mittelbach, Goossens.pdf"/>
    <x v="26"/>
    <x v="19"/>
    <s v="Mittelbach, Goossens"/>
    <s v="Scan"/>
    <s v=".pdf"/>
    <n v="134"/>
    <n v="20"/>
    <s v="The LaTeX Companion, Tools and Techniques for Computer Typesetting"/>
  </r>
  <r>
    <s v="W:\Livres\Informatique\Développement\Latex\The TeXbook (1991) - [Addison-Wesley] - Donald Knuth.pdf"/>
    <x v="34"/>
    <x v="19"/>
    <s v="Donald Knuth"/>
    <s v=""/>
    <s v=".pdf"/>
    <n v="56"/>
    <n v="12"/>
    <s v="The TeXbook"/>
  </r>
  <r>
    <s v="W:\Livres\Informatique\Développement\Latex\Tout ce que vous avez toujours voulu savoir sur Latex sans jamais oser le demander (2013) - [Framabook] - Vincent Lozano.pdf"/>
    <x v="5"/>
    <x v="68"/>
    <s v="Vincent Lozano"/>
    <s v=""/>
    <s v=".pdf"/>
    <n v="124"/>
    <n v="14"/>
    <s v="Tout ce que vous avez toujours voulu savoir sur Latex sans jamais oser le demander"/>
  </r>
  <r>
    <s v="W:\Livres\Informatique\Développement\Linux Dev\Advanced Bash-Scripting Guide v10 (2014) - Mendel Cooper.pdf"/>
    <x v="6"/>
    <x v="8"/>
    <s v="Mendel Cooper"/>
    <s v=""/>
    <s v=".pdf"/>
    <n v="60"/>
    <n v="13"/>
    <s v="Advanced Bash-Scripting Guide v10"/>
  </r>
  <r>
    <s v="W:\Livres\Informatique\Développement\Linux Dev\Advanced Linux Programming (2001) - [New Riders] - Mark Mitchell, Jeffrey Oldham, Alex Samuel.pdf"/>
    <x v="15"/>
    <x v="69"/>
    <s v="Mark Mitchell, Jeffrey Oldham, Alex Samuel"/>
    <s v=""/>
    <s v=".pdf"/>
    <n v="97"/>
    <n v="42"/>
    <s v="Advanced Linux Programming"/>
  </r>
  <r>
    <s v="W:\Livres\Informatique\Développement\Linux Dev\Bash, Le livre de recettes (2007) - [O'Reilly] - Albing, Vossen, Newham.pdf"/>
    <x v="9"/>
    <x v="4"/>
    <s v="Albing, Vossen, Newham"/>
    <s v=""/>
    <s v=".pdf"/>
    <n v="75"/>
    <n v="22"/>
    <s v="Bash, Le livre de recettes"/>
  </r>
  <r>
    <s v="W:\Livres\Informatique\Développement\Linux Dev\Beginning Linux Programming (3rd ed, 2004) - [Wiley] - Neil Matthew, Richard Stones.pdf"/>
    <x v="26"/>
    <x v="22"/>
    <s v="Neil Matthew, Richard Stones"/>
    <s v=""/>
    <s v=".pdf"/>
    <n v="87"/>
    <n v="28"/>
    <s v="Beginning Linux Programming"/>
  </r>
  <r>
    <s v="W:\Livres\Informatique\Développement\Linux Dev\Beginning Linux Programming (4th ed, 2008) - [Wiley] - Neil Matthew, Richard Stones.pdf"/>
    <x v="13"/>
    <x v="22"/>
    <s v="Neil Matthew, Richard Stones"/>
    <s v=""/>
    <s v=".pdf"/>
    <n v="87"/>
    <n v="28"/>
    <s v="Beginning Linux Programming"/>
  </r>
  <r>
    <s v="W:\Livres\Informatique\Développement\Linux Dev\Expert Shell Scripting (2009) - [Apress] - Ron Peters.pdf"/>
    <x v="4"/>
    <x v="42"/>
    <s v="Ron Peters"/>
    <s v=""/>
    <s v=".pdf"/>
    <n v="57"/>
    <n v="10"/>
    <s v="Expert Shell Scripting"/>
  </r>
  <r>
    <s v="W:\Livres\Informatique\Développement\Linux Dev\Guide avancé d'écriture des scripts Bash 5.3 (2008) - Mendel Cooper.pdf"/>
    <x v="13"/>
    <x v="8"/>
    <s v="Mendel Cooper"/>
    <s v=""/>
    <s v=".pdf"/>
    <n v="71"/>
    <n v="13"/>
    <s v="Guide avancé d'écriture des scripts Bash 5.3"/>
  </r>
  <r>
    <s v="W:\Livres\Informatique\Développement\Linux Dev\Linux Command Line and Shell Scripting Bible (2nd ed, 2011) - [Wiley] - Richard Blum, Christine Bresnahan.pdf"/>
    <x v="0"/>
    <x v="22"/>
    <s v="Richard Blum, Christine Bresnahan"/>
    <s v=""/>
    <s v=".pdf"/>
    <n v="109"/>
    <n v="33"/>
    <s v="Linux Command Line and Shell Scripting Bible"/>
  </r>
  <r>
    <s v="W:\Livres\Informatique\Développement\Linux Dev\Linux Command Line and Shell Scripting Bible (3rd ed, 2015) - [Wiley] - Richard Blum, Christine Bresnahan.pdf"/>
    <x v="3"/>
    <x v="22"/>
    <s v="Richard Blum, Christine Bresnahan"/>
    <s v=""/>
    <s v=".pdf"/>
    <n v="109"/>
    <n v="33"/>
    <s v="Linux Command Line and Shell Scripting Bible"/>
  </r>
  <r>
    <s v="W:\Livres\Informatique\Développement\Linux Dev\Linux Complete Command Reference (1997) - [Red Hat Press] - J. Purcell.pdf"/>
    <x v="30"/>
    <x v="70"/>
    <s v="J. Purcell"/>
    <s v=""/>
    <s v=".pdf"/>
    <n v="74"/>
    <n v="10"/>
    <s v="Linux Complete Command Reference"/>
  </r>
  <r>
    <s v="W:\Livres\Informatique\Développement\Linux Dev\Linux Device Drivers (2nd ed, 2001) - [O'Reilly] - Alessandro Rubini, Jonathan Corbet.pdf"/>
    <x v="15"/>
    <x v="4"/>
    <s v="Alessandro Rubini, Jonathan Corbet"/>
    <s v=""/>
    <s v=".pdf"/>
    <n v="89"/>
    <n v="34"/>
    <s v="Linux Device Drivers"/>
  </r>
  <r>
    <s v="W:\Livres\Informatique\Développement\Linux Dev\Linux Device Drivers (3rd ed, 2005) - [O'Reilly] - Jonathan Corbet, Alessandro Rubini, Greg Kroah-Hartman.pdf"/>
    <x v="1"/>
    <x v="4"/>
    <s v="Jonathan Corbet, Alessandro Rubini, Greg Kroah-Hartman"/>
    <s v=""/>
    <s v=".pdf"/>
    <n v="109"/>
    <n v="54"/>
    <s v="Linux Device Drivers"/>
  </r>
  <r>
    <s v="W:\Livres\Informatique\Développement\Linux Dev\Linux System Programming, Talking directly to the Kernel and C library (2007) - [O'Reilly] - Robert Love.pdf"/>
    <x v="9"/>
    <x v="4"/>
    <s v="Robert Love"/>
    <s v=""/>
    <s v=".pdf"/>
    <n v="108"/>
    <n v="11"/>
    <s v="Linux System Programming, Talking directly to the Kernel and C library"/>
  </r>
  <r>
    <s v="W:\Livres\Informatique\Développement\Linux Dev\Pro Bash Programming (1st ed, 2009) - [Apress] - Johnson, Varma.pdf"/>
    <x v="4"/>
    <x v="42"/>
    <s v="Johnson, Varma"/>
    <s v=""/>
    <s v=".pdf"/>
    <n v="67"/>
    <n v="14"/>
    <s v="Pro Bash Programming"/>
  </r>
  <r>
    <s v="W:\Livres\Informatique\Développement\Linux Dev\Pro Bash Programming (2nd ed, 2015) - [Apress] - Johnson, Varma.pdf"/>
    <x v="3"/>
    <x v="42"/>
    <s v="Johnson, Varma"/>
    <s v=""/>
    <s v=".pdf"/>
    <n v="67"/>
    <n v="14"/>
    <s v="Pro Bash Programming"/>
  </r>
  <r>
    <s v="W:\Livres\Informatique\Développement\Linux Dev\Professional Linux Programming (2007) - [Wiley] - Jon Masters, Richard Blum.pdf"/>
    <x v="9"/>
    <x v="22"/>
    <s v="Jon Masters, Richard Blum"/>
    <s v=""/>
    <s v=".pdf"/>
    <n v="79"/>
    <n v="25"/>
    <s v="Professional Linux Programming"/>
  </r>
  <r>
    <s v="W:\Livres\Informatique\Développement\Linux Dev\Programmation système en C sous Linux (2000) - [Eyrolles] - Christophe Blaess.pdf"/>
    <x v="7"/>
    <x v="6"/>
    <s v="Christophe Blaess"/>
    <s v=""/>
    <s v=".pdf"/>
    <n v="81"/>
    <n v="17"/>
    <s v="Programmation système en C sous Linux"/>
  </r>
  <r>
    <s v="W:\Livres\Informatique\Développement\Linux Dev\Shell Scripting (2011) - [Wiley] - Steve Parker.pdf"/>
    <x v="0"/>
    <x v="22"/>
    <s v="Steve Parker"/>
    <s v=""/>
    <s v=".pdf"/>
    <n v="51"/>
    <n v="12"/>
    <s v="Shell Scripting"/>
  </r>
  <r>
    <s v="W:\Livres\Informatique\Développement\Linux Dev\Shells Linux et Unix par la pratique (2008) - [Eyrolles] - Christophe Blaess.pdf"/>
    <x v="13"/>
    <x v="6"/>
    <s v="Christophe Blaess"/>
    <s v=""/>
    <s v=".pdf"/>
    <n v="80"/>
    <n v="17"/>
    <s v="Shells Linux et Unix par la pratique"/>
  </r>
  <r>
    <s v="W:\Livres\Informatique\Développement\Linux Dev\The Linux Command Line, A Complete Introduction (2012) - [No Starch] - William Shotts.pdf"/>
    <x v="8"/>
    <x v="15"/>
    <s v="William Shotts"/>
    <s v=""/>
    <s v=".pdf"/>
    <n v="89"/>
    <n v="14"/>
    <s v="The Linux Command Line, A Complete Introduction"/>
  </r>
  <r>
    <s v="W:\Livres\Informatique\Développement\Linux Dev\The Linux Kernel Module Programming Guide (2007) - Peter Jay Salzman, Michael Burian, Ori Pomerantz.pdf"/>
    <x v="9"/>
    <x v="8"/>
    <s v="Peter Jay Salzman, Michael Burian, Ori Pomerantz"/>
    <s v=""/>
    <s v=".pdf"/>
    <n v="103"/>
    <n v="48"/>
    <s v="The Linux Kernel Module Programming Guide"/>
  </r>
  <r>
    <s v="W:\Livres\Informatique\Développement\Linux Dev\Unix and Shell Programming (2013) - [Oxford] - B.M. Harwani.pdf"/>
    <x v="5"/>
    <x v="71"/>
    <s v="B.M. Harwani"/>
    <s v=""/>
    <s v=".pdf"/>
    <n v="63"/>
    <n v="12"/>
    <s v="Unix and Shell Programming"/>
  </r>
  <r>
    <s v="W:\Livres\Informatique\Développement\Linux Dev\Unix Network Programming Volume 2, Interprocess Communications (1998) {Scan} - [Prentice Hall] - W. Richard Stevens.pdf"/>
    <x v="12"/>
    <x v="20"/>
    <s v="W. Richard Stevens"/>
    <s v="Scan"/>
    <s v=".pdf"/>
    <n v="119"/>
    <n v="18"/>
    <s v="Unix Network Programming Volume 2, Interprocess Communications"/>
  </r>
  <r>
    <s v="W:\Livres\Informatique\Développement\Mac OS Dev\Advanced Mac OS X Programming (2011) - [Big nerd ranch] - Mark Dalrymple.pdf"/>
    <x v="0"/>
    <x v="72"/>
    <s v="Mark Dalrymple"/>
    <s v=""/>
    <s v=".pdf"/>
    <n v="76"/>
    <n v="14"/>
    <s v="Advanced Mac OS X Programming"/>
  </r>
  <r>
    <s v="W:\Livres\Informatique\Développement\Mac OS Dev\Beginning Mac Programming, Develop with Objective-C and Cocoa (2010) - [The Pragmatic Programmers] - Tim Isted.pdf"/>
    <x v="14"/>
    <x v="44"/>
    <s v="Tim Isted"/>
    <s v=""/>
    <s v=".pdf"/>
    <n v="114"/>
    <n v="9"/>
    <s v="Beginning Mac Programming, Develop with Objective-C and Cocoa"/>
  </r>
  <r>
    <s v="W:\Livres\Informatique\Développement\Mac OS Dev\Cocoa and Objective C, Up and Running (2010) - [O'Reilly] - Scott Stevenson.pdf"/>
    <x v="14"/>
    <x v="4"/>
    <s v="Scott Stevenson"/>
    <s v=""/>
    <s v=".pdf"/>
    <n v="79"/>
    <n v="15"/>
    <s v="Cocoa and Objective C, Up and Running"/>
  </r>
  <r>
    <s v="W:\Livres\Informatique\Développement\Mac OS Dev\Cocoa Developer Reference (2010) - [Wiley] - Richard Wentk.pdf"/>
    <x v="14"/>
    <x v="22"/>
    <s v="Richard Wentk"/>
    <s v=""/>
    <s v=".pdf"/>
    <n v="62"/>
    <n v="13"/>
    <s v="Cocoa Developer Reference"/>
  </r>
  <r>
    <s v="W:\Livres\Informatique\Développement\Mac OS Dev\Cocoa Programming Developer's Handbook (2010) - [Addison-Wesley] - David Chisnall.pdf"/>
    <x v="14"/>
    <x v="19"/>
    <s v="David Chisnall"/>
    <s v=""/>
    <s v=".pdf"/>
    <n v="85"/>
    <n v="14"/>
    <s v="Cocoa Programming Developer's Handbook"/>
  </r>
  <r>
    <s v="W:\Livres\Informatique\Développement\Mac OS Dev\Cocoa Programming, A Quick Start Guide for Developers (2010) - [The Pragmatic Programmers] - Daniel H Steinberg.pdf"/>
    <x v="14"/>
    <x v="44"/>
    <s v="Daniel H Steinberg"/>
    <s v=""/>
    <s v=".pdf"/>
    <n v="115"/>
    <n v="18"/>
    <s v="Cocoa Programming, A Quick Start Guide for Developers"/>
  </r>
  <r>
    <s v="W:\Livres\Informatique\Développement\Mac OS Dev\Cocoa Recipes for Mac OS X (2nd ed, 2010) - [Peachpit] - Bill Cheeseman.pdf"/>
    <x v="14"/>
    <x v="73"/>
    <s v="Bill Cheeseman"/>
    <s v=""/>
    <s v=".pdf"/>
    <n v="75"/>
    <n v="14"/>
    <s v="Cocoa Recipes for Mac OS X"/>
  </r>
  <r>
    <s v="W:\Livres\Informatique\Développement\Mac OS Dev\Concurrent Programming in Mac OS X and iOS with Grand Central Dispatch (2011) - [O'Reilly] - Vandad Nahavandipoor.pdf"/>
    <x v="0"/>
    <x v="4"/>
    <s v="Vandad Nahavandipoor"/>
    <s v=""/>
    <s v=".pdf"/>
    <n v="117"/>
    <n v="20"/>
    <s v="Concurrent Programming in Mac OS X and iOS with Grand Central Dispatch"/>
  </r>
  <r>
    <s v="W:\Livres\Informatique\Développement\Mac OS Dev\Mac Programming for Absolute Beginners (2011) - [Apress] - Wallace Wang.pdf"/>
    <x v="0"/>
    <x v="42"/>
    <s v="Wallace Wang"/>
    <s v=""/>
    <s v=".pdf"/>
    <n v="75"/>
    <n v="12"/>
    <s v="Mac Programming for Absolute Beginners"/>
  </r>
  <r>
    <s v="W:\Livres\Informatique\Développement\Mac OS Dev\Mastering Xcode 4, Develop and Design (2012) - [Peachpit] - Joshua Nozzi.pdf"/>
    <x v="8"/>
    <x v="73"/>
    <s v="Joshua Nozzi"/>
    <s v=""/>
    <s v=".pdf"/>
    <n v="76"/>
    <n v="12"/>
    <s v="Mastering Xcode 4, Develop and Design"/>
  </r>
  <r>
    <s v="W:\Livres\Informatique\Développement\Mac OS Dev\Xcode 3 Unleashed (2009) - [Sams] - Fritz Anderson.pdf"/>
    <x v="4"/>
    <x v="52"/>
    <s v="Fritz Anderson"/>
    <s v=""/>
    <s v=".pdf"/>
    <n v="54"/>
    <n v="14"/>
    <s v="Xcode 3 Unleashed"/>
  </r>
  <r>
    <s v="W:\Livres\Informatique\Développement\Multicore Programming, Parallel Computing\How to Write Parallel Programs, A First Course (1990) - [MIT Press] - Nicholas Carriero, David Gelernter.pdf"/>
    <x v="23"/>
    <x v="32"/>
    <s v="Nicholas Carriero, David Gelernter"/>
    <s v=""/>
    <s v=".pdf"/>
    <n v="108"/>
    <n v="34"/>
    <s v="How to Write Parallel Programs, A First Course"/>
  </r>
  <r>
    <s v="W:\Livres\Informatique\Développement\Multicore Programming, Parallel Computing\Intel Threading Building Blocks, Outfitting C++ for Multi-Core Processor Parallelism (2007) - [O'Reilly] - James Reinders.pdf"/>
    <x v="9"/>
    <x v="4"/>
    <s v="James Reinders"/>
    <s v=""/>
    <s v=".pdf"/>
    <n v="125"/>
    <n v="14"/>
    <s v="Intel Threading Building Blocks, Outfitting C++ for Multi-Core Processor Parallelism"/>
  </r>
  <r>
    <s v="W:\Livres\Informatique\Développement\Multicore Programming, Parallel Computing\Modern Multithreading (2006) - [Wiley] - Richard H. Carver, Kuo-Chung Tai.pdf"/>
    <x v="17"/>
    <x v="22"/>
    <s v="Richard H. Carver, Kuo-Chung Tai"/>
    <s v=""/>
    <s v=".pdf"/>
    <n v="77"/>
    <n v="32"/>
    <s v="Modern Multithreading"/>
  </r>
  <r>
    <s v="W:\Livres\Informatique\Développement\Multicore Programming, Parallel Computing\Parallel Programming for Multicore and Cluster Systems (2010) - [Springer] - Thomas Rauber, Gudula Rünger.pdf"/>
    <x v="14"/>
    <x v="9"/>
    <s v="Thomas Rauber, Gudula Rünger"/>
    <s v=""/>
    <s v=".pdf"/>
    <n v="109"/>
    <n v="28"/>
    <s v="Parallel Programming for Multicore and Cluster Systems"/>
  </r>
  <r>
    <s v="W:\Livres\Informatique\Développement\Multicore Programming, Parallel Computing\Parallel Scientific Computing in C++ and MPI (2003) - [Cambridge] - George Karniadakis, Robert Kirby.pdf"/>
    <x v="25"/>
    <x v="17"/>
    <s v="George Karniadakis, Robert Kirby"/>
    <s v=""/>
    <s v=".pdf"/>
    <n v="104"/>
    <n v="32"/>
    <s v="Parallel Scientific Computing in C++ and MPI"/>
  </r>
  <r>
    <s v="W:\Livres\Informatique\Développement\Multicore Programming, Parallel Computing\Patterns for Parallel Programming {Dump} - Timothy G. Mattson, Beverly A. Sanders, Berna L. Massingill.pdf"/>
    <x v="10"/>
    <x v="8"/>
    <s v="Timothy G. Mattson, Beverly A. Sanders, Berna L. Massingill"/>
    <s v="Dump"/>
    <s v=".pdf"/>
    <n v="106"/>
    <n v="59"/>
    <s v="Patterns for Parallel Programming"/>
  </r>
  <r>
    <s v="W:\Livres\Informatique\Développement\Multicore Programming, Parallel Computing\Professional Multicore Programming, Design and Implementation for C++ Developers (2008) - [Wiley] - Cameron &amp; Tracey Hughes.pdf"/>
    <x v="13"/>
    <x v="22"/>
    <s v="Cameron &amp; Tracey Hughes"/>
    <s v=""/>
    <s v=".pdf"/>
    <n v="127"/>
    <n v="23"/>
    <s v="Professional Multicore Programming, Design and Implementation for C++ Developers"/>
  </r>
  <r>
    <s v="W:\Livres\Informatique\Développement\Multicore Programming, Parallel Computing\Programming Massively Parallel Processors (2010) - [Elsevier] - David B. Kirk, Wen-mei W. Hwu.pdf"/>
    <x v="14"/>
    <x v="1"/>
    <s v="David B. Kirk, Wen-mei W. Hwu"/>
    <s v=""/>
    <s v=".pdf"/>
    <n v="97"/>
    <n v="29"/>
    <s v="Programming Massively Parallel Processors"/>
  </r>
  <r>
    <s v="W:\Livres\Informatique\Développement\Multicore Programming, Parallel Computing\Sourcebook of Parallel Computing (2003) - [Elsevier] - Dongarra, Foster, Fox, Gropp, Kennedy, Torczon, White.pdf"/>
    <x v="25"/>
    <x v="1"/>
    <s v="Dongarra, Foster, Fox, Gropp, Kennedy, Torczon, White"/>
    <s v=""/>
    <s v=".pdf"/>
    <n v="112"/>
    <n v="53"/>
    <s v="Sourcebook of Parallel Computing"/>
  </r>
  <r>
    <s v="W:\Livres\Informatique\Développement\Multicore Programming, Parallel Computing\The Art of Multiprocessor Programming (2008) - [Elsevier] - Maurice Herlihy, Nir Shavit.pdf"/>
    <x v="13"/>
    <x v="1"/>
    <s v="Maurice Herlihy, Nir Shavit"/>
    <s v=""/>
    <s v=".pdf"/>
    <n v="91"/>
    <n v="27"/>
    <s v="The Art of Multiprocessor Programming"/>
  </r>
  <r>
    <s v="W:\Livres\Informatique\Développement\Regular Expressions, sed, awk, grep\Beginning Regular Expressions (2005) - [Wiley] - Andrew Watt.pdf"/>
    <x v="1"/>
    <x v="22"/>
    <s v="Andrew Watt"/>
    <s v=""/>
    <s v=".pdf"/>
    <n v="64"/>
    <n v="11"/>
    <s v="Beginning Regular Expressions"/>
  </r>
  <r>
    <s v="W:\Livres\Informatique\Développement\Regular Expressions, sed, awk, grep\Effective awk Programming (3rd ed, 2001) - [O'Reilly] - Arnold Robbins.pdf"/>
    <x v="15"/>
    <x v="4"/>
    <s v="Arnold Robbins"/>
    <s v=""/>
    <s v=".pdf"/>
    <n v="74"/>
    <n v="14"/>
    <s v="Effective awk Programming"/>
  </r>
  <r>
    <s v="W:\Livres\Informatique\Développement\Regular Expressions, sed, awk, grep\grep Pocket Reference (2009) - [O'Reilly] - John Bambenek, Agnieszka Klus.pdf"/>
    <x v="4"/>
    <x v="4"/>
    <s v="John Bambenek, Agnieszka Klus"/>
    <s v=""/>
    <s v=".pdf"/>
    <n v="77"/>
    <n v="29"/>
    <s v="grep Pocket Reference"/>
  </r>
  <r>
    <s v="W:\Livres\Informatique\Développement\Regular Expressions, sed, awk, grep\Mastering Regular Expressions (3rd ed, 2006) - [O'Reilly] - Jeffrey Friedl.pdf"/>
    <x v="17"/>
    <x v="4"/>
    <s v="Jeffrey Friedl"/>
    <s v=""/>
    <s v=".pdf"/>
    <n v="78"/>
    <n v="14"/>
    <s v="Mastering Regular Expressions"/>
  </r>
  <r>
    <s v="W:\Livres\Informatique\Développement\Regular Expressions, sed, awk, grep\Mastering Regular Expressions, Java {Excerpt §8} - [O'Reilly] - Jeffrey E. F. Friedl.pdf"/>
    <x v="10"/>
    <x v="4"/>
    <s v="Jeffrey E. F. Friedl"/>
    <s v="Excerpt §8"/>
    <s v=".pdf"/>
    <n v="88"/>
    <n v="20"/>
    <s v="Mastering Regular Expressions, Java"/>
  </r>
  <r>
    <s v="W:\Livres\Informatique\Développement\Regular Expressions, sed, awk, grep\Parsing Techniques, A Practical Guide (2nd ed, 2008) - [Springer] - Dick Grune, Ceriel J.H. Jacobs.pdf"/>
    <x v="13"/>
    <x v="9"/>
    <s v="Dick Grune, Ceriel J.H. Jacobs"/>
    <s v=""/>
    <s v=".pdf"/>
    <n v="102"/>
    <n v="30"/>
    <s v="Parsing Techniques, A Practical Guide"/>
  </r>
  <r>
    <s v="W:\Livres\Informatique\Développement\Regular Expressions, sed, awk, grep\Regular Expression Pocket Reference (2nd ed, 2007) - [O'Reilly] - Tony Stubblebine.pdf"/>
    <x v="9"/>
    <x v="4"/>
    <s v="Tony Stubblebine"/>
    <s v=""/>
    <s v=".pdf"/>
    <n v="86"/>
    <n v="16"/>
    <s v="Regular Expression Pocket Reference"/>
  </r>
  <r>
    <s v="W:\Livres\Informatique\Développement\Regular Expressions, sed, awk, grep\Regular Expressions Cookbook (2009) - [O'Reilly] - Jan Goyvaerts, Steven Levithan.pdf"/>
    <x v="4"/>
    <x v="4"/>
    <s v="Jan Goyvaerts, Steven Levithan"/>
    <s v=""/>
    <s v=".pdf"/>
    <n v="85"/>
    <n v="30"/>
    <s v="Regular Expressions Cookbook"/>
  </r>
  <r>
    <s v="W:\Livres\Informatique\Développement\Regular Expressions, sed, awk, grep\sed &amp; awk (2nd ed, 1997) {Dump} - [O'Reilly] - Dale Dougherty, Arnold Robbins.pdf"/>
    <x v="30"/>
    <x v="4"/>
    <s v="Dale Dougherty, Arnold Robbins"/>
    <s v="Dump"/>
    <s v=".pdf"/>
    <n v="81"/>
    <n v="30"/>
    <s v="sed &amp; awk"/>
  </r>
  <r>
    <s v="W:\Livres\Informatique\Développement\UI, UX\C++ GUI Programming with Qt 3 (2004) - [Prentice Hall] - Jasmin Blanchette, Mark Summerfield.pdf"/>
    <x v="26"/>
    <x v="20"/>
    <s v="Jasmin Blanchette, Mark Summerfield"/>
    <s v=""/>
    <s v=".pdf"/>
    <n v="96"/>
    <n v="35"/>
    <s v="C++ GUI Programming with Qt 3"/>
  </r>
  <r>
    <s v="W:\Livres\Informatique\Développement\UI, UX\Débuter dans la création d'interfaces graphiques avec Qt 4 (2011) - [Développez.com].pdf"/>
    <x v="0"/>
    <x v="74"/>
    <s v="?"/>
    <s v=""/>
    <s v=".pdf"/>
    <n v="88"/>
    <n v="1"/>
    <s v="Débuter dans la création d'interfaces graphiques avec Qt 4"/>
  </r>
  <r>
    <s v="W:\Livres\Informatique\Développement\UI, UX\Design d'expérience utilisateur, Principes et méthodes UX (2è ed, 2015) - [Eyrolles] - Sylvie Daumal.pdf"/>
    <x v="3"/>
    <x v="6"/>
    <s v="Sylvie Daumal"/>
    <s v=""/>
    <s v=".pdf"/>
    <n v="104"/>
    <n v="13"/>
    <s v="Design d'expérience utilisateur, Principes et méthodes UX"/>
  </r>
  <r>
    <s v="W:\Livres\Informatique\Développement\UI, UX\Ergonomie des interfaces (5è ed, 2013) - [Dunod] - Nogier, Bouillot, Leclerc.pdf"/>
    <x v="5"/>
    <x v="2"/>
    <s v="Nogier, Bouillot, Leclerc"/>
    <s v=""/>
    <s v=".pdf"/>
    <n v="80"/>
    <n v="25"/>
    <s v="Ergonomie des interfaces"/>
  </r>
  <r>
    <s v="W:\Livres\Informatique\Développement\UI, UX\Méthodes de design UX (2016) - [Eyrolles] - Lallemand, Gronier.epub"/>
    <x v="2"/>
    <x v="6"/>
    <s v="Lallemand, Gronier"/>
    <s v=""/>
    <s v=".epub"/>
    <n v="67"/>
    <n v="18"/>
    <s v="Méthodes de design UX"/>
  </r>
  <r>
    <s v="W:\Livres\Informatique\Développement\UI, UX\Méthodes de design UX (2016) - [Eyrolles] - Lallemand, Gronier.pdf"/>
    <x v="2"/>
    <x v="6"/>
    <s v="Lallemand, Gronier"/>
    <s v=""/>
    <s v=".pdf"/>
    <n v="66"/>
    <n v="18"/>
    <s v="Méthodes de design UX"/>
  </r>
  <r>
    <s v="W:\Livres\Informatique\Développement\UI, UX\Microsoft User Interaction Experience Guidelines (2010) {Web document} - [Microsoft] - Windows Vista and 7.pdf"/>
    <x v="14"/>
    <x v="48"/>
    <s v="Windows Vista and 7"/>
    <s v="Web document"/>
    <s v=".pdf"/>
    <n v="110"/>
    <n v="19"/>
    <s v="Microsoft User Interaction Experience Guidelines"/>
  </r>
  <r>
    <s v="W:\Livres\Informatique\Développement\UI, UX\Qt4 et C++, Programmation d'interfaces GUI (2009) - [Pearson] - Jasmin Blanchette, Mark Summerfield.pdf"/>
    <x v="4"/>
    <x v="7"/>
    <s v="Jasmin Blanchette, Mark Summerfield"/>
    <s v=""/>
    <s v=".pdf"/>
    <n v="103"/>
    <n v="35"/>
    <s v="Qt4 et C++, Programmation d'interfaces GUI"/>
  </r>
  <r>
    <s v="W:\Livres\Informatique\Développement\UI, UX\Qt4 et C++, Programmation d'interfaces GUI, Exemples.rar"/>
    <x v="10"/>
    <x v="8"/>
    <s v="?"/>
    <s v=""/>
    <s v=".rar"/>
    <n v="56"/>
    <n v="1"/>
    <s v="Qt4 et C++, Programmation d'interfaces GUI, Exemples"/>
  </r>
  <r>
    <s v="W:\Livres\Informatique\Développement\UI, UX\Rapid GUI Programming with Python and Qt, The Definitive Guide to PyQt Programming (2007) {Rough cuts} - [Prentice Hall] - Mark Summerfield.pdf"/>
    <x v="9"/>
    <x v="20"/>
    <s v="Mark Summerfield"/>
    <s v="Rough cuts"/>
    <s v=".pdf"/>
    <n v="143"/>
    <n v="16"/>
    <s v="Rapid GUI Programming with Python and Qt, The Definitive Guide to PyQt Programming"/>
  </r>
  <r>
    <s v="W:\Livres\Informatique\Développement\UML\UML 2 par la pratique, Études de cas et exercices corrigées (5è ed, 2006) - [Eyrolles] - Pascal Roques.pdf"/>
    <x v="17"/>
    <x v="6"/>
    <s v="Pascal Roques"/>
    <s v=""/>
    <s v=".pdf"/>
    <n v="106"/>
    <n v="13"/>
    <s v="UML 2 par la pratique, Études de cas et exercices corrigées"/>
  </r>
  <r>
    <s v="W:\Livres\Informatique\Développement\UML\UML 2 pour les bases de données (2007) - [Eyrolles] - Christian Soutou.pdf"/>
    <x v="9"/>
    <x v="6"/>
    <s v="Christian Soutou"/>
    <s v=""/>
    <s v=".pdf"/>
    <n v="74"/>
    <n v="16"/>
    <s v="UML 2 pour les bases de données"/>
  </r>
  <r>
    <s v="W:\Livres\Informatique\Développement\UML\UML 2 pour les développeurs, Cours avec exercices corrigés (2006) - [Eyrolles] - Xavier Blanc, Isabelle Mounier.pdf"/>
    <x v="17"/>
    <x v="6"/>
    <s v="Xavier Blanc, Isabelle Mounier"/>
    <s v=""/>
    <s v=".pdf"/>
    <n v="115"/>
    <n v="30"/>
    <s v="UML 2 pour les développeurs, Cours avec exercices corrigés"/>
  </r>
  <r>
    <s v="W:\Livres\Informatique\Développement\UML\UML Weekend Crash Course - [Wiley] - Thomas Pender.pdf"/>
    <x v="10"/>
    <x v="22"/>
    <s v="Thomas Pender"/>
    <s v=""/>
    <s v=".pdf"/>
    <n v="54"/>
    <n v="13"/>
    <s v="UML Weekend Crash Course"/>
  </r>
  <r>
    <s v="W:\Livres\Informatique\Développement\Vi, Emacs\GNU Emacs Pocket Reference (1999) - [O'Reilly] - Debra Cameron.pdf"/>
    <x v="11"/>
    <x v="4"/>
    <s v="Debra Cameron"/>
    <s v=""/>
    <s v=".pdf"/>
    <n v="66"/>
    <n v="13"/>
    <s v="GNU Emacs Pocket Reference"/>
  </r>
  <r>
    <s v="W:\Livres\Informatique\Développement\Vi, Emacs\Hacking Vim (2007) - [Packt] - Kim Schulz.pdf"/>
    <x v="9"/>
    <x v="14"/>
    <s v="Kim Schulz"/>
    <s v=""/>
    <s v=".pdf"/>
    <n v="45"/>
    <n v="10"/>
    <s v="Hacking Vim"/>
  </r>
  <r>
    <s v="W:\Livres\Informatique\Développement\Vi, Emacs\Learning the vi and Vim Editors (7th ed, 2008) - [O'Reilly] - Arnold Robbins, Elbert Hannah, Linda Lamb.pdf"/>
    <x v="13"/>
    <x v="4"/>
    <s v="Arnold Robbins, Elbert Hannah, Linda Lamb"/>
    <s v=""/>
    <s v=".pdf"/>
    <n v="107"/>
    <n v="41"/>
    <s v="Learning the vi and Vim Editors"/>
  </r>
  <r>
    <s v="W:\Livres\Informatique\Développement\Vi, Emacs\Learning the vi Editor (6th ed, 1998) {Dump} - [O'Reilly] - Linda Lamb, Arnold Robbins.pdf"/>
    <x v="12"/>
    <x v="4"/>
    <s v="Linda Lamb, Arnold Robbins"/>
    <s v="Dump"/>
    <s v=".pdf"/>
    <n v="90"/>
    <n v="26"/>
    <s v="Learning the vi Editor"/>
  </r>
  <r>
    <s v="W:\Livres\Informatique\Développement\Vi, Emacs\Use Vim Like a Pro (2014) - Tim Ottinger.pdf"/>
    <x v="6"/>
    <x v="8"/>
    <s v="Tim Ottinger"/>
    <s v=""/>
    <s v=".pdf"/>
    <n v="44"/>
    <n v="12"/>
    <s v="Use Vim Like a Pro"/>
  </r>
  <r>
    <s v="W:\Livres\Informatique\Développement\Vi, Emacs\Vim book.pdf"/>
    <x v="10"/>
    <x v="8"/>
    <s v="?"/>
    <s v=""/>
    <s v=".pdf"/>
    <n v="12"/>
    <n v="1"/>
    <s v="Vim book"/>
  </r>
  <r>
    <s v="W:\Livres\Informatique\Développement\Windows Dev\ADO ActiveX Data Objects (2001) {Dump} - [O'Reilly] - Jason T. Roff.pdf"/>
    <x v="15"/>
    <x v="4"/>
    <s v="Jason T. Roff"/>
    <s v="Dump"/>
    <s v=".pdf"/>
    <n v="71"/>
    <n v="13"/>
    <s v="ADO ActiveX Data Objects"/>
  </r>
  <r>
    <s v="W:\Livres\Informatique\Développement\Windows Dev\COM and .Net Component Services (2001) - [O'Reilly] - Juval Lowy.pdf"/>
    <x v="15"/>
    <x v="4"/>
    <s v="Juval Lowy"/>
    <s v=""/>
    <s v=".pdf"/>
    <n v="68"/>
    <n v="10"/>
    <s v="COM and .Net Component Services"/>
  </r>
  <r>
    <s v="W:\Livres\Informatique\Développement\Windows Dev\Développement Windows 8, Créer des applications pour le Windows Store (2013) - [Eyrolles] - Morand, Vo Van, Zanchetta.pdf"/>
    <x v="5"/>
    <x v="6"/>
    <s v="Morand, Vo Van, Zanchetta"/>
    <s v=""/>
    <s v=".pdf"/>
    <n v="121"/>
    <n v="25"/>
    <s v="Développement Windows 8, Créer des applications pour le Windows Store"/>
  </r>
  <r>
    <s v="W:\Livres\Informatique\Développement\Windows Dev\Introducing Windows 7 for Developers (2010) - [Microsoft Press] - Kiriaty, Moroney, Goldshtein, Fliess.pdf"/>
    <x v="14"/>
    <x v="13"/>
    <s v="Kiriaty, Moroney, Goldshtein, Fliess"/>
    <s v=""/>
    <s v=".pdf"/>
    <n v="106"/>
    <n v="36"/>
    <s v="Introducing Windows 7 for Developers"/>
  </r>
  <r>
    <s v="W:\Livres\Informatique\Développement\Windows Dev\Professional Windows 8 Programming Application Development with C# and XAML (2013) - [Wiley] - Lecrenski, Holland, Sanders, Ashley.pdf"/>
    <x v="5"/>
    <x v="22"/>
    <s v="Lecrenski, Holland, Sanders, Ashley"/>
    <s v=""/>
    <s v=".pdf"/>
    <n v="134"/>
    <n v="35"/>
    <s v="Professional Windows 8 Programming Application Development with C# and XAML"/>
  </r>
  <r>
    <s v="W:\Livres\Informatique\Développement\Windows Dev\Programming Windows (5th ed, 1998) {Dump} - [Microsoft Press] - Charles Petzold.pdf"/>
    <x v="12"/>
    <x v="13"/>
    <s v="Charles Petzold"/>
    <s v="Dump"/>
    <s v=".pdf"/>
    <n v="83"/>
    <n v="15"/>
    <s v="Programming Windows"/>
  </r>
  <r>
    <s v="W:\Livres\Informatique\Développement\Windows Dev\Programming Windows 8 Apps with HTML CSS and Javascript (2012) - [Microsoft Press] - Kraig Brockschmidt.epub"/>
    <x v="8"/>
    <x v="13"/>
    <s v="Kraig Brockschmidt"/>
    <s v=""/>
    <s v=".epub"/>
    <n v="108"/>
    <n v="18"/>
    <s v="Programming Windows 8 Apps with HTML CSS and Javascript"/>
  </r>
  <r>
    <s v="W:\Livres\Informatique\Développement\Windows Dev\Programming Windows 8 Apps with HTML CSS and Javascript (2012) - [Microsoft Press] - Kraig Brockschmidt.pdf"/>
    <x v="8"/>
    <x v="13"/>
    <s v="Kraig Brockschmidt"/>
    <s v=""/>
    <s v=".pdf"/>
    <n v="107"/>
    <n v="18"/>
    <s v="Programming Windows 8 Apps with HTML CSS and Javascript"/>
  </r>
  <r>
    <s v="W:\Livres\Informatique\Développement\Windows Dev\Programming Windows Phone 7, Microsoft XNA Framework Edition (2010) - [Microsoft Press] - Charles Petzold.pdf"/>
    <x v="14"/>
    <x v="13"/>
    <s v="Charles Petzold"/>
    <s v=""/>
    <s v=".pdf"/>
    <n v="109"/>
    <n v="15"/>
    <s v="Programming Windows Phone 7, Microsoft XNA Framework Edition"/>
  </r>
  <r>
    <s v="W:\Livres\Informatique\Développement\Windows Dev\Programming Windows Store Apps with HTML, CSS and JavaScript (2nd ed, 2014) - [Microsoft Press] - Kraig Brockschmidt.epub"/>
    <x v="6"/>
    <x v="13"/>
    <s v="Kraig Brockschmidt"/>
    <s v=""/>
    <s v=".epub"/>
    <n v="121"/>
    <n v="18"/>
    <s v="Programming Windows Store Apps with HTML, CSS and JavaScript"/>
  </r>
  <r>
    <s v="W:\Livres\Informatique\Développement\Windows Dev\Programming Windows Store Apps with HTML, CSS and JavaScript (2nd ed, 2014) - [Microsoft Press] - Kraig Brockschmidt.pdf"/>
    <x v="6"/>
    <x v="13"/>
    <s v="Kraig Brockschmidt"/>
    <s v=""/>
    <s v=".pdf"/>
    <n v="120"/>
    <n v="18"/>
    <s v="Programming Windows Store Apps with HTML, CSS and JavaScript"/>
  </r>
  <r>
    <s v="W:\Livres\Informatique\Développement\Windows Dev\Programming Windows with Win32 API (5th ed, 1998) {Dump} - [Microsoft Press] - Charles Petzold.pdf"/>
    <x v="12"/>
    <x v="13"/>
    <s v="Charles Petzold"/>
    <s v="Dump"/>
    <s v=".pdf"/>
    <n v="98"/>
    <n v="15"/>
    <s v="Programming Windows with Win32 API"/>
  </r>
  <r>
    <s v="W:\Livres\Informatique\Développement\Windows Dev\Programming Windows, Writing Windows 8 Apps with C# and XAML (6th ed, 2013) - [Microsoft Press] - Charles Petzold.pdf"/>
    <x v="5"/>
    <x v="13"/>
    <s v="Charles Petzold"/>
    <s v=""/>
    <s v=".pdf"/>
    <n v="117"/>
    <n v="15"/>
    <s v="Programming Windows, Writing Windows 8 Apps with C# and XAML"/>
  </r>
  <r>
    <s v="W:\Livres\Informatique\Développement\Windows Dev\Scripting Windows, Automatiser les taches d'administration (2005) - [Eyrolles] - Antoine Habert, Cédric Bravo.pdf"/>
    <x v="1"/>
    <x v="6"/>
    <s v="Antoine Habert, Cédric Bravo"/>
    <s v=""/>
    <s v=".pdf"/>
    <n v="113"/>
    <n v="28"/>
    <s v="Scripting Windows, Automatiser les taches d'administration"/>
  </r>
  <r>
    <s v="W:\Livres\Informatique\Développement\Windows Dev\Windows NT File System Internals, A Developer's Guide (1997) - [O'Reilly] - Rajeev Nagar.pdf"/>
    <x v="30"/>
    <x v="4"/>
    <s v="Rajeev Nagar"/>
    <s v=""/>
    <s v=".pdf"/>
    <n v="92"/>
    <n v="12"/>
    <s v="Windows NT File System Internals, A Developer's Guide"/>
  </r>
  <r>
    <s v="W:\Livres\Informatique\Développement\Windows Dev\Windows System Programming (4th ed, 2010) - [Addison-Wesley] - Johnson M. Hart.pdf"/>
    <x v="14"/>
    <x v="19"/>
    <s v="Johnson M. Hart"/>
    <s v=""/>
    <s v=".pdf"/>
    <n v="82"/>
    <n v="15"/>
    <s v="Windows System Programming"/>
  </r>
  <r>
    <s v="W:\Livres\Informatique\Développement\Windows Dev\WCF\Essential Windows Communication Foundation for .Net Framework 3.5 (2008) - [Addison-Wesley] - Steve Resnick, Richard Crane, Chris Bowen.pdf"/>
    <x v="13"/>
    <x v="19"/>
    <s v="Steve Resnick, Richard Crane, Chris Bowen"/>
    <s v=""/>
    <s v=".pdf"/>
    <n v="139"/>
    <n v="41"/>
    <s v="Essential Windows Communication Foundation for .Net Framework 3.5"/>
  </r>
  <r>
    <s v="W:\Livres\Informatique\Développement\Windows Dev\WCF\Professional WCF Programming (2007) - [Wiley] - Scott Klein.pdf"/>
    <x v="9"/>
    <x v="22"/>
    <s v="Scott Klein"/>
    <s v=""/>
    <s v=".pdf"/>
    <n v="63"/>
    <n v="11"/>
    <s v="Professional WCF Programming"/>
  </r>
  <r>
    <s v="W:\Livres\Informatique\Développement\Windows Dev\WCF\Programming WCF Services (3rd ed, 2010) - [O'Reilly] - Juval Löwy.pdf"/>
    <x v="14"/>
    <x v="4"/>
    <s v="Juval Löwy"/>
    <s v=""/>
    <s v=".pdf"/>
    <n v="69"/>
    <n v="10"/>
    <s v="Programming WCF Services"/>
  </r>
  <r>
    <s v="W:\Livres\Informatique\Développement\Windows Dev\WCF\WCF 4.0 Multi-tier Services Development with LINQ to Entities (2010) - [Packt] - Mike Liu.pdf"/>
    <x v="14"/>
    <x v="14"/>
    <s v="Mike Liu"/>
    <s v=""/>
    <s v=".pdf"/>
    <n v="93"/>
    <n v="8"/>
    <s v="WCF 4.0 Multi-tier Services Development with LINQ to Entities"/>
  </r>
  <r>
    <s v="W:\Livres\Informatique\Développement\Windows Dev\WPF\Essential Windows Presentation Foundation (2007) - [Addison-Wesley] - Chris Anderson.pdf"/>
    <x v="9"/>
    <x v="19"/>
    <s v="Chris Anderson"/>
    <s v=""/>
    <s v=".pdf"/>
    <n v="88"/>
    <n v="14"/>
    <s v="Essential Windows Presentation Foundation"/>
  </r>
  <r>
    <s v="W:\Livres\Informatique\Développement\Windows Dev\WPF\Pro WPF in C# 2010 (2010) - [Apress] - Matthew MacDonald.pdf"/>
    <x v="14"/>
    <x v="42"/>
    <s v="Matthew MacDonald"/>
    <s v=""/>
    <s v=".pdf"/>
    <n v="60"/>
    <n v="17"/>
    <s v="Pro WPF in C# 2010"/>
  </r>
  <r>
    <s v="W:\Livres\Informatique\Développement\Windows Dev\WPF\Programming WPF (2nd ed, 2007) - [O'Reilly] - Chris Sells, Ian Griffiths.pdf"/>
    <x v="9"/>
    <x v="4"/>
    <s v="Chris Sells, Ian Griffiths"/>
    <s v=""/>
    <s v=".pdf"/>
    <n v="76"/>
    <n v="26"/>
    <s v="Programming WPF"/>
  </r>
  <r>
    <s v="W:\Livres\Informatique\Développement\Windows Dev\WPF\Windows Presentation Foundation Unleashed (2007) - [Sams] - Adam Nathan.pdf"/>
    <x v="9"/>
    <x v="52"/>
    <s v="Adam Nathan"/>
    <s v=""/>
    <s v=".pdf"/>
    <n v="75"/>
    <n v="11"/>
    <s v="Windows Presentation Foundation Unleashed"/>
  </r>
  <r>
    <s v="W:\Livres\Informatique\Développement\Windows Dev\WPF\WPF 4 Unleashed (2010) - [Sams] - Adam Nathan.pdf"/>
    <x v="14"/>
    <x v="52"/>
    <s v="Adam Nathan"/>
    <s v=""/>
    <s v=".pdf"/>
    <n v="49"/>
    <n v="11"/>
    <s v="WPF 4 Unleashed"/>
  </r>
  <r>
    <s v="W:\Livres\Informatique\Développement\Windows Dev\WPF\WPF 4.5 Unleashed (2014) - [Sams] - Adam Nathan.epub"/>
    <x v="6"/>
    <x v="52"/>
    <s v="Adam Nathan"/>
    <s v=""/>
    <s v=".epub"/>
    <n v="52"/>
    <n v="11"/>
    <s v="WPF 4.5 Unleashed"/>
  </r>
  <r>
    <s v="W:\Livres\Informatique\Développement\Windows Dev\WPF\WPF Programmer's Reference, Windows Presentation Foundation with C# 2010 and .Net 4 (2010) - [Wiley] - Rod Stephens.pdf"/>
    <x v="14"/>
    <x v="22"/>
    <s v="Rod Stephens"/>
    <s v=""/>
    <s v=".pdf"/>
    <n v="119"/>
    <n v="12"/>
    <s v="WPF Programmer's Reference, Windows Presentation Foundation with C# 2010 and .Net 4"/>
  </r>
  <r>
    <s v="W:\Livres\Informatique\Développement\XML\Modélisation XML (2006) - [Eyrolles] - Antoine Lonjon Jean-Jacques Thomasson.pdf"/>
    <x v="17"/>
    <x v="6"/>
    <s v="Antoine Lonjon Jean-Jacques Thomasson"/>
    <s v=""/>
    <s v=".pdf"/>
    <n v="80"/>
    <n v="37"/>
    <s v="Modélisation XML"/>
  </r>
  <r>
    <s v="W:\Livres\Informatique\Développement\XML\Perl &amp; XML (2002) - [O'Reilly] - Eric T. Ray, Jason McIntosh.pdf"/>
    <x v="16"/>
    <x v="4"/>
    <s v="Eric T. Ray, Jason McIntosh"/>
    <s v=""/>
    <s v=".pdf"/>
    <n v="64"/>
    <n v="27"/>
    <s v="Perl &amp; XML"/>
  </r>
  <r>
    <s v="W:\Livres\Informatique\Développement\XML\SAX2 (2002) - [O'Reilly] - David Brownell.pdf"/>
    <x v="16"/>
    <x v="4"/>
    <s v="David Brownell"/>
    <s v=""/>
    <s v=".pdf"/>
    <n v="45"/>
    <n v="14"/>
    <s v="SAX2"/>
  </r>
  <r>
    <s v="W:\Livres\Informatique\Développement\XML\XML 1.1 Bible (3rd ed, 2004) - [Wiley] - Elliotte Rusty Harold.pdf"/>
    <x v="26"/>
    <x v="22"/>
    <s v="Elliotte Rusty Harold"/>
    <s v=""/>
    <s v=".pdf"/>
    <n v="66"/>
    <n v="21"/>
    <s v="XML 1.1 Bible"/>
  </r>
  <r>
    <s v="W:\Livres\Informatique\Développement\XML\XML Pocket Reference (2nd ed, 2001) - [O'Reilly] - Robert Eckstein, Michel Casabianca.pdf"/>
    <x v="15"/>
    <x v="4"/>
    <s v="Robert Eckstein, Michel Casabianca"/>
    <s v=""/>
    <s v=".pdf"/>
    <n v="89"/>
    <n v="34"/>
    <s v="XML Pocket Reference"/>
  </r>
  <r>
    <s v="W:\Livres\Informatique\Développement\XML\XML pour l'édition (2011) - [Eyrolles] - Bernard Prost.pdf"/>
    <x v="0"/>
    <x v="6"/>
    <s v="Bernard Prost"/>
    <s v=""/>
    <s v=".pdf"/>
    <n v="58"/>
    <n v="13"/>
    <s v="XML pour l'édition"/>
  </r>
  <r>
    <s v="W:\Livres\Informatique\Développement\XML\XML Programming Bible (2003) - [Wiley] - Brian Benz.pdf"/>
    <x v="25"/>
    <x v="22"/>
    <s v="Brian Benz"/>
    <s v=""/>
    <s v=".pdf"/>
    <n v="55"/>
    <n v="10"/>
    <s v="XML Programming Bible"/>
  </r>
  <r>
    <s v="W:\Livres\Informatique\Développement\XML\XML Schema (2002) {Dump} - [O'Reilly] - Eric van der Vlist.pdf"/>
    <x v="16"/>
    <x v="4"/>
    <s v="Eric van der Vlist"/>
    <s v="Dump"/>
    <s v=".pdf"/>
    <n v="62"/>
    <n v="18"/>
    <s v="XML Schema"/>
  </r>
  <r>
    <s v="W:\Livres\Informatique\Développement\XML\XML, Cours et exercices (2007) - [Eyrolles] - Alexandre Brillant.pdf"/>
    <x v="9"/>
    <x v="6"/>
    <s v="Alexandre Brillant"/>
    <s v=""/>
    <s v=".pdf"/>
    <n v="68"/>
    <n v="18"/>
    <s v="XML, Cours et exercices"/>
  </r>
  <r>
    <s v="W:\Livres\Informatique\Développement\XML\XML, Problem-Design-Solution (2006) - [Wiley] - Mitch Amiano, Conrad D'Cruz, Kay Ethier, Michael D. Thomas.pdf"/>
    <x v="17"/>
    <x v="22"/>
    <s v="Mitch Amiano, Conrad D'Cruz, Kay Ethier, Michael D. Thomas"/>
    <s v=""/>
    <s v=".pdf"/>
    <n v="110"/>
    <n v="58"/>
    <s v="XML, Problem-Design-Solution"/>
  </r>
  <r>
    <s v="W:\Livres\Informatique\Développement\XML\XPath and XPointer (2002) {Dump} - [O'Reilly] - John E. Simpson.pdf"/>
    <x v="16"/>
    <x v="4"/>
    <s v="John E. Simpson"/>
    <s v="Dump"/>
    <s v=".pdf"/>
    <n v="67"/>
    <n v="15"/>
    <s v="XPath and XPointer"/>
  </r>
  <r>
    <s v="W:\Livres\Informatique\Développement\XML\XSLT (2001) - [O'Reilly] - Doug Tidwell.pdf"/>
    <x v="15"/>
    <x v="4"/>
    <s v="Doug Tidwell"/>
    <s v=""/>
    <s v=".pdf"/>
    <n v="43"/>
    <n v="12"/>
    <s v="XSLT"/>
  </r>
  <r>
    <s v="W:\Livres\Informatique\Digital Signal Processing\C Algorithms for Real-time DSP (1995) {Scan} - [Prentice Hall] - Paul M. Embree.pdf"/>
    <x v="28"/>
    <x v="20"/>
    <s v="Paul M. Embree"/>
    <s v="Scan"/>
    <s v=".pdf"/>
    <n v="83"/>
    <n v="14"/>
    <s v="C Algorithms for Real-time DSP"/>
  </r>
  <r>
    <s v="W:\Livres\Informatique\Digital Signal Processing\Digital Filter Designer's Handbook (1993) {Scan} - [McGraw-Hill] - C. Britton Rorabaugh.pdf"/>
    <x v="21"/>
    <x v="41"/>
    <s v="C. Britton Rorabaugh"/>
    <s v="Scan"/>
    <s v=".pdf"/>
    <n v="91"/>
    <n v="20"/>
    <s v="Digital Filter Designer's Handbook"/>
  </r>
  <r>
    <s v="W:\Livres\Informatique\Digital Signal Processing\Digital Image Processing, PIKS Inside (3rd ed, 2001) - [Wiley] - William K. Pratt.pdf"/>
    <x v="15"/>
    <x v="22"/>
    <s v="William K. Pratt"/>
    <s v=""/>
    <s v=".pdf"/>
    <n v="85"/>
    <n v="16"/>
    <s v="Digital Image Processing, PIKS Inside"/>
  </r>
  <r>
    <s v="W:\Livres\Informatique\Digital Signal Processing\Digital Signal Processing Handbook (1999) - [CRC Press].pdf"/>
    <x v="11"/>
    <x v="21"/>
    <s v="?"/>
    <s v=""/>
    <s v=".pdf"/>
    <n v="59"/>
    <n v="1"/>
    <s v="Digital Signal Processing Handbook"/>
  </r>
  <r>
    <s v="W:\Livres\Informatique\Digital Signal Processing\Digital Signal Processing, An Experimental Approach (2008) - [Springer] - Shlomo Engelberg.pdf"/>
    <x v="13"/>
    <x v="9"/>
    <s v="Shlomo Engelberg"/>
    <s v=""/>
    <s v=".pdf"/>
    <n v="94"/>
    <n v="16"/>
    <s v="Digital Signal Processing, An Experimental Approach"/>
  </r>
  <r>
    <s v="W:\Livres\Informatique\Digital Signal Processing\Practical Analog and Digital Filter Design (2004) - [Artech House] - Les Thede.pdf"/>
    <x v="26"/>
    <x v="75"/>
    <s v="Les Thede"/>
    <s v=""/>
    <s v=".pdf"/>
    <n v="82"/>
    <n v="9"/>
    <s v="Practical Analog and Digital Filter Design"/>
  </r>
  <r>
    <s v="W:\Livres\Informatique\Digital Signal Processing\Real Time Digital Signal Processing (2001) - [Wiley] - Sen M. Kuo, Bob H. Lee.pdf"/>
    <x v="15"/>
    <x v="22"/>
    <s v="Sen M. Kuo, Bob H. Lee"/>
    <s v=""/>
    <s v=".pdf"/>
    <n v="81"/>
    <n v="22"/>
    <s v="Real Time Digital Signal Processing"/>
  </r>
  <r>
    <s v="W:\Livres\Informatique\Digital Signal Processing\The Scientist and Engineer's Guide to Digital Signal Processing (2nd ed, 1999) - [California Technical Publishing] - Steven W. Smith.pdf"/>
    <x v="11"/>
    <x v="76"/>
    <s v="Steven W. Smith"/>
    <s v=""/>
    <s v=".pdf"/>
    <n v="136"/>
    <n v="15"/>
    <s v="The Scientist and Engineer's Guide to Digital Signal Processing"/>
  </r>
  <r>
    <s v="W:\Livres\Informatique\Digital Signal Processing\Understanding Digital Signal Processing (2001) {Scan} - [Prentice Hall] - Richard G. Lyons.pdf"/>
    <x v="15"/>
    <x v="20"/>
    <s v="Richard G. Lyons"/>
    <s v="Scan"/>
    <s v=".pdf"/>
    <n v="94"/>
    <n v="16"/>
    <s v="Understanding Digital Signal Processing"/>
  </r>
  <r>
    <s v="W:\Livres\Informatique\Digital Signal Processing\Understanding the Fast Fourier Transform (1995) {Scan} - [Citrus Press] - Anders E. Zonst.pdf"/>
    <x v="28"/>
    <x v="77"/>
    <s v="Anders E. Zonst"/>
    <s v="Scan"/>
    <s v=".pdf"/>
    <n v="93"/>
    <n v="15"/>
    <s v="Understanding the Fast Fourier Transform"/>
  </r>
  <r>
    <s v="W:\Livres\Informatique\Gestion de projet\Conduire un projet informatique (2014) - [Eyrolles] - Philippe Taché.pdf"/>
    <x v="6"/>
    <x v="6"/>
    <s v="Philippe Taché"/>
    <s v=""/>
    <s v=".pdf"/>
    <n v="72"/>
    <n v="14"/>
    <s v="Conduire un projet informatique"/>
  </r>
  <r>
    <s v="W:\Livres\Informatique\Gestion de projet\Génération Y et pratiques de management des projets SI (2013) - [Springer] - Chantal Morley, Marie Bia Figueiredo.pdf"/>
    <x v="5"/>
    <x v="9"/>
    <s v="Chantal Morley, Marie Bia Figueiredo"/>
    <s v=""/>
    <s v=".pdf"/>
    <n v="117"/>
    <n v="36"/>
    <s v="Génération Y et pratiques de management des projets SI"/>
  </r>
  <r>
    <s v="W:\Livres\Informatique\Gestion de projet\La gestion de projet pour les nuls (3è ed, 2011) - [First] - Portny, Sage.pdf"/>
    <x v="0"/>
    <x v="78"/>
    <s v="Portny, Sage"/>
    <s v=""/>
    <s v=".pdf"/>
    <n v="77"/>
    <n v="12"/>
    <s v="La gestion de projet pour les nuls"/>
  </r>
  <r>
    <s v="W:\Livres\Informatique\Gestion de projet\Le kit du chef de projet (6è ed, 2016) - [Eyrolles] - Hugues Marchat.pdf"/>
    <x v="2"/>
    <x v="6"/>
    <s v="Hugues Marchat"/>
    <s v=""/>
    <s v=".pdf"/>
    <n v="72"/>
    <n v="14"/>
    <s v="Le kit du chef de projet"/>
  </r>
  <r>
    <s v="W:\Livres\Informatique\Gestion de projet\Réussir un projet Intranet 2.0 (2009) - [Eyrolles] - Frédéric Créplet, Thomas Jacob.pdf"/>
    <x v="4"/>
    <x v="6"/>
    <s v="Frédéric Créplet, Thomas Jacob"/>
    <s v=""/>
    <s v=".pdf"/>
    <n v="87"/>
    <n v="30"/>
    <s v="Réussir un projet Intranet 2.0"/>
  </r>
  <r>
    <s v="W:\Livres\Informatique\Gestion de projet\Scrum, Le guide pratique de la méthode agile la plus populaire (4è ed, 2015) - [Dunod] - Claude Aubry.epub"/>
    <x v="3"/>
    <x v="2"/>
    <s v="Claude Aubry"/>
    <s v=""/>
    <s v=".epub"/>
    <n v="106"/>
    <n v="12"/>
    <s v="Scrum, Le guide pratique de la méthode agile la plus populaire"/>
  </r>
  <r>
    <s v="W:\Livres\Informatique\Gestion de projet\Scrum, Le guide pratique de la méthode agile la plus populaire (4è ed, 2015) - [Dunod] - Claude Aubry.pdf"/>
    <x v="3"/>
    <x v="2"/>
    <s v="Claude Aubry"/>
    <s v=""/>
    <s v=".pdf"/>
    <n v="105"/>
    <n v="12"/>
    <s v="Scrum, Le guide pratique de la méthode agile la plus populaire"/>
  </r>
  <r>
    <s v="W:\Livres\Informatique\Histoire, Histoires\97 Things Every Programmer Should Know, Collective Wisdom from the Experts (2010) - [O'Reilly].pdf"/>
    <x v="14"/>
    <x v="4"/>
    <s v="?"/>
    <s v=""/>
    <s v=".pdf"/>
    <n v="98"/>
    <n v="1"/>
    <s v="97 Things Every Programmer Should Know, Collective Wisdom from the Experts"/>
  </r>
  <r>
    <s v="W:\Livres\Informatique\Histoire, Histoires\A History of Algorithms, From the Pebble to the Microchip (1999) - [Springer] - Jean-Luc Chabert.djvu"/>
    <x v="11"/>
    <x v="9"/>
    <s v="Jean-Luc Chabert"/>
    <s v=""/>
    <s v=".djvu"/>
    <n v="101"/>
    <n v="16"/>
    <s v="A History of Algorithms, From the Pebble to the Microchip"/>
  </r>
  <r>
    <s v="W:\Livres\Informatique\Histoire, Histoires\Being Geek, The Software Developer's Career Handbook (2010) - [O'Reilly] - Michael Lopp.pdf"/>
    <x v="14"/>
    <x v="4"/>
    <s v="Michael Lopp"/>
    <s v=""/>
    <s v=".pdf"/>
    <n v="91"/>
    <n v="12"/>
    <s v="Being Geek, The Software Developer's Career Handbook"/>
  </r>
  <r>
    <s v="W:\Livres\Informatique\Histoire, Histoires\Clean Code, A Handbook of Agile Software Craftmaship (2009) - [Prentice Hall] - Robert Martin.pdf"/>
    <x v="4"/>
    <x v="20"/>
    <s v="Robert Martin"/>
    <s v=""/>
    <s v=".pdf"/>
    <n v="97"/>
    <n v="13"/>
    <s v="Clean Code, A Handbook of Agile Software Craftmaship"/>
  </r>
  <r>
    <s v="W:\Livres\Informatique\Histoire, Histoires\Code Complete (2nd ed, 2004) - [Microsoft Press] - Steve McCornell.pdf"/>
    <x v="26"/>
    <x v="13"/>
    <s v="Steve McCornell"/>
    <s v=""/>
    <s v=".pdf"/>
    <n v="70"/>
    <n v="15"/>
    <s v="Code Complete"/>
  </r>
  <r>
    <s v="W:\Livres\Informatique\Histoire, Histoires\Code Craft, The Practice of Writing Excellent Code (2007) - [No Starch] - Pete Goodliffe.pdf"/>
    <x v="9"/>
    <x v="15"/>
    <s v="Pete Goodliffe"/>
    <s v=""/>
    <s v=".pdf"/>
    <n v="92"/>
    <n v="14"/>
    <s v="Code Craft, The Practice of Writing Excellent Code"/>
  </r>
  <r>
    <s v="W:\Livres\Informatique\Histoire, Histoires\Code, The Hidden Language of Computer Hardware and Software (2000) - [Microsoft Press] - Charles Petzold.epub"/>
    <x v="7"/>
    <x v="13"/>
    <s v="Charles Petzold"/>
    <s v=""/>
    <s v=".epub"/>
    <n v="109"/>
    <n v="15"/>
    <s v="Code, The Hidden Language of Computer Hardware and Software"/>
  </r>
  <r>
    <s v="W:\Livres\Informatique\Histoire, Histoires\Code, The Hidden Language of Computer Hardware and Software (2000) - [Microsoft Press] - Charles Petzold.pdf"/>
    <x v="7"/>
    <x v="13"/>
    <s v="Charles Petzold"/>
    <s v=""/>
    <s v=".pdf"/>
    <n v="108"/>
    <n v="15"/>
    <s v="Code, The Hidden Language of Computer Hardware and Software"/>
  </r>
  <r>
    <s v="W:\Livres\Informatique\Histoire, Histoires\Coder proprement (2009) - [Pearson] - Robert C Martin.pdf"/>
    <x v="4"/>
    <x v="7"/>
    <s v="Robert C Martin"/>
    <s v=""/>
    <s v=".pdf"/>
    <n v="57"/>
    <n v="15"/>
    <s v="Coder proprement"/>
  </r>
  <r>
    <s v="W:\Livres\Informatique\Histoire, Histoires\Coding Interview Ninja, 50 coding questions with Java solutions to practice for your coding interview - Ekim Ouye.epub"/>
    <x v="10"/>
    <x v="8"/>
    <s v="Ekim Ouye"/>
    <s v=""/>
    <s v=".epub"/>
    <n v="118"/>
    <n v="9"/>
    <s v="Coding Interview Ninja, 50 coding questions with Java solutions to practice for your coding interview"/>
  </r>
  <r>
    <s v="W:\Livres\Informatique\Histoire, Histoires\Computer Science Illuminated (6th ed, 2016) - [Jones &amp; Bartlett] - Nell Dale, John Lewis.pdf"/>
    <x v="2"/>
    <x v="79"/>
    <s v="Nell Dale, John Lewis"/>
    <s v=""/>
    <s v=".pdf"/>
    <n v="92"/>
    <n v="21"/>
    <s v="Computer Science Illuminated"/>
  </r>
  <r>
    <s v="W:\Livres\Informatique\Histoire, Histoires\Cracking the Coding Interview, 189 Programming Questions and Solutions (6th ed, 2015) - [CareerCup] - Gayle L. McDowell.pdf"/>
    <x v="3"/>
    <x v="80"/>
    <s v="Gayle L. McDowell"/>
    <s v=""/>
    <s v=".pdf"/>
    <n v="123"/>
    <n v="17"/>
    <s v="Cracking the Coding Interview, 189 Programming Questions and Solutions"/>
  </r>
  <r>
    <s v="W:\Livres\Informatique\Histoire, Histoires\Dictionnaire biographique et historique de la micro-informatique (2000) - [Multi Mondes] - André Loranger.pdf"/>
    <x v="7"/>
    <x v="81"/>
    <s v="André Loranger"/>
    <s v=""/>
    <s v=".pdf"/>
    <n v="109"/>
    <n v="14"/>
    <s v="Dictionnaire biographique et historique de la micro-informatique"/>
  </r>
  <r>
    <s v="W:\Livres\Informatique\Histoire, Histoires\Hackers, Heroes of the Computer Revolution (1994) - [Dell Publishing] - Steven Levy.pdf"/>
    <x v="29"/>
    <x v="82"/>
    <s v="Steven Levy"/>
    <s v=""/>
    <s v=".pdf"/>
    <n v="87"/>
    <n v="11"/>
    <s v="Hackers, Heroes of the Computer Revolution"/>
  </r>
  <r>
    <s v="W:\Livres\Informatique\Histoire, Histoires\History of Programming Languages (1996) - [Apress] - Thomas J. Bergin, Richard G. Gibson.pdf"/>
    <x v="22"/>
    <x v="42"/>
    <s v="Thomas J. Bergin, Richard G. Gibson"/>
    <s v=""/>
    <s v=".pdf"/>
    <n v="92"/>
    <n v="35"/>
    <s v="History of Programming Languages"/>
  </r>
  <r>
    <s v="W:\Livres\Informatique\Histoire, Histoires\History of Programming Languages (2004) - [O'Reilly].pdf"/>
    <x v="26"/>
    <x v="4"/>
    <s v="?"/>
    <s v=""/>
    <s v=".pdf"/>
    <n v="56"/>
    <n v="1"/>
    <s v="History of Programming Languages"/>
  </r>
  <r>
    <s v="W:\Livres\Informatique\Histoire, Histoires\How to be a Programmer, A Short, Comprehensive, and Personal Summary (2002) - Robert L. Read.pdf"/>
    <x v="16"/>
    <x v="8"/>
    <s v="Robert L. Read"/>
    <s v=""/>
    <s v=".pdf"/>
    <n v="96"/>
    <n v="14"/>
    <s v="How to be a Programmer, A Short, Comprehensive, and Personal Summary"/>
  </r>
  <r>
    <s v="W:\Livres\Informatique\Histoire, Histoires\Lectures on Computation (2000) - [Westview] - Richard Feynman.pdf"/>
    <x v="7"/>
    <x v="83"/>
    <s v="Richard Feynman"/>
    <s v=""/>
    <s v=".pdf"/>
    <n v="65"/>
    <n v="15"/>
    <s v="Lectures on Computation"/>
  </r>
  <r>
    <s v="W:\Livres\Informatique\Histoire, Histoires\Masterminds of Programming (2009) - [O'Reilly] - Federico Biancuzzi, Shane Warden.pdf"/>
    <x v="4"/>
    <x v="4"/>
    <s v="Federico Biancuzzi, Shane Warden"/>
    <s v=""/>
    <s v=".pdf"/>
    <n v="85"/>
    <n v="32"/>
    <s v="Masterminds of Programming"/>
  </r>
  <r>
    <s v="W:\Livres\Informatique\Histoire, Histoires\More Programming Pearls, Confessions of a coder (1988) - [Addison-Wesley] - Jon Bentley.pdf"/>
    <x v="35"/>
    <x v="19"/>
    <s v="Jon Bentley"/>
    <s v=""/>
    <s v=".pdf"/>
    <n v="91"/>
    <n v="11"/>
    <s v="More Programming Pearls, Confessions of a coder"/>
  </r>
  <r>
    <s v="W:\Livres\Informatique\Histoire, Histoires\Nine Algorithms That Changed the Future (2012) - [Princeton University Press] - John MacCormick.epub"/>
    <x v="8"/>
    <x v="84"/>
    <s v="John MacCormick"/>
    <s v=""/>
    <s v=".epub"/>
    <n v="100"/>
    <n v="15"/>
    <s v="Nine Algorithms That Changed the Future"/>
  </r>
  <r>
    <s v="W:\Livres\Informatique\Histoire, Histoires\Programming Pearls (1986) - [Addison-Wesley] - Jon Bentley.pdf"/>
    <x v="20"/>
    <x v="19"/>
    <s v="Jon Bentley"/>
    <s v=""/>
    <s v=".pdf"/>
    <n v="62"/>
    <n v="11"/>
    <s v="Programming Pearls"/>
  </r>
  <r>
    <s v="W:\Livres\Informatique\Histoire, Histoires\Selected Papers on Computer Science (1996) - [Cambridge] - Donald E. Knuth.pdf"/>
    <x v="22"/>
    <x v="17"/>
    <s v="Donald E. Knuth"/>
    <s v=""/>
    <s v=".pdf"/>
    <n v="78"/>
    <n v="15"/>
    <s v="Selected Papers on Computer Science"/>
  </r>
  <r>
    <s v="W:\Livres\Informatique\Histoire, Histoires\The Anatomy of Programming Languages (1993) - [Prentice Hall] - Alice E. Fischer, Frances S. Grodzinsky.pdf"/>
    <x v="21"/>
    <x v="20"/>
    <s v="Alice E. Fischer, Frances S. Grodzinsky"/>
    <s v=""/>
    <s v=".pdf"/>
    <n v="107"/>
    <n v="39"/>
    <s v="The Anatomy of Programming Languages"/>
  </r>
  <r>
    <s v="W:\Livres\Informatique\Histoire, Histoires\The Annotated Turing (2008) - [Wiley] - Charles Petzold.pdf"/>
    <x v="13"/>
    <x v="22"/>
    <s v="Charles Petzold"/>
    <s v=""/>
    <s v=".pdf"/>
    <n v="59"/>
    <n v="15"/>
    <s v="The Annotated Turing"/>
  </r>
  <r>
    <s v="W:\Livres\Informatique\Histoire, Histoires\The Art of Agile Development (2008) - [O'Reilly] - James Shore, Shane Warden.pdf"/>
    <x v="13"/>
    <x v="4"/>
    <s v="James Shore, Shane Warden"/>
    <s v=""/>
    <s v=".pdf"/>
    <n v="80"/>
    <n v="25"/>
    <s v="The Art of Agile Development"/>
  </r>
  <r>
    <s v="W:\Livres\Informatique\Histoire, Histoires\The Clean Coder, A Code of Conduct for Professional Programmers (2011) - [Prentice Hall] - Robert Martin.pdf"/>
    <x v="0"/>
    <x v="20"/>
    <s v="Robert Martin"/>
    <s v=""/>
    <s v=".pdf"/>
    <n v="108"/>
    <n v="13"/>
    <s v="The Clean Coder, A Code of Conduct for Professional Programmers"/>
  </r>
  <r>
    <s v="W:\Livres\Informatique\Histoire, Histoires\The Code Book, How to Make It, Break It, Hack It, Crack It (2001) - [Delacorte Press] - Simon Singh.pdf"/>
    <x v="15"/>
    <x v="85"/>
    <s v="Simon Singh"/>
    <s v=""/>
    <s v=".pdf"/>
    <n v="103"/>
    <n v="11"/>
    <s v="The Code Book, How to Make It, Break It, Hack It, Crack It"/>
  </r>
  <r>
    <s v="W:\Livres\Informatique\Histoire, Histoires\The Design of Design, Essays from a Computer Scientist (2010) - [Addison-Wesley] - Frederick P. Brooks.pdf"/>
    <x v="14"/>
    <x v="19"/>
    <s v="Frederick P. Brooks"/>
    <s v=""/>
    <s v=".pdf"/>
    <n v="106"/>
    <n v="19"/>
    <s v="The Design of Design, Essays from a Computer Scientist"/>
  </r>
  <r>
    <s v="W:\Livres\Informatique\Histoire, Histoires\The Mythical Man-Month, Anniversary Edition (1995) {Scan} - [Addison-Wesley] - Frederick Brooks.pdf"/>
    <x v="28"/>
    <x v="19"/>
    <s v="Frederick Brooks"/>
    <s v="Scan"/>
    <s v=".pdf"/>
    <n v="99"/>
    <n v="16"/>
    <s v="The Mythical Man-Month, Anniversary Edition"/>
  </r>
  <r>
    <s v="W:\Livres\Informatique\Histoire, Histoires\The Old New Thing, Practical Development Throughout the Evolution of Windows (2007) - [Addison-Wesley] - Raymond Chen.pdf"/>
    <x v="9"/>
    <x v="19"/>
    <s v="Raymond Chen"/>
    <s v=""/>
    <s v=".pdf"/>
    <n v="121"/>
    <n v="12"/>
    <s v="The Old New Thing, Practical Development Throughout the Evolution of Windows"/>
  </r>
  <r>
    <s v="W:\Livres\Informatique\Histoire, Histoires\The Passionate Programmer (2nd ed, 2009) - [The Pragmatic Programmers] - Chad Fowler.pdf"/>
    <x v="4"/>
    <x v="44"/>
    <s v="Chad Fowler"/>
    <s v=""/>
    <s v=".pdf"/>
    <n v="88"/>
    <n v="11"/>
    <s v="The Passionate Programmer"/>
  </r>
  <r>
    <s v="W:\Livres\Informatique\Histoire, Histoires\The Pentium Chronicles, The People, Passion and Politics Behind Intel's Landmark Chips (2006) - [Wiley] - Robert P. Colwell.djvu"/>
    <x v="17"/>
    <x v="22"/>
    <s v="Robert P. Colwell"/>
    <s v=""/>
    <s v=".djvu"/>
    <n v="128"/>
    <n v="17"/>
    <s v="The Pentium Chronicles, The People, Passion and Politics Behind Intel's Landmark Chips"/>
  </r>
  <r>
    <s v="W:\Livres\Informatique\Histoire, Histoires\The Pragmatic Programmer, From Journeyman to Master (1999) {Dump} - [Addison-Wesley] - Andrew Hunt, David Thomas.pdf"/>
    <x v="11"/>
    <x v="19"/>
    <s v="Andrew Hunt, David Thomas"/>
    <s v="Dump"/>
    <s v=".pdf"/>
    <n v="116"/>
    <n v="25"/>
    <s v="The Pragmatic Programmer, From Journeyman to Master"/>
  </r>
  <r>
    <s v="W:\Livres\Informatique\Histoire, Histoires\Writing Solid Code (1993) {Scan} - [Microsoft Press] - Stephen A. Maguire.pdf"/>
    <x v="21"/>
    <x v="13"/>
    <s v="Stephen A. Maguire"/>
    <s v="Scan"/>
    <s v=".pdf"/>
    <n v="77"/>
    <n v="18"/>
    <s v="Writing Solid Code"/>
  </r>
  <r>
    <s v="W:\Livres\Informatique\Histoire, Histoires\The Art of Computer Programming\The Art of Computer Programming, Volume 1, Fascicle 1, MMIX (2004) - [Addison-Wesley] - Donald E. Knuth.pdf"/>
    <x v="26"/>
    <x v="19"/>
    <s v="Donald E. Knuth"/>
    <s v=""/>
    <s v=".pdf"/>
    <n v="107"/>
    <n v="15"/>
    <s v="The Art of Computer Programming, Volume 1, Fascicle 1, MMIX"/>
  </r>
  <r>
    <s v="W:\Livres\Informatique\Histoire, Histoires\The Art of Computer Programming\The Art of Computer Programming, Volume 1, Fundamental Algorithms (2nd ed, 1969) - [Addison-Wesley] - Donald E. Knuth.pdf"/>
    <x v="36"/>
    <x v="19"/>
    <s v="Donald E. Knuth"/>
    <s v=""/>
    <s v=".pdf"/>
    <n v="121"/>
    <n v="15"/>
    <s v="The Art of Computer Programming, Volume 1, Fundamental Algorithms"/>
  </r>
  <r>
    <s v="W:\Livres\Informatique\Histoire, Histoires\The Art of Computer Programming\The Art of Computer Programming, Volume 1, Fundamental Algorithms (3rd ed, 1997) - [Addison-Wesley] - Donald E. Knuth.djvu"/>
    <x v="30"/>
    <x v="19"/>
    <s v="Donald E. Knuth"/>
    <s v=""/>
    <s v=".djvu"/>
    <n v="122"/>
    <n v="15"/>
    <s v="The Art of Computer Programming, Volume 1, Fundamental Algorithms"/>
  </r>
  <r>
    <s v="W:\Livres\Informatique\Histoire, Histoires\The Art of Computer Programming\The Art of Computer Programming, Volume 1, Fundamental Algorithms (3rd ed, 1997) - [Addison-Wesley] - Donald E. Knuth.pdf"/>
    <x v="30"/>
    <x v="19"/>
    <s v="Donald E. Knuth"/>
    <s v=""/>
    <s v=".pdf"/>
    <n v="121"/>
    <n v="15"/>
    <s v="The Art of Computer Programming, Volume 1, Fundamental Algorithms"/>
  </r>
  <r>
    <s v="W:\Livres\Informatique\Histoire, Histoires\The Art of Computer Programming\The Art of Computer Programming, Volume 2, Seminumerical Algorithms (2nd ed, 1981) - [Addison-Wesley] - Donald E. Knuth.pdf"/>
    <x v="32"/>
    <x v="19"/>
    <s v="Donald E. Knuth"/>
    <s v=""/>
    <s v=".pdf"/>
    <n v="123"/>
    <n v="15"/>
    <s v="The Art of Computer Programming, Volume 2, Seminumerical Algorithms"/>
  </r>
  <r>
    <s v="W:\Livres\Informatique\Histoire, Histoires\The Art of Computer Programming\The Art of Computer Programming, Volume 2, Seminumerical Algorithms (3rd ed, 1998) - [Addison-Wesley] - Donald E. Knuth.djvu"/>
    <x v="12"/>
    <x v="19"/>
    <s v="Donald E. Knuth"/>
    <s v=""/>
    <s v=".djvu"/>
    <n v="124"/>
    <n v="15"/>
    <s v="The Art of Computer Programming, Volume 2, Seminumerical Algorithms"/>
  </r>
  <r>
    <s v="W:\Livres\Informatique\Histoire, Histoires\The Art of Computer Programming\The Art of Computer Programming, Volume 3, Sorting and Searching (1st ed, 1973) - [Addison-Wesley] - Donald E. Knuth.pdf"/>
    <x v="37"/>
    <x v="19"/>
    <s v="Donald E. Knuth"/>
    <s v=""/>
    <s v=".pdf"/>
    <n v="120"/>
    <n v="15"/>
    <s v="The Art of Computer Programming, Volume 3, Sorting and Searching"/>
  </r>
  <r>
    <s v="W:\Livres\Informatique\Histoire, Histoires\The Art of Computer Programming\The Art of Computer Programming, Volume 3, Sorting and Searching (2nd ed, 1998) - [Addison-Wesley] - Donald E. Knuth.djvu"/>
    <x v="12"/>
    <x v="19"/>
    <s v="Donald E. Knuth"/>
    <s v=""/>
    <s v=".djvu"/>
    <n v="121"/>
    <n v="15"/>
    <s v="The Art of Computer Programming, Volume 3, Sorting and Searching"/>
  </r>
  <r>
    <s v="W:\Livres\Informatique\Histoire, Histoires\The Art of Computer Programming\The Art of Computer Programming, Volume 3, Sorting and Searching (2nd ed, 1998) - [Addison-Wesley] - Donald E. Knuth.pdf"/>
    <x v="12"/>
    <x v="19"/>
    <s v="Donald E. Knuth"/>
    <s v=""/>
    <s v=".pdf"/>
    <n v="120"/>
    <n v="15"/>
    <s v="The Art of Computer Programming, Volume 3, Sorting and Searching"/>
  </r>
  <r>
    <s v="W:\Livres\Informatique\Histoire, Histoires\The Art of Computer Programming\The Art of Computer Programming, Volume 4A, Combinatorial Algorithms, Part 1 (2011) - [Addison-Wesley] - Donald E Knuth.pdf"/>
    <x v="0"/>
    <x v="19"/>
    <s v="Donald E Knuth"/>
    <s v=""/>
    <s v=".pdf"/>
    <n v="123"/>
    <n v="14"/>
    <s v="The Art of Computer Programming, Volume 4A, Combinatorial Algorithms, Part 1"/>
  </r>
  <r>
    <s v="W:\Livres\Informatique\Histoire, Histoires\The Art of Computer Programming\The Art of Computer Programming, Volumes I-IVa - [Addison-Wesley] - Donald E. Knuth.pdf"/>
    <x v="10"/>
    <x v="19"/>
    <s v="Donald E. Knuth"/>
    <s v=""/>
    <s v=".pdf"/>
    <n v="87"/>
    <n v="15"/>
    <s v="The Art of Computer Programming, Volumes I-IVa"/>
  </r>
  <r>
    <s v="W:\Livres\Informatique\Langages\ActionScript 3, Programmation séquentielle et orientée objet (2008) - [Eyrolles] - David Tardiveau.pdf"/>
    <x v="13"/>
    <x v="6"/>
    <s v="David Tardiveau"/>
    <s v=""/>
    <s v=".pdf"/>
    <n v="102"/>
    <n v="15"/>
    <s v="ActionScript 3, Programmation séquentielle et orientée objet"/>
  </r>
  <r>
    <s v="W:\Livres\Informatique\Langages\Delphi in a Nutshell (2000) - [O'Reilly] - Ray Lischner.pdf"/>
    <x v="7"/>
    <x v="4"/>
    <s v="Ray Lischner"/>
    <s v=""/>
    <s v=".pdf"/>
    <n v="59"/>
    <n v="12"/>
    <s v="Delphi in a Nutshell"/>
  </r>
  <r>
    <s v="W:\Livres\Informatique\Langages\Functional Programming for the Real World with examples in C# and F# (2009) - [Manning] - Thomas Petricek, Jon Skeet.pdf"/>
    <x v="4"/>
    <x v="0"/>
    <s v="Thomas Petricek, Jon Skeet"/>
    <s v=""/>
    <s v=".pdf"/>
    <n v="120"/>
    <n v="26"/>
    <s v="Functional Programming for the Real World with examples in C# and F#"/>
  </r>
  <r>
    <s v="W:\Livres\Informatique\Langages\Haxe 3 Manual (2016) - Haxe Foundation.pdf"/>
    <x v="2"/>
    <x v="8"/>
    <s v="Haxe Foundation"/>
    <s v=""/>
    <s v=".pdf"/>
    <n v="42"/>
    <n v="15"/>
    <s v="Haxe 3 Manual"/>
  </r>
  <r>
    <s v="W:\Livres\Informatique\Langages\Introduction to Functional Programming (1997) - John Harrison.pdf"/>
    <x v="30"/>
    <x v="8"/>
    <s v="John Harrison"/>
    <s v=""/>
    <s v=".pdf"/>
    <n v="65"/>
    <n v="13"/>
    <s v="Introduction to Functional Programming"/>
  </r>
  <r>
    <s v="W:\Livres\Informatique\Langages\Learning ClojureScript (2016) - [Packt] - W. David Jarvis, Rafik Naccache, Allen Rohner.epub"/>
    <x v="2"/>
    <x v="14"/>
    <s v="W. David Jarvis, Rafik Naccache, Allen Rohner"/>
    <s v=""/>
    <s v=".epub"/>
    <n v="92"/>
    <n v="45"/>
    <s v="Learning ClojureScript"/>
  </r>
  <r>
    <s v="W:\Livres\Informatique\Langages\Learning ClojureScript (2016) - [Packt] - W. David Jarvis, Rafik Naccache, Allen Rohner.pdf"/>
    <x v="2"/>
    <x v="14"/>
    <s v="W. David Jarvis, Rafik Naccache, Allen Rohner"/>
    <s v=""/>
    <s v=".pdf"/>
    <n v="91"/>
    <n v="45"/>
    <s v="Learning ClojureScript"/>
  </r>
  <r>
    <s v="W:\Livres\Informatique\Langages\Learning Google Apps Script (2016) - [Packt] - Ramalingam Ganapathy.pdf"/>
    <x v="2"/>
    <x v="14"/>
    <s v="Ramalingam Ganapathy"/>
    <s v=""/>
    <s v=".pdf"/>
    <n v="71"/>
    <n v="20"/>
    <s v="Learning Google Apps Script"/>
  </r>
  <r>
    <s v="W:\Livres\Informatique\Langages\Pragmatic Programming Erlang (2007) - [The Pragmatic Programmers] - Joe Armstrong.pdf"/>
    <x v="9"/>
    <x v="44"/>
    <s v="Joe Armstrong"/>
    <s v=""/>
    <s v=".pdf"/>
    <n v="85"/>
    <n v="13"/>
    <s v="Pragmatic Programming Erlang"/>
  </r>
  <r>
    <s v="W:\Livres\Informatique\Langages\Programming Rust (2016) {Prerelease} - [O'Reilly] - Jim Blandy, Jason Orendorff.pdf"/>
    <x v="2"/>
    <x v="4"/>
    <s v="Jim Blandy, Jason Orendorff"/>
    <s v="Prerelease"/>
    <s v=".pdf"/>
    <n v="83"/>
    <n v="27"/>
    <s v="Programming Rust"/>
  </r>
  <r>
    <s v="W:\Livres\Informatique\Langages\The Go Programming Language (2016) - [Addison-Wesley] - Alan Donovan, Brian Kernighan.epub"/>
    <x v="2"/>
    <x v="19"/>
    <s v="Alan Donovan, Brian Kernighan"/>
    <s v=""/>
    <s v=".epub"/>
    <n v="90"/>
    <n v="29"/>
    <s v="The Go Programming Language"/>
  </r>
  <r>
    <s v="W:\Livres\Informatique\Langages\Thinking Forth (2004) - Leo Brodie.pdf"/>
    <x v="26"/>
    <x v="8"/>
    <s v="Leo Brodie"/>
    <s v=""/>
    <s v=".pdf"/>
    <n v="38"/>
    <n v="10"/>
    <s v="Thinking Forth"/>
  </r>
  <r>
    <s v="W:\Livres\Informatique\Langages\Ada\Ada for Software Engineers (2005) - [Wiley] - Mordechai Ben-Ari.pdf"/>
    <x v="1"/>
    <x v="22"/>
    <s v="Mordechai Ben-Ari"/>
    <s v=""/>
    <s v=".pdf"/>
    <n v="67"/>
    <n v="17"/>
    <s v="Ada for Software Engineers"/>
  </r>
  <r>
    <s v="W:\Livres\Informatique\Langages\Ada\Ada Programming (2013) - [Wikibooks].pdf"/>
    <x v="5"/>
    <x v="86"/>
    <s v="?"/>
    <s v=""/>
    <s v=".pdf"/>
    <n v="40"/>
    <n v="1"/>
    <s v="Ada Programming"/>
  </r>
  <r>
    <s v="W:\Livres\Informatique\Langages\Ada\Concurrent and Real-Time Programming in Ada (2007) - [Cambridge] - Alan Burns.pdf"/>
    <x v="9"/>
    <x v="17"/>
    <s v="Alan Burns"/>
    <s v=""/>
    <s v=".pdf"/>
    <n v="81"/>
    <n v="10"/>
    <s v="Concurrent and Real-Time Programming in Ada"/>
  </r>
  <r>
    <s v="W:\Livres\Informatique\Langages\Algol\Informal Introduction to Algol 68 Revised (2nd ed, 1977) - [North-Holland] - Lindsey, Van der Meulen.pdf"/>
    <x v="38"/>
    <x v="87"/>
    <s v="Lindsey, Van der Meulen"/>
    <s v=""/>
    <s v=".pdf"/>
    <n v="104"/>
    <n v="23"/>
    <s v="Informal Introduction to Algol 68 Revised"/>
  </r>
  <r>
    <s v="W:\Livres\Informatique\Langages\Algol\Programming Algol 68 Made Easy (2001) - [Phoenix Engineering] - Sian Leitch.pdf"/>
    <x v="15"/>
    <x v="88"/>
    <s v="Sian Leitch"/>
    <s v=""/>
    <s v=".pdf"/>
    <n v="79"/>
    <n v="11"/>
    <s v="Programming Algol 68 Made Easy"/>
  </r>
  <r>
    <s v="W:\Livres\Informatique\Langages\Algol\Report on the Algorithmic Language Algol 68 (1969) - Van Wijngaarden, Mailloux, Peck, Koster.pdf"/>
    <x v="36"/>
    <x v="8"/>
    <s v="Van Wijngaarden, Mailloux, Peck, Koster"/>
    <s v=""/>
    <s v=".pdf"/>
    <n v="96"/>
    <n v="39"/>
    <s v="Report on the Algorithmic Language Algol 68"/>
  </r>
  <r>
    <s v="W:\Livres\Informatique\Langages\Algol\Revised Report on the Algorithmic Language Algol 68 (1972) - Aan Wijngaarden et al.pdf"/>
    <x v="31"/>
    <x v="8"/>
    <s v="Aan Wijngaarden et al"/>
    <s v=""/>
    <s v=".pdf"/>
    <n v="86"/>
    <n v="21"/>
    <s v="Revised Report on the Algorithmic Language Algol 68"/>
  </r>
  <r>
    <s v="W:\Livres\Informatique\Langages\Assembleur\Assembly Language for Intel Based Computers (4th ed, 2002) - [Prentice Hall] - Kip R. Irvine.pdf"/>
    <x v="16"/>
    <x v="20"/>
    <s v="Kip R. Irvine"/>
    <s v=""/>
    <s v=".pdf"/>
    <n v="96"/>
    <n v="13"/>
    <s v="Assembly Language for Intel Based Computers"/>
  </r>
  <r>
    <s v="W:\Livres\Informatique\Langages\Assembleur\Assembly Language for Intel Based Computers (4th ed, 2002), Workbook.pdf"/>
    <x v="16"/>
    <x v="8"/>
    <s v="?"/>
    <s v=""/>
    <s v=".pdf"/>
    <n v="72"/>
    <n v="1"/>
    <s v="Assembly Language for Intel Based Computers"/>
  </r>
  <r>
    <s v="W:\Livres\Informatique\Langages\Assembleur\Assembly Language for x86 Processors (6th ed, 2011) - [Prentice Hall] - Kip R. Irvine.pdf"/>
    <x v="0"/>
    <x v="20"/>
    <s v="Kip R. Irvine"/>
    <s v=""/>
    <s v=".pdf"/>
    <n v="89"/>
    <n v="13"/>
    <s v="Assembly Language for x86 Processors"/>
  </r>
  <r>
    <s v="W:\Livres\Informatique\Langages\Assembleur\Assembly Language for x86 Processors (7th ed, 2014) - [Prentice Hall] - Kip R. Irvine.pdf"/>
    <x v="6"/>
    <x v="20"/>
    <s v="Kip R. Irvine"/>
    <s v=""/>
    <s v=".pdf"/>
    <n v="89"/>
    <n v="13"/>
    <s v="Assembly Language for x86 Processors"/>
  </r>
  <r>
    <s v="W:\Livres\Informatique\Langages\Assembleur\Guide to Assembly Language Programming in Linux (2005) - [Springer] - Sivarama P. Dandamudi.pdf"/>
    <x v="1"/>
    <x v="9"/>
    <s v="Sivarama P. Dandamudi"/>
    <s v=""/>
    <s v=".pdf"/>
    <n v="95"/>
    <n v="21"/>
    <s v="Guide to Assembly Language Programming in Linux"/>
  </r>
  <r>
    <s v="W:\Livres\Informatique\Langages\Assembleur\Intel Code Table (2003) - Roger Jegerlehner.pdf"/>
    <x v="25"/>
    <x v="8"/>
    <s v="Roger Jegerlehner"/>
    <s v=""/>
    <s v=".pdf"/>
    <n v="47"/>
    <n v="17"/>
    <s v="Intel Code Table"/>
  </r>
  <r>
    <s v="W:\Livres\Informatique\Langages\Assembleur\Introduction au 8051 (2013) - Jean-Michel Gonet.pdf"/>
    <x v="5"/>
    <x v="8"/>
    <s v="Jean-Michel Gonet"/>
    <s v=""/>
    <s v=".pdf"/>
    <n v="51"/>
    <n v="17"/>
    <s v="Introduction au 8051"/>
  </r>
  <r>
    <s v="W:\Livres\Informatique\Langages\Assembleur\Introduction to 64-bit Intel Assembly Language Programming for Linux (2011) - Ray Seyfarth.pdf"/>
    <x v="0"/>
    <x v="8"/>
    <s v="Ray Seyfarth"/>
    <s v=""/>
    <s v=".pdf"/>
    <n v="94"/>
    <n v="12"/>
    <s v="Introduction to 64-bit Intel Assembly Language Programming for Linux"/>
  </r>
  <r>
    <s v="W:\Livres\Informatique\Langages\Assembleur\Linux Assembly Language Programming (2000) - [Prentice Hall] - Bob Neveln.pdf"/>
    <x v="7"/>
    <x v="20"/>
    <s v="Bob Neveln"/>
    <s v=""/>
    <s v=".pdf"/>
    <n v="77"/>
    <n v="10"/>
    <s v="Linux Assembly Language Programming"/>
  </r>
  <r>
    <s v="W:\Livres\Informatique\Langages\Assembleur\MIPS Assembly Language Programming (2003) - Robert Britton.pdf"/>
    <x v="25"/>
    <x v="8"/>
    <s v="Robert Britton"/>
    <s v=""/>
    <s v=".pdf"/>
    <n v="62"/>
    <n v="14"/>
    <s v="MIPS Assembly Language Programming"/>
  </r>
  <r>
    <s v="W:\Livres\Informatique\Langages\Assembleur\MIPS R4000 Microprocessor User's Manual (2nd ed, 1994) - [MIPS Technologies] - Joe Heinrich.pdf"/>
    <x v="29"/>
    <x v="89"/>
    <s v="Joe Heinrich"/>
    <s v=""/>
    <s v=".pdf"/>
    <n v="95"/>
    <n v="12"/>
    <s v="MIPS R4000 Microprocessor User's Manual"/>
  </r>
  <r>
    <s v="W:\Livres\Informatique\Langages\Assembleur\MIPS Reference (2009) - [Elsevier].pdf"/>
    <x v="4"/>
    <x v="1"/>
    <s v="?"/>
    <s v=""/>
    <s v=".pdf"/>
    <n v="38"/>
    <n v="1"/>
    <s v="MIPS Reference"/>
  </r>
  <r>
    <s v="W:\Livres\Informatique\Langages\Assembleur\Modern x86 Assembly Language Programming, 32-bit, 64-bit, SSE and AVX (2014) - [Apress] - Daniel Kusswurm.pdf"/>
    <x v="6"/>
    <x v="42"/>
    <s v="Daniel Kusswurm"/>
    <s v=""/>
    <s v=".pdf"/>
    <n v="109"/>
    <n v="15"/>
    <s v="Modern x86 Assembly Language Programming, 32-bit, 64-bit, SSE and AVX"/>
  </r>
  <r>
    <s v="W:\Livres\Informatique\Langages\Assembleur\PC Assembly Language (5th ed, 2006) - Paul Carter.pdf"/>
    <x v="17"/>
    <x v="8"/>
    <s v="Paul Carter"/>
    <s v=""/>
    <s v=".pdf"/>
    <n v="53"/>
    <n v="11"/>
    <s v="PC Assembly Language"/>
  </r>
  <r>
    <s v="W:\Livres\Informatique\Langages\Assembleur\Professional Assembly Language (2005) - [Wiley] - Richard Blum.pdf"/>
    <x v="1"/>
    <x v="22"/>
    <s v="Richard Blum"/>
    <s v=""/>
    <s v=".pdf"/>
    <n v="66"/>
    <n v="12"/>
    <s v="Professional Assembly Language"/>
  </r>
  <r>
    <s v="W:\Livres\Informatique\Langages\Assembleur\Professional Assembly Language (2005), Code.rar"/>
    <x v="1"/>
    <x v="8"/>
    <s v="?"/>
    <s v=""/>
    <s v=".rar"/>
    <n v="47"/>
    <n v="1"/>
    <s v="Professional Assembly Language"/>
  </r>
  <r>
    <s v="W:\Livres\Informatique\Langages\Assembleur\Programmation en assembleur du 68000 (1985) {Scan} - [Éditests] - Frank Brown.pdf"/>
    <x v="19"/>
    <x v="90"/>
    <s v="Frank Brown"/>
    <s v="Scan"/>
    <s v=".pdf"/>
    <n v="81"/>
    <n v="11"/>
    <s v="Programmation en assembleur du 68000"/>
  </r>
  <r>
    <s v="W:\Livres\Informatique\Langages\Assembleur\Programming the Z-80 (2nd ed, 1980) - [Sybex] - Rodnay Zaks.pdf"/>
    <x v="39"/>
    <x v="91"/>
    <s v="Rodnay Zaks"/>
    <s v=""/>
    <s v=".pdf"/>
    <n v="63"/>
    <n v="11"/>
    <s v="Programming the Z-80"/>
  </r>
  <r>
    <s v="W:\Livres\Informatique\Langages\Assembleur\The 80x86 IBM PC and Compatible Computers Vol 1&amp;2 (4th ed, 1983) {Scan} - [Pearson] - M.A. Mazidi, J.G. Mazidi.pdf"/>
    <x v="40"/>
    <x v="7"/>
    <s v="M.A. Mazidi, J.G. Mazidi"/>
    <s v="Scan"/>
    <s v=".pdf"/>
    <n v="114"/>
    <n v="24"/>
    <s v="The 80x86 IBM PC and Compatible Computers Vol 1&amp;2"/>
  </r>
  <r>
    <s v="W:\Livres\Informatique\Langages\Assembleur\The Art of Assembly Language (2nd ed, 2010) - [No Starch] - Randall Hyde.pdf"/>
    <x v="14"/>
    <x v="15"/>
    <s v="Randall Hyde"/>
    <s v=""/>
    <s v=".pdf"/>
    <n v="76"/>
    <n v="12"/>
    <s v="The Art of Assembly Language"/>
  </r>
  <r>
    <s v="W:\Livres\Informatique\Langages\Assembleur\The Art of Assembly Language (3rd ed, 2000).pdf"/>
    <x v="7"/>
    <x v="8"/>
    <s v="?"/>
    <s v=""/>
    <s v=".pdf"/>
    <n v="47"/>
    <n v="1"/>
    <s v="The Art of Assembly Language"/>
  </r>
  <r>
    <s v="W:\Livres\Informatique\Langages\Assembleur\The IDA Pro Book, The Unofficial Guide (2008) {Scan} - [No Starch] - Chris Eagle.pdf"/>
    <x v="13"/>
    <x v="15"/>
    <s v="Chris Eagle"/>
    <s v="Scan"/>
    <s v=".pdf"/>
    <n v="84"/>
    <n v="11"/>
    <s v="The IDA Pro Book, The Unofficial Guide"/>
  </r>
  <r>
    <s v="W:\Livres\Informatique\Langages\Assembleur\Using 6502 Assembly Language (2nd ed, 1982) - [Datamost] - Randy Hyde.pdf"/>
    <x v="41"/>
    <x v="92"/>
    <s v="Randy Hyde"/>
    <s v=""/>
    <s v=".pdf"/>
    <n v="73"/>
    <n v="10"/>
    <s v="Using 6502 Assembly Language"/>
  </r>
  <r>
    <s v="W:\Livres\Informatique\Langages\Assembleur\Windows Assembly Language and Systems Programming (2nd ed, 1997) {Scan} - [R&amp;D Books] - Barry Kauler.pdf"/>
    <x v="30"/>
    <x v="93"/>
    <s v="Barry Kauler"/>
    <s v="Scan"/>
    <s v=".pdf"/>
    <n v="104"/>
    <n v="12"/>
    <s v="Windows Assembly Language and Systems Programming"/>
  </r>
  <r>
    <s v="W:\Livres\Informatique\Langages\Assembleur\Write Great Code, Volume II, Thinking Low-Level, Writing High-Level (2006) - [No Starch] - Randall Hyde.pdf"/>
    <x v="17"/>
    <x v="15"/>
    <s v="Randall Hyde"/>
    <s v=""/>
    <s v=".pdf"/>
    <n v="107"/>
    <n v="12"/>
    <s v="Write Great Code, Volume II, Thinking Low-Level, Writing High-Level"/>
  </r>
  <r>
    <s v="W:\Livres\Informatique\Langages\Assembleur\X86 Assembly Language and C Fundamentals (2013) - [CRC Press] - Joseph Cavanagh.pdf"/>
    <x v="5"/>
    <x v="21"/>
    <s v="Joseph Cavanagh"/>
    <s v=""/>
    <s v=".pdf"/>
    <n v="83"/>
    <n v="15"/>
    <s v="X86 Assembly Language and C Fundamentals"/>
  </r>
  <r>
    <s v="W:\Livres\Informatique\Langages\Assembleur\ARM Manuals\ARM instruction set {Presentation} - ARM University.pdf"/>
    <x v="10"/>
    <x v="8"/>
    <s v="ARM University"/>
    <s v="Presentation"/>
    <s v=".pdf"/>
    <n v="55"/>
    <n v="14"/>
    <s v="ARM instruction set"/>
  </r>
  <r>
    <s v="W:\Livres\Informatique\Langages\Assembleur\ARM Manuals\ARM v5 Architecture Reference Manual (2005) - [ARM].pdf"/>
    <x v="1"/>
    <x v="94"/>
    <s v="?"/>
    <s v=""/>
    <s v=".pdf"/>
    <n v="55"/>
    <n v="1"/>
    <s v="ARM v5 Architecture Reference Manual"/>
  </r>
  <r>
    <s v="W:\Livres\Informatique\Langages\Assembleur\ARM Manuals\ARM v6-M Architecture Reference Manual (2010) - [ARM].pdf"/>
    <x v="14"/>
    <x v="94"/>
    <s v="?"/>
    <s v=""/>
    <s v=".pdf"/>
    <n v="57"/>
    <n v="1"/>
    <s v="ARM v6-M Architecture Reference Manual"/>
  </r>
  <r>
    <s v="W:\Livres\Informatique\Langages\Assembleur\ARM Manuals\ARM v7-AR Architecture Reference Manual (2014) - [ARM].pdf"/>
    <x v="6"/>
    <x v="94"/>
    <s v="?"/>
    <s v=""/>
    <s v=".pdf"/>
    <n v="58"/>
    <n v="1"/>
    <s v="ARM v7-AR Architecture Reference Manual"/>
  </r>
  <r>
    <s v="W:\Livres\Informatique\Langages\Assembleur\ARM Manuals\ARM v7-M Architecture Reference Manual (2014) - [ARM].pdf"/>
    <x v="6"/>
    <x v="94"/>
    <s v="?"/>
    <s v=""/>
    <s v=".pdf"/>
    <n v="57"/>
    <n v="1"/>
    <s v="ARM v7-M Architecture Reference Manual"/>
  </r>
  <r>
    <s v="W:\Livres\Informatique\Langages\Assembleur\ARM Manuals\ARM v8-A Architecture Reference Manual (2016) - [ARM].pdf"/>
    <x v="2"/>
    <x v="94"/>
    <s v="?"/>
    <s v=""/>
    <s v=".pdf"/>
    <n v="57"/>
    <n v="1"/>
    <s v="ARM v8-A Architecture Reference Manual"/>
  </r>
  <r>
    <s v="W:\Livres\Informatique\Langages\Assembleur\Intel Manuals\Intel 64 and IA-32 Architectures Application Note TLBs, Paging structure Caches and their Invalidation (2008) - [Intel].pdf"/>
    <x v="13"/>
    <x v="95"/>
    <s v="?"/>
    <s v=""/>
    <s v=".pdf"/>
    <n v="123"/>
    <n v="1"/>
    <s v="Intel 64 and IA-32 Architectures Application Note TLBs, Paging structure Caches and their Invalidation"/>
  </r>
  <r>
    <s v="W:\Livres\Informatique\Langages\Assembleur\Intel Manuals\Intel 64 and IA-32 Architectures Optimization Reference Manual (2007) - [Intel].pdf"/>
    <x v="9"/>
    <x v="95"/>
    <s v="?"/>
    <s v=""/>
    <s v=".pdf"/>
    <n v="83"/>
    <n v="1"/>
    <s v="Intel 64 and IA-32 Architectures Optimization Reference Manual"/>
  </r>
  <r>
    <s v="W:\Livres\Informatique\Langages\Assembleur\Intel Manuals\Intel 64 and IA-32 Architectures Software Developer's Manual Volume 1, Basic Architecture (2009) - [Intel].pdf"/>
    <x v="4"/>
    <x v="95"/>
    <s v="?"/>
    <s v=""/>
    <s v=".pdf"/>
    <n v="110"/>
    <n v="1"/>
    <s v="Intel 64 and IA-32 Architectures Software Developer's Manual Volume 1, Basic Architecture"/>
  </r>
  <r>
    <s v="W:\Livres\Informatique\Langages\Assembleur\Intel Manuals\Intel 64 and IA-32 Architectures Software Developer's Manual Volume 2A, Instruction Set Reference, A-M (2009) - [Intel].pdf"/>
    <x v="4"/>
    <x v="95"/>
    <s v="?"/>
    <s v=""/>
    <s v=".pdf"/>
    <n v="123"/>
    <n v="1"/>
    <s v="Intel 64 and IA-32 Architectures Software Developer's Manual Volume 2A, Instruction Set Reference, A-M"/>
  </r>
  <r>
    <s v="W:\Livres\Informatique\Langages\Assembleur\Intel Manuals\Intel 64 and IA-32 Architectures Software Developer's Manual Volume 2B, Instruction Set Reference, N-Z (2009) - [Intel].pdf"/>
    <x v="4"/>
    <x v="95"/>
    <s v="?"/>
    <s v=""/>
    <s v=".pdf"/>
    <n v="123"/>
    <n v="1"/>
    <s v="Intel 64 and IA-32 Architectures Software Developer's Manual Volume 2B, Instruction Set Reference, N-Z"/>
  </r>
  <r>
    <s v="W:\Livres\Informatique\Langages\Assembleur\Intel Manuals\Intel 64 and IA-32 Architectures Software Developer's Manual Volume 3A, System Programming Guide, Part 1 (2009) - [Intel].pdf"/>
    <x v="4"/>
    <x v="95"/>
    <s v="?"/>
    <s v=""/>
    <s v=".pdf"/>
    <n v="125"/>
    <n v="1"/>
    <s v="Intel 64 and IA-32 Architectures Software Developer's Manual Volume 3A, System Programming Guide, Part 1"/>
  </r>
  <r>
    <s v="W:\Livres\Informatique\Langages\Assembleur\Intel Manuals\Intel 64 and IA-32 Architectures Software Developer's Manual Volume 3B, System Programming Guide, Part 2 (2009) - [Intel].pdf"/>
    <x v="4"/>
    <x v="95"/>
    <s v="?"/>
    <s v=""/>
    <s v=".pdf"/>
    <n v="125"/>
    <n v="1"/>
    <s v="Intel 64 and IA-32 Architectures Software Developer's Manual Volume 3B, System Programming Guide, Part 2"/>
  </r>
  <r>
    <s v="W:\Livres\Informatique\Langages\Assembleur\Intel Manuals\Intel 64 Architecture x2APIC Specification (2008) - [Intel].pdf"/>
    <x v="13"/>
    <x v="95"/>
    <s v="?"/>
    <s v=""/>
    <s v=".pdf"/>
    <n v="63"/>
    <n v="1"/>
    <s v="Intel 64 Architecture x2APIC Specification"/>
  </r>
  <r>
    <s v="W:\Livres\Informatique\Langages\Assembleur\Intel Manuals\Intel SSE4 Programming Reference (2007) - [Intel].pdf"/>
    <x v="9"/>
    <x v="95"/>
    <s v="?"/>
    <s v=""/>
    <s v=".pdf"/>
    <n v="53"/>
    <n v="1"/>
    <s v="Intel SSE4 Programming Reference"/>
  </r>
  <r>
    <s v="W:\Livres\Informatique\Langages\C#, .Net Framework\.NET Performance Testing and Optimization, The Complete Guide (2010) - [Simple Talk] - Glavich, Farrell.pdf"/>
    <x v="14"/>
    <x v="96"/>
    <s v="Glavich, Farrell"/>
    <s v=""/>
    <s v=".pdf"/>
    <n v="107"/>
    <n v="16"/>
    <s v=".NET Performance Testing and Optimization, The Complete Guide"/>
  </r>
  <r>
    <s v="W:\Livres\Informatique\Langages\C#, .Net Framework\A Programmer's Guide to C# 5.0 (4th ed, 2012) - [Apress] - Eric Gunnerson, Nick Wienholt.pdf"/>
    <x v="8"/>
    <x v="42"/>
    <s v="Eric Gunnerson, Nick Wienholt"/>
    <s v=""/>
    <s v=".pdf"/>
    <n v="92"/>
    <n v="29"/>
    <s v="A Programmer's Guide to C# 5.0"/>
  </r>
  <r>
    <s v="W:\Livres\Informatique\Langages\C#, .Net Framework\Accelerated C# 2010 (2010) - [Apress] - Trey Nash.pdf"/>
    <x v="14"/>
    <x v="42"/>
    <s v="Trey Nash"/>
    <s v=""/>
    <s v=".pdf"/>
    <n v="53"/>
    <n v="9"/>
    <s v="Accelerated C# 2010"/>
  </r>
  <r>
    <s v="W:\Livres\Informatique\Langages\C#, .Net Framework\Adaptive Code via C# (2014) - [Microsoft Press] - Gary McLean Hall.epub"/>
    <x v="6"/>
    <x v="13"/>
    <s v="Gary McLean Hall"/>
    <s v=""/>
    <s v=".epub"/>
    <n v="71"/>
    <n v="16"/>
    <s v="Adaptive Code via C#"/>
  </r>
  <r>
    <s v="W:\Livres\Informatique\Langages\C#, .Net Framework\Applied Microsoft .NET Framework Programming (2002) - [Microsoft Press] - Jeffrey Richter.pdf"/>
    <x v="16"/>
    <x v="13"/>
    <s v="Jeffrey Richter"/>
    <s v=""/>
    <s v=".pdf"/>
    <n v="93"/>
    <n v="15"/>
    <s v="Applied Microsoft .NET Framework Programming"/>
  </r>
  <r>
    <s v="W:\Livres\Informatique\Langages\C#, .Net Framework\Beginning C# 6.0 Programming with Visual Studio 2015 (2016) - [Wrox] - Perkins, Vibe Hammer, Reid.pdf"/>
    <x v="2"/>
    <x v="97"/>
    <s v="Perkins, Vibe Hammer, Reid"/>
    <s v=""/>
    <s v=".pdf"/>
    <n v="101"/>
    <n v="26"/>
    <s v="Beginning C# 6.0 Programming with Visual Studio 2015"/>
  </r>
  <r>
    <s v="W:\Livres\Informatique\Langages\C#, .Net Framework\Beginning Visual C# 2010 (2010) - [Wrox] - Watson, Nagel, Pedersen, Reid, Skinner.pdf"/>
    <x v="14"/>
    <x v="97"/>
    <s v="Watson, Nagel, Pedersen, Reid, Skinner"/>
    <s v=""/>
    <s v=".pdf"/>
    <n v="85"/>
    <n v="38"/>
    <s v="Beginning Visual C# 2010"/>
  </r>
  <r>
    <s v="W:\Livres\Informatique\Langages\C#, .Net Framework\C# 4.0 Unleashed (2011) - [Sams] - Bart De Smet.pdf"/>
    <x v="0"/>
    <x v="52"/>
    <s v="Bart De Smet"/>
    <s v=""/>
    <s v=".pdf"/>
    <n v="51"/>
    <n v="12"/>
    <s v="C# 4.0 Unleashed"/>
  </r>
  <r>
    <s v="W:\Livres\Informatique\Langages\C#, .Net Framework\C# 5 First Look (2012) - [Packt] - Joel Martinez.pdf"/>
    <x v="8"/>
    <x v="14"/>
    <s v="Joel Martinez"/>
    <s v=""/>
    <s v=".pdf"/>
    <n v="52"/>
    <n v="13"/>
    <s v="C# 5 First Look"/>
  </r>
  <r>
    <s v="W:\Livres\Informatique\Langages\C#, .Net Framework\C# 5.0 Unleashed (2013) - [Sams] - Bart De Smet.pdf"/>
    <x v="5"/>
    <x v="52"/>
    <s v="Bart De Smet"/>
    <s v=""/>
    <s v=".pdf"/>
    <n v="51"/>
    <n v="12"/>
    <s v="C# 5.0 Unleashed"/>
  </r>
  <r>
    <s v="W:\Livres\Informatique\Langages\C#, .Net Framework\C# 6.0 and the .Net 4.6 Framework (7th ed, 2015) - [Apress] - Andrew Troelsen, Philip Japikse.epub"/>
    <x v="3"/>
    <x v="42"/>
    <s v="Andrew Troelsen, Philip Japikse"/>
    <s v=""/>
    <s v=".epub"/>
    <n v="98"/>
    <n v="31"/>
    <s v="C# 6.0 and the .Net 4.6 Framework"/>
  </r>
  <r>
    <s v="W:\Livres\Informatique\Langages\C#, .Net Framework\C# 6.0 and the .Net 4.6 Framework (7th ed, 2015) {Dump} - [Apress] - Andrew Troelsen, Philip Japikse.pdf"/>
    <x v="3"/>
    <x v="42"/>
    <s v="Andrew Troelsen, Philip Japikse"/>
    <s v="Dump"/>
    <s v=".pdf"/>
    <n v="104"/>
    <n v="31"/>
    <s v="C# 6.0 and the .Net 4.6 Framework"/>
  </r>
  <r>
    <s v="W:\Livres\Informatique\Langages\C#, .Net Framework\C# Bible (2002) - [Wiley] - Ferguson, Patterson, Beres, Boutquin, Gupta.pdf"/>
    <x v="16"/>
    <x v="22"/>
    <s v="Ferguson, Patterson, Beres, Boutquin, Gupta"/>
    <s v=""/>
    <s v=".pdf"/>
    <n v="75"/>
    <n v="43"/>
    <s v="C# Bible"/>
  </r>
  <r>
    <s v="W:\Livres\Informatique\Langages\C#, .Net Framework\C# et .Net version 2 (2è ed, 2006) - [Eyrolles] - Gérard Leblanc.pdf"/>
    <x v="17"/>
    <x v="6"/>
    <s v="Gérard Leblanc"/>
    <s v=""/>
    <s v=".pdf"/>
    <n v="68"/>
    <n v="14"/>
    <s v="C# et .Net version 2"/>
  </r>
  <r>
    <s v="W:\Livres\Informatique\Langages\C#, .Net Framework\C# in Depth (2nd ed, 2011) - [Manning] - Jon Skeet.pdf"/>
    <x v="0"/>
    <x v="0"/>
    <s v="Jon Skeet"/>
    <s v=""/>
    <s v=".pdf"/>
    <n v="54"/>
    <n v="9"/>
    <s v="C# in Depth"/>
  </r>
  <r>
    <s v="W:\Livres\Informatique\Langages\C#, .Net Framework\C# in Depth (3rd ed, 2014) - [Manning] - Jon Skeet.epub"/>
    <x v="6"/>
    <x v="0"/>
    <s v="Jon Skeet"/>
    <s v=""/>
    <s v=".epub"/>
    <n v="55"/>
    <n v="9"/>
    <s v="C# in Depth"/>
  </r>
  <r>
    <s v="W:\Livres\Informatique\Langages\C#, .Net Framework\C# in Depth (3rd ed, 2014) - [Manning] - Jon Skeet.pdf"/>
    <x v="6"/>
    <x v="0"/>
    <s v="Jon Skeet"/>
    <s v=""/>
    <s v=".pdf"/>
    <n v="54"/>
    <n v="9"/>
    <s v="C# in Depth"/>
  </r>
  <r>
    <s v="W:\Livres\Informatique\Langages\C#, .Net Framework\C# pour les nuls (2001) - [First] - Stephen Randy Davis.pdf"/>
    <x v="15"/>
    <x v="78"/>
    <s v="Stephen Randy Davis"/>
    <s v=""/>
    <s v=".pdf"/>
    <n v="59"/>
    <n v="19"/>
    <s v="C# pour les nuls"/>
  </r>
  <r>
    <s v="W:\Livres\Informatique\Langages\C#, .Net Framework\C# Primer, A Practical Approach (2002) - Stanley B. Lippman.pdf"/>
    <x v="16"/>
    <x v="8"/>
    <s v="Stanley B. Lippman"/>
    <s v=""/>
    <s v=".pdf"/>
    <n v="63"/>
    <n v="18"/>
    <s v="C# Primer, A Practical Approach"/>
  </r>
  <r>
    <s v="W:\Livres\Informatique\Langages\C#, .Net Framework\C# Programming (2nd ed, 2010) - [University of Hull] - Rob Miles.pdf"/>
    <x v="14"/>
    <x v="98"/>
    <s v="Rob Miles"/>
    <s v=""/>
    <s v=".pdf"/>
    <n v="68"/>
    <n v="9"/>
    <s v="C# Programming"/>
  </r>
  <r>
    <s v="W:\Livres\Informatique\Langages\C#, .Net Framework\C# Your Visual Blueprint for Building .NET Applications (2002) - [Hungry Minds] - Eric Butow, Tommy Ryan.pdf"/>
    <x v="16"/>
    <x v="99"/>
    <s v="Eric Butow, Tommy Ryan"/>
    <s v=""/>
    <s v=".pdf"/>
    <n v="108"/>
    <n v="22"/>
    <s v="C# Your Visual Blueprint for Building .NET Applications"/>
  </r>
  <r>
    <s v="W:\Livres\Informatique\Langages\C#, .Net Framework\CLR via C# (3rd ed, 2010) - [Microsoft Press] - Jeffrey Richter.pdf"/>
    <x v="14"/>
    <x v="13"/>
    <s v="Jeffrey Richter"/>
    <s v=""/>
    <s v=".pdf"/>
    <n v="67"/>
    <n v="15"/>
    <s v="CLR via C#"/>
  </r>
  <r>
    <s v="W:\Livres\Informatique\Langages\C#, .Net Framework\CLR via C# (3rd ed, 2010), Sample Codes.rar"/>
    <x v="14"/>
    <x v="8"/>
    <s v="?"/>
    <s v=""/>
    <s v=".rar"/>
    <n v="43"/>
    <n v="1"/>
    <s v="CLR via C#"/>
  </r>
  <r>
    <s v="W:\Livres\Informatique\Langages\C#, .Net Framework\Concurrency in C# Cookbook (2014) - [O'Reilly] - Stephen Cleary.pdf"/>
    <x v="6"/>
    <x v="4"/>
    <s v="Stephen Cleary"/>
    <s v=""/>
    <s v=".pdf"/>
    <n v="67"/>
    <n v="14"/>
    <s v="Concurrency in C# Cookbook"/>
  </r>
  <r>
    <s v="W:\Livres\Informatique\Langages\C#, .Net Framework\ECMA Intl Standard 335, Common Language Infrastructure, Partitions I to VI (4th ed, 2006) - [ECMA].pdf"/>
    <x v="17"/>
    <x v="100"/>
    <s v="?"/>
    <s v=""/>
    <s v=".pdf"/>
    <n v="102"/>
    <n v="1"/>
    <s v="ECMA Intl Standard 335, Common Language Infrastructure, Partitions I to VI"/>
  </r>
  <r>
    <s v="W:\Livres\Informatique\Langages\C#, .Net Framework\Effective C#, 50 Specific Ways to Improve your C# (2nd ed, 2010) - [Addison-Wesley] - Bill Wagner.pdf"/>
    <x v="14"/>
    <x v="19"/>
    <s v="Bill Wagner"/>
    <s v=""/>
    <s v=".pdf"/>
    <n v="101"/>
    <n v="11"/>
    <s v="Effective C#, 50 Specific Ways to Improve your C#"/>
  </r>
  <r>
    <s v="W:\Livres\Informatique\Langages\C#, .Net Framework\Essential C# 4.0 (2010) - [Addison-Wesley] - Mark Michaelis.pdf"/>
    <x v="14"/>
    <x v="19"/>
    <s v="Mark Michaelis"/>
    <s v=""/>
    <s v=".pdf"/>
    <n v="63"/>
    <n v="14"/>
    <s v="Essential C# 4.0"/>
  </r>
  <r>
    <s v="W:\Livres\Informatique\Langages\C#, .Net Framework\Functional Programming in C# (3rd ed, 2011) - [Wrox] - Olivier Sturm.pdf"/>
    <x v="0"/>
    <x v="97"/>
    <s v="Olivier Sturm"/>
    <s v=""/>
    <s v=".pdf"/>
    <n v="72"/>
    <n v="13"/>
    <s v="Functional Programming in C#"/>
  </r>
  <r>
    <s v="W:\Livres\Informatique\Langages\C#, .Net Framework\Head First C# (2nd ed, 2010) - [O'Reilly] - Andrew Stellman, Jennifer Greene.pdf"/>
    <x v="14"/>
    <x v="4"/>
    <s v="Andrew Stellman, Jennifer Greene"/>
    <s v=""/>
    <s v=".pdf"/>
    <n v="80"/>
    <n v="32"/>
    <s v="Head First C#"/>
  </r>
  <r>
    <s v="W:\Livres\Informatique\Langages\C#, .Net Framework\Head First C# (2nd ed, 2010), Files.zip"/>
    <x v="14"/>
    <x v="8"/>
    <s v="?"/>
    <s v=""/>
    <s v=".zip"/>
    <n v="39"/>
    <n v="1"/>
    <s v="Head First C#"/>
  </r>
  <r>
    <s v="W:\Livres\Informatique\Langages\C#, .Net Framework\Improving .Net Performance, Intel Whitepaper - Hanchinmani.pdf"/>
    <x v="10"/>
    <x v="8"/>
    <s v="Hanchinmani"/>
    <s v=""/>
    <s v=".pdf"/>
    <n v="62"/>
    <n v="11"/>
    <s v="Improving .Net Performance, Intel Whitepaper"/>
  </r>
  <r>
    <s v="W:\Livres\Informatique\Langages\C#, .Net Framework\Introducing .NET 4.0 with Visual Studio 2010 (2010) - [Apress] - Alex Mackey.pdf"/>
    <x v="14"/>
    <x v="42"/>
    <s v="Alex Mackey"/>
    <s v=""/>
    <s v=".pdf"/>
    <n v="80"/>
    <n v="11"/>
    <s v="Introducing .NET 4.0 with Visual Studio 2010"/>
  </r>
  <r>
    <s v="W:\Livres\Informatique\Langages\C#, .Net Framework\Introducing .Net 4.5 (2nd ed, 2012) - [Apress] - Alex Mackey, William Tulloch, Mahesh Krishnan.pdf"/>
    <x v="8"/>
    <x v="42"/>
    <s v="Alex Mackey, William Tulloch, Mahesh Krishnan"/>
    <s v=""/>
    <s v=".pdf"/>
    <n v="98"/>
    <n v="45"/>
    <s v="Introducing .Net 4.5"/>
  </r>
  <r>
    <s v="W:\Livres\Informatique\Langages\C#, .Net Framework\Microsoft .Net, Architecting Applications for the Enterprise (2nd ed, 2015) - [Microsoft Press] - Esposito, Saltarello.pdf"/>
    <x v="3"/>
    <x v="13"/>
    <s v="Esposito, Saltarello"/>
    <s v=""/>
    <s v=".pdf"/>
    <n v="122"/>
    <n v="20"/>
    <s v="Microsoft .Net, Architecting Applications for the Enterprise"/>
  </r>
  <r>
    <s v="W:\Livres\Informatique\Langages\C#, .Net Framework\Microsoft 10226A, Programming in C# with Visual Studio 2010, Lab Manual - [Microsoft].pdf"/>
    <x v="10"/>
    <x v="48"/>
    <s v="?"/>
    <s v=""/>
    <s v=".pdf"/>
    <n v="89"/>
    <n v="1"/>
    <s v="Microsoft 10226A, Programming in C# with Visual Studio 2010, Lab Manual"/>
  </r>
  <r>
    <s v="W:\Livres\Informatique\Langages\C#, .Net Framework\Microsoft 10226A, Programming in C# with Visual Studio 2010, Trainer Handbook Vol 1 - [Microsoft].pdf"/>
    <x v="10"/>
    <x v="48"/>
    <s v="?"/>
    <s v=""/>
    <s v=".pdf"/>
    <n v="101"/>
    <n v="1"/>
    <s v="Microsoft 10226A, Programming in C# with Visual Studio 2010, Trainer Handbook Vol 1"/>
  </r>
  <r>
    <s v="W:\Livres\Informatique\Langages\C#, .Net Framework\Microsoft 10226A, Programming in C# with Visual Studio 2010, Trainer Handbook Vol 2 - [Microsoft].pdf"/>
    <x v="10"/>
    <x v="48"/>
    <s v="?"/>
    <s v=""/>
    <s v=".pdf"/>
    <n v="101"/>
    <n v="1"/>
    <s v="Microsoft 10226A, Programming in C# with Visual Studio 2010, Trainer Handbook Vol 2"/>
  </r>
  <r>
    <s v="W:\Livres\Informatique\Langages\C#, .Net Framework\Pro .NET 4 Parallel Programming in C# (2010) - [Apress] - Adam Freeman.pdf"/>
    <x v="14"/>
    <x v="42"/>
    <s v="Adam Freeman"/>
    <s v=""/>
    <s v=".pdf"/>
    <n v="74"/>
    <n v="12"/>
    <s v="Pro .NET 4 Parallel Programming in C#"/>
  </r>
  <r>
    <s v="W:\Livres\Informatique\Langages\C#, .Net Framework\Pro C# 2010 and the .Net 4 Platform (5th ed, 2010) - [Apress] - Andrew Troelsen.pdf"/>
    <x v="14"/>
    <x v="42"/>
    <s v="Andrew Troelsen"/>
    <s v=""/>
    <s v=".pdf"/>
    <n v="83"/>
    <n v="15"/>
    <s v="Pro C# 2010 and the .Net 4 Platform"/>
  </r>
  <r>
    <s v="W:\Livres\Informatique\Langages\C#, .Net Framework\Pro C# 2010 and the .Net 4 Platform (5th ed, 2010), Code.zip"/>
    <x v="14"/>
    <x v="8"/>
    <s v="?"/>
    <s v=""/>
    <s v=".zip"/>
    <n v="60"/>
    <n v="1"/>
    <s v="Pro C# 2010 and the .Net 4 Platform"/>
  </r>
  <r>
    <s v="W:\Livres\Informatique\Langages\C#, .Net Framework\Professional C# 4 and .Net 4 (2010) - [Wiley] - Nagel, Evjen, Glynn, Watson, Skinner.pdf"/>
    <x v="14"/>
    <x v="22"/>
    <s v="Nagel, Evjen, Glynn, Watson, Skinner"/>
    <s v=""/>
    <s v=".pdf"/>
    <n v="88"/>
    <n v="36"/>
    <s v="Professional C# 4 and .Net 4"/>
  </r>
  <r>
    <s v="W:\Livres\Informatique\Langages\C#, .Net Framework\Professional C# 4 and .Net 4 (2010), Code and Extra Chapters.rar"/>
    <x v="14"/>
    <x v="8"/>
    <s v="?"/>
    <s v=""/>
    <s v=".rar"/>
    <n v="64"/>
    <n v="1"/>
    <s v="Professional C# 4 and .Net 4"/>
  </r>
  <r>
    <s v="W:\Livres\Informatique\Langages\C#, .Net Framework\Professional C# 6 and .Net Core 1.0 (2016) {Webdump} - [Wiley] - Christian Nagel.pdf"/>
    <x v="2"/>
    <x v="22"/>
    <s v="Christian Nagel"/>
    <s v="Webdump"/>
    <s v=".pdf"/>
    <n v="84"/>
    <n v="15"/>
    <s v="Professional C# 6 and .Net Core 1.0"/>
  </r>
  <r>
    <s v="W:\Livres\Informatique\Langages\C#, .Net Framework\Professional C# 2012 and .Net 4.5 (2013) - [Wiley] - Nagel, Evjen, Glynn, Watson, Skinner.pdf"/>
    <x v="5"/>
    <x v="22"/>
    <s v="Nagel, Evjen, Glynn, Watson, Skinner"/>
    <s v=""/>
    <s v=".pdf"/>
    <n v="93"/>
    <n v="36"/>
    <s v="Professional C# 2012 and .Net 4.5"/>
  </r>
  <r>
    <s v="W:\Livres\Informatique\Langages\C#, .Net Framework\Programming C# 4.0 (6th ed, 2010) - [O'Reilly] - Griffiths, Adams, Liberty.pdf"/>
    <x v="14"/>
    <x v="4"/>
    <s v="Griffiths, Adams, Liberty"/>
    <s v=""/>
    <s v=".pdf"/>
    <n v="78"/>
    <n v="25"/>
    <s v="Programming C# 4.0"/>
  </r>
  <r>
    <s v="W:\Livres\Informatique\Langages\C#, .Net Framework\Writing High-Performance .Net Code (2014) - Ben Watson.pdf"/>
    <x v="6"/>
    <x v="8"/>
    <s v="Ben Watson"/>
    <s v=""/>
    <s v=".pdf"/>
    <n v="58"/>
    <n v="10"/>
    <s v="Writing High-Performance .Net Code"/>
  </r>
  <r>
    <s v="W:\Livres\Informatique\Langages\C, C++\21st Century C Programming (2012) - [O'Reilly] - Ben Klemens.pdf"/>
    <x v="8"/>
    <x v="4"/>
    <s v="Ben Klemens"/>
    <s v=""/>
    <s v=".pdf"/>
    <n v="64"/>
    <n v="11"/>
    <s v="21st Century C Programming"/>
  </r>
  <r>
    <s v="W:\Livres\Informatique\Langages\C, C++\A Complete Guide to Programming in C++ (2002) - [Jones &amp; Bartlett] - Ulla Kirch-Prinz, Peter Prinz.pdf"/>
    <x v="16"/>
    <x v="79"/>
    <s v="Ulla Kirch-Prinz, Peter Prinz"/>
    <s v=""/>
    <s v=".pdf"/>
    <n v="102"/>
    <n v="29"/>
    <s v="A Complete Guide to Programming in C++"/>
  </r>
  <r>
    <s v="W:\Livres\Informatique\Langages\C, C++\A Tour of C++ (2014) - [Addison-Wesley] - Bjarne Stroustrup.pdf"/>
    <x v="6"/>
    <x v="19"/>
    <s v="Bjarne Stroustrup"/>
    <s v=""/>
    <s v=".pdf"/>
    <n v="63"/>
    <n v="17"/>
    <s v="A Tour of C++"/>
  </r>
  <r>
    <s v="W:\Livres\Informatique\Langages\C, C++\Absolute C++ (1st ed, 2001) - [Addison-Wesley] - Walter Savitch.pdf"/>
    <x v="15"/>
    <x v="19"/>
    <s v="Walter Savitch"/>
    <s v=""/>
    <s v=".pdf"/>
    <n v="67"/>
    <n v="14"/>
    <s v="Absolute C++"/>
  </r>
  <r>
    <s v="W:\Livres\Informatique\Langages\C, C++\Absolute C++ (5th ed, 2013) - [Pearson] - Walter Savitch.pdf"/>
    <x v="5"/>
    <x v="7"/>
    <s v="Walter Savitch"/>
    <s v=""/>
    <s v=".pdf"/>
    <n v="60"/>
    <n v="14"/>
    <s v="Absolute C++"/>
  </r>
  <r>
    <s v="W:\Livres\Informatique\Langages\C, C++\Accelerated C++ (2000) {Webdump} - [Addison-Wesley] - Andrew Koenig, Barbara E. Moo.pdf"/>
    <x v="7"/>
    <x v="19"/>
    <s v="Andrew Koenig, Barbara E. Moo"/>
    <s v="Webdump"/>
    <s v=".pdf"/>
    <n v="87"/>
    <n v="29"/>
    <s v="Accelerated C++"/>
  </r>
  <r>
    <s v="W:\Livres\Informatique\Langages\C, C++\Advanced C++ Template Techniques (2015) {Presentation} - Sanderson.pdf"/>
    <x v="3"/>
    <x v="8"/>
    <s v="Sanderson"/>
    <s v="Presentation"/>
    <s v=".pdf"/>
    <n v="70"/>
    <n v="9"/>
    <s v="Advanced C++ Template Techniques"/>
  </r>
  <r>
    <s v="W:\Livres\Informatique\Langages\C, C++\Advanced Metaprogramming in Classic C++ (2015) - [Apress] - Davide Di Gennaro.pdf"/>
    <x v="3"/>
    <x v="42"/>
    <s v="Davide Di Gennaro"/>
    <s v=""/>
    <s v=".pdf"/>
    <n v="81"/>
    <n v="17"/>
    <s v="Advanced Metaprogramming in Classic C++"/>
  </r>
  <r>
    <s v="W:\Livres\Informatique\Langages\C, C++\ANSI C89 - American National Standard.txt"/>
    <x v="10"/>
    <x v="8"/>
    <s v="American National Standard"/>
    <s v=""/>
    <s v=".txt"/>
    <n v="41"/>
    <n v="26"/>
    <s v="ANSI C89"/>
  </r>
  <r>
    <s v="W:\Livres\Informatique\Langages\C, C++\ANSI-ISO C++ Professional Programmer's Handbook (1999) {Dump} - [Que] - Danny Kale.pdf"/>
    <x v="11"/>
    <x v="101"/>
    <s v="Danny Kale"/>
    <s v="Dump"/>
    <s v=".pdf"/>
    <n v="86"/>
    <n v="10"/>
    <s v="ANSI-ISO C++ Professional Programmer's Handbook"/>
  </r>
  <r>
    <s v="W:\Livres\Informatique\Langages\C, C++\Apprendre le C++ (2007) - [Eyrolles] - Claude Delannoy.pdf"/>
    <x v="9"/>
    <x v="6"/>
    <s v="Claude Delannoy"/>
    <s v=""/>
    <s v=".pdf"/>
    <n v="58"/>
    <n v="15"/>
    <s v="Apprendre le C++"/>
  </r>
  <r>
    <s v="W:\Livres\Informatique\Langages\C, C++\Apprenez à programmer en C (2010) - [Le site du zéro] - Mathieu Nebra.pdf"/>
    <x v="14"/>
    <x v="49"/>
    <s v="Mathieu Nebra"/>
    <s v=""/>
    <s v=".pdf"/>
    <n v="73"/>
    <n v="13"/>
    <s v="Apprenez à programmer en C"/>
  </r>
  <r>
    <s v="W:\Livres\Informatique\Langages\C, C++\Apprenez à programmer en C (2012) - [Le site du zéro] - Mathieu Nebra.pdf"/>
    <x v="8"/>
    <x v="49"/>
    <s v="Mathieu Nebra"/>
    <s v=""/>
    <s v=".pdf"/>
    <n v="73"/>
    <n v="13"/>
    <s v="Apprenez à programmer en C"/>
  </r>
  <r>
    <s v="W:\Livres\Informatique\Langages\C, C++\Beginning Programming C with ++ for Dummies (2010) - [Wiley] - Stephen Davis.pdf"/>
    <x v="14"/>
    <x v="22"/>
    <s v="Stephen Davis"/>
    <s v=""/>
    <s v=".pdf"/>
    <n v="80"/>
    <n v="13"/>
    <s v="Beginning Programming C with ++ for Dummies"/>
  </r>
  <r>
    <s v="W:\Livres\Informatique\Langages\C, C++\Beginning Visual C++ 2010 (2010) - [Wiley] - Ivor Horton.pdf"/>
    <x v="14"/>
    <x v="22"/>
    <s v="Ivor Horton"/>
    <s v=""/>
    <s v=".pdf"/>
    <n v="60"/>
    <n v="11"/>
    <s v="Beginning Visual C++ 2010"/>
  </r>
  <r>
    <s v="W:\Livres\Informatique\Langages\C, C++\Boost C++ Application Development Cookbook (2013) - [Packt] - Antony Polukhin.pdf"/>
    <x v="5"/>
    <x v="14"/>
    <s v="Antony Polukhin"/>
    <s v=""/>
    <s v=".pdf"/>
    <n v="81"/>
    <n v="15"/>
    <s v="Boost C++ Application Development Cookbook"/>
  </r>
  <r>
    <s v="W:\Livres\Informatique\Langages\C, C++\C for Dummies (2nd ed, 2004) - [Wiley] - Dan Gookin.pdf"/>
    <x v="26"/>
    <x v="22"/>
    <s v="Dan Gookin"/>
    <s v=""/>
    <s v=".pdf"/>
    <n v="55"/>
    <n v="10"/>
    <s v="C for Dummies"/>
  </r>
  <r>
    <s v="W:\Livres\Informatique\Langages\C, C++\C Programming Language, The Ultimate Guide for Beginners (2016) - Darell Graham.epub"/>
    <x v="2"/>
    <x v="8"/>
    <s v="Darell Graham"/>
    <s v=""/>
    <s v=".epub"/>
    <n v="84"/>
    <n v="13"/>
    <s v="C Programming Language, The Ultimate Guide for Beginners"/>
  </r>
  <r>
    <s v="W:\Livres\Informatique\Langages\C, C++\C Programming Language, The Ultimate Guide for Beginners (2016) - Darell Graham.pdf"/>
    <x v="2"/>
    <x v="8"/>
    <s v="Darell Graham"/>
    <s v=""/>
    <s v=".pdf"/>
    <n v="83"/>
    <n v="13"/>
    <s v="C Programming Language, The Ultimate Guide for Beginners"/>
  </r>
  <r>
    <s v="W:\Livres\Informatique\Langages\C, C++\C++ 11 14 Overview {Presentation} - Gian Lorenzo Meocci.pdf"/>
    <x v="10"/>
    <x v="8"/>
    <s v="Gian Lorenzo Meocci"/>
    <s v="Presentation"/>
    <s v=".pdf"/>
    <n v="59"/>
    <n v="19"/>
    <s v="C++ 11 14 Overview"/>
  </r>
  <r>
    <s v="W:\Livres\Informatique\Langages\C, C++\C++ 11 for Programmers (2nd ed, 2014) - [Prentice Hall] - Paul J. Deitel, Harvey M. Deitel.epub"/>
    <x v="6"/>
    <x v="20"/>
    <s v="Paul J. Deitel, Harvey M. Deitel"/>
    <s v=""/>
    <s v=".epub"/>
    <n v="95"/>
    <n v="32"/>
    <s v="C++ 11 for Programmers"/>
  </r>
  <r>
    <s v="W:\Livres\Informatique\Langages\C, C++\C++ Coding Standards (2005) - [Pearson] - Herb Sutter, Andrei Alexandrescu.pdf"/>
    <x v="1"/>
    <x v="7"/>
    <s v="Herb Sutter, Andrei Alexandrescu"/>
    <s v=""/>
    <s v=".pdf"/>
    <n v="78"/>
    <n v="32"/>
    <s v="C++ Coding Standards"/>
  </r>
  <r>
    <s v="W:\Livres\Informatique\Langages\C, C++\C++ Concurrency in Action (2012) - [Manning] - Anthony Williams.pdf"/>
    <x v="8"/>
    <x v="0"/>
    <s v="Anthony Williams"/>
    <s v=""/>
    <s v=".pdf"/>
    <n v="67"/>
    <n v="16"/>
    <s v="C++ Concurrency in Action"/>
  </r>
  <r>
    <s v="W:\Livres\Informatique\Langages\C, C++\C++ for C Programmers (1994) - JT Kalnay.pdf"/>
    <x v="29"/>
    <x v="8"/>
    <s v="JT Kalnay"/>
    <s v=""/>
    <s v=".pdf"/>
    <n v="44"/>
    <n v="9"/>
    <s v="C++ for C Programmers"/>
  </r>
  <r>
    <s v="W:\Livres\Informatique\Langages\C, C++\C++ for Computer Science and Engine (4th ed, 2006) - [Broquard eBooks] - Vic Broquard.pdf"/>
    <x v="17"/>
    <x v="102"/>
    <s v="Vic Broquard"/>
    <s v=""/>
    <s v=".pdf"/>
    <n v="89"/>
    <n v="12"/>
    <s v="C++ for Computer Science and Engine"/>
  </r>
  <r>
    <s v="W:\Livres\Informatique\Langages\C, C++\C++ for Dummies (5th ed, 2004) - [Wiley].pdf"/>
    <x v="26"/>
    <x v="22"/>
    <s v="?"/>
    <s v=""/>
    <s v=".pdf"/>
    <n v="44"/>
    <n v="1"/>
    <s v="C++ for Dummies"/>
  </r>
  <r>
    <s v="W:\Livres\Informatique\Langages\C, C++\C++ for Everyone (2nd ed, 2012) - [Wiley] - Cay Horstmann.pdf"/>
    <x v="8"/>
    <x v="22"/>
    <s v="Cay Horstmann"/>
    <s v=""/>
    <s v=".pdf"/>
    <n v="61"/>
    <n v="13"/>
    <s v="C++ for Everyone"/>
  </r>
  <r>
    <s v="W:\Livres\Informatique\Langages\C, C++\C++ How to Program (7th ed, 2010) - [Pearson] - Paul Dietel, Harvey Deitel.pdf"/>
    <x v="14"/>
    <x v="7"/>
    <s v="Paul Dietel, Harvey Deitel"/>
    <s v=""/>
    <s v=".pdf"/>
    <n v="78"/>
    <n v="26"/>
    <s v="C++ How to Program"/>
  </r>
  <r>
    <s v="W:\Livres\Informatique\Langages\C, C++\C++ How to Program (8th ed, 2012) - [Pearson] - Paul Dietel, Harvey Deitel.pdf"/>
    <x v="8"/>
    <x v="7"/>
    <s v="Paul Dietel, Harvey Deitel"/>
    <s v=""/>
    <s v=".pdf"/>
    <n v="78"/>
    <n v="26"/>
    <s v="C++ How to Program"/>
  </r>
  <r>
    <s v="W:\Livres\Informatique\Langages\C, C++\C++ in a Nutshell (2003) - [O'Reilly] - Ray Lischner.pdf"/>
    <x v="25"/>
    <x v="4"/>
    <s v="Ray Lischner"/>
    <s v=""/>
    <s v=".pdf"/>
    <n v="56"/>
    <n v="12"/>
    <s v="C++ in a Nutshell"/>
  </r>
  <r>
    <s v="W:\Livres\Informatique\Langages\C, C++\C++ Language Tutorial (2007) - Juan Soulié.pdf"/>
    <x v="9"/>
    <x v="8"/>
    <s v="Juan Soulié"/>
    <s v=""/>
    <s v=".pdf"/>
    <n v="46"/>
    <n v="11"/>
    <s v="C++ Language Tutorial"/>
  </r>
  <r>
    <s v="W:\Livres\Informatique\Langages\C, C++\C++ L'essentiel du code et des commandes (2009) - [Pearson] - Vincent Gouvernelle.pdf"/>
    <x v="4"/>
    <x v="7"/>
    <s v="Vincent Gouvernelle"/>
    <s v=""/>
    <s v=".pdf"/>
    <n v="85"/>
    <n v="19"/>
    <s v="C++ L'essentiel du code et des commandes"/>
  </r>
  <r>
    <s v="W:\Livres\Informatique\Langages\C, C++\C++ pour les programmeurs C (2007) - [Eyrolles] - Claude Delannoy.pdf"/>
    <x v="9"/>
    <x v="6"/>
    <s v="Claude Delannoy"/>
    <s v=""/>
    <s v=".pdf"/>
    <n v="69"/>
    <n v="15"/>
    <s v="C++ pour les programmeurs C"/>
  </r>
  <r>
    <s v="W:\Livres\Informatique\Langages\C, C++\C++ Primer (5th ed, 2013) {Dump} - [Addison-Wesley] - Stanley B. Lippman, Josée Lajoie, Barbara E. Moo.pdf"/>
    <x v="5"/>
    <x v="19"/>
    <s v="Stanley B. Lippman, Josée Lajoie, Barbara E. Moo"/>
    <s v="Dump"/>
    <s v=".pdf"/>
    <n v="106"/>
    <n v="48"/>
    <s v="C++ Primer"/>
  </r>
  <r>
    <s v="W:\Livres\Informatique\Langages\C, C++\C++ Primer Plus (6th ed, 2012) - [Addison-Wesley] - Stephen Prata.pdf"/>
    <x v="8"/>
    <x v="19"/>
    <s v="Stephen Prata"/>
    <s v=""/>
    <s v=".pdf"/>
    <n v="69"/>
    <n v="13"/>
    <s v="C++ Primer Plus"/>
  </r>
  <r>
    <s v="W:\Livres\Informatique\Langages\C, C++\C++ Programming (7th ed, 2015) - [Cengage Learning] - DS Malik.pdf"/>
    <x v="3"/>
    <x v="51"/>
    <s v="DS Malik"/>
    <s v=""/>
    <s v=".pdf"/>
    <n v="66"/>
    <n v="8"/>
    <s v="C++ Programming"/>
  </r>
  <r>
    <s v="W:\Livres\Informatique\Langages\C, C++\C++ Programming for the Absolute Beginner (2nd ed, 2009) - [Cengage Learning] - Mark Lee.pdf"/>
    <x v="4"/>
    <x v="51"/>
    <s v="Mark Lee"/>
    <s v=""/>
    <s v=".pdf"/>
    <n v="92"/>
    <n v="8"/>
    <s v="C++ Programming for the Absolute Beginner"/>
  </r>
  <r>
    <s v="W:\Livres\Informatique\Langages\C, C++\C++ Quick Reference.pdf"/>
    <x v="10"/>
    <x v="8"/>
    <s v="?"/>
    <s v=""/>
    <s v=".pdf"/>
    <n v="23"/>
    <n v="1"/>
    <s v="C++ Quick Reference"/>
  </r>
  <r>
    <s v="W:\Livres\Informatique\Langages\C, C++\C++ Solutions, Companion to C++ Programming Language 3rd ed (1998) - [Addison-Wesley] - David Vandevoorde.djvu"/>
    <x v="12"/>
    <x v="19"/>
    <s v="David Vandevoorde"/>
    <s v=""/>
    <s v=".djvu"/>
    <n v="110"/>
    <n v="17"/>
    <s v="C++ Solutions, Companion to C++ Programming Language 3rd ed"/>
  </r>
  <r>
    <s v="W:\Livres\Informatique\Langages\C, C++\C++ Standard Library Quick Reference (2016) - [Apress] - Peter Van Weert, Marc Gregoire.pdf"/>
    <x v="2"/>
    <x v="42"/>
    <s v="Peter Van Weert, Marc Gregoire"/>
    <s v=""/>
    <s v=".pdf"/>
    <n v="91"/>
    <n v="30"/>
    <s v="C++ Standard Library Quick Reference"/>
  </r>
  <r>
    <s v="W:\Livres\Informatique\Langages\C, C++\C++ Without Fear (2nd ed, 2011) - [Prentice Hall] - Brian Overland.pdf"/>
    <x v="0"/>
    <x v="20"/>
    <s v="Brian Overland"/>
    <s v=""/>
    <s v=".pdf"/>
    <n v="70"/>
    <n v="14"/>
    <s v="C++ Without Fear"/>
  </r>
  <r>
    <s v="W:\Livres\Informatique\Langages\C, C++\C++, The Complete Reference (3rd ed, 1998) - [McGraw-Hill] - Herbert Schildt.pdf"/>
    <x v="12"/>
    <x v="41"/>
    <s v="Herbert Schildt"/>
    <s v=""/>
    <s v=".pdf"/>
    <n v="80"/>
    <n v="15"/>
    <s v="C++, The Complete Reference"/>
  </r>
  <r>
    <s v="W:\Livres\Informatique\Langages\C, C++\C++14 and early thoughts about C++ 17 (2013) {presentation} - Bjarne Stroustrup.pdf"/>
    <x v="5"/>
    <x v="8"/>
    <s v="Bjarne Stroustrup"/>
    <s v="Presentation"/>
    <s v=".pdf"/>
    <n v="83"/>
    <n v="17"/>
    <s v="C++14 and early thoughts about C++ 17"/>
  </r>
  <r>
    <s v="W:\Livres\Informatique\Langages\C, C++\Core C++, A Software Engineering Approach (2000) {Dump} - [Prentice Hall] - Victor Shtern.pdf"/>
    <x v="7"/>
    <x v="20"/>
    <s v="Victor Shtern"/>
    <s v="Dump"/>
    <s v=".pdf"/>
    <n v="93"/>
    <n v="13"/>
    <s v="Core C++, A Software Engineering Approach"/>
  </r>
  <r>
    <s v="W:\Livres\Informatique\Langages\C, C++\Cours de C et C++ (2002) - C. Casteyde.pdf"/>
    <x v="16"/>
    <x v="8"/>
    <s v="C. Casteyde"/>
    <s v=""/>
    <s v=".pdf"/>
    <n v="42"/>
    <n v="11"/>
    <s v="Cours de C et C++"/>
  </r>
  <r>
    <s v="W:\Livres\Informatique\Langages\C, C++\Cours de C et C++ (2005) - C. Casteyde.pdf"/>
    <x v="1"/>
    <x v="8"/>
    <s v="C. Casteyde"/>
    <s v=""/>
    <s v=".pdf"/>
    <n v="42"/>
    <n v="11"/>
    <s v="Cours de C et C++"/>
  </r>
  <r>
    <s v="W:\Livres\Informatique\Langages\C, C++\Cours programmation C++ et programmation orientée objet (2012) - Jamila Sam Haroud.pdf"/>
    <x v="8"/>
    <x v="8"/>
    <s v="Jamila Sam Haroud"/>
    <s v=""/>
    <s v=".pdf"/>
    <n v="86"/>
    <n v="17"/>
    <s v="Cours programmation C++ et programmation orientée objet"/>
  </r>
  <r>
    <s v="W:\Livres\Informatique\Langages\C, C++\Cryptography in C &amp; C++ (2nd ed, 2013) - [Apress] - Michael Welschenbach.pdf"/>
    <x v="5"/>
    <x v="42"/>
    <s v="Michael Welschenbach"/>
    <s v=""/>
    <s v=".pdf"/>
    <n v="76"/>
    <n v="20"/>
    <s v="Cryptography in C &amp; C++"/>
  </r>
  <r>
    <s v="W:\Livres\Informatique\Langages\C, C++\Data Structures and Algorithms Made Easy (2010) - [CareerMonk] - Narashima Karumanchi.pdf"/>
    <x v="14"/>
    <x v="103"/>
    <s v="Narashima Karumanchi"/>
    <s v=""/>
    <s v=".pdf"/>
    <n v="89"/>
    <n v="20"/>
    <s v="Data Structures and Algorithms Made Easy"/>
  </r>
  <r>
    <s v="W:\Livres\Informatique\Langages\C, C++\Data Structures Using C++ (2nd ed, 2010) - [Cengage Learning] - DS Malik.pdf"/>
    <x v="14"/>
    <x v="51"/>
    <s v="DS Malik"/>
    <s v=""/>
    <s v=".pdf"/>
    <n v="76"/>
    <n v="8"/>
    <s v="Data Structures Using C++"/>
  </r>
  <r>
    <s v="W:\Livres\Informatique\Langages\C, C++\Designing Components with the C++ STL (3rd ed, 2002) - [Addison-Wesley] - Ulrich Breymann.pdf"/>
    <x v="16"/>
    <x v="19"/>
    <s v="Ulrich Breymann"/>
    <s v=""/>
    <s v=".pdf"/>
    <n v="93"/>
    <n v="15"/>
    <s v="Designing Components with the C++ STL"/>
  </r>
  <r>
    <s v="W:\Livres\Informatique\Langages\C, C++\Effective C++, 55 Specific Ways to Improve Your Programs and Designs (3rd ed, 2008) - [Addison-Wesley] - Scott Meyers.pdf"/>
    <x v="13"/>
    <x v="19"/>
    <s v="Scott Meyers"/>
    <s v=""/>
    <s v=".pdf"/>
    <n v="121"/>
    <n v="12"/>
    <s v="Effective C++, 55 Specific Ways to Improve Your Programs and Designs"/>
  </r>
  <r>
    <s v="W:\Livres\Informatique\Langages\C, C++\Effective Modern C++, 42 Specific Ways to Improve Your Use of C++ 11 And C++ 14 (2015) - [O'Reilly] - Scott Meyers.epub"/>
    <x v="3"/>
    <x v="4"/>
    <s v="Scott Meyers"/>
    <s v=""/>
    <s v=".epub"/>
    <n v="119"/>
    <n v="12"/>
    <s v="Effective Modern C++, 42 Specific Ways to Improve Your Use of C++ 11 And C++ 14"/>
  </r>
  <r>
    <s v="W:\Livres\Informatique\Langages\C, C++\Effective Modern C++, 42 Specific Ways to Improve Your Use of C++ 11 And C++ 14 (2015) - [O'Reilly] - Scott Meyers.pdf"/>
    <x v="3"/>
    <x v="4"/>
    <s v="Scott Meyers"/>
    <s v=""/>
    <s v=".pdf"/>
    <n v="118"/>
    <n v="12"/>
    <s v="Effective Modern C++, 42 Specific Ways to Improve Your Use of C++ 11 And C++ 14"/>
  </r>
  <r>
    <s v="W:\Livres\Informatique\Langages\C, C++\Effective STL (2001) - [Addison-Wesley] - Scott Meyers.pdf"/>
    <x v="15"/>
    <x v="19"/>
    <s v="Scott Meyers"/>
    <s v=""/>
    <s v=".pdf"/>
    <n v="58"/>
    <n v="12"/>
    <s v="Effective STL"/>
  </r>
  <r>
    <s v="W:\Livres\Informatique\Langages\C, C++\Even Simpler C++ with C++14 {Presentation} - Peter Sommerlad.pdf"/>
    <x v="10"/>
    <x v="8"/>
    <s v="Peter Sommerlad"/>
    <s v="Presentation"/>
    <s v=".pdf"/>
    <n v="64"/>
    <n v="15"/>
    <s v="Even Simpler C++ with C++14"/>
  </r>
  <r>
    <s v="W:\Livres\Informatique\Langages\C, C++\Evolution of C++ (2012) {Presentation} - Torsten Sehy.pdf"/>
    <x v="8"/>
    <x v="8"/>
    <s v="Torsten Sehy"/>
    <s v="Presentation"/>
    <s v=".pdf"/>
    <n v="57"/>
    <n v="12"/>
    <s v="Evolution of C++"/>
  </r>
  <r>
    <s v="W:\Livres\Informatique\Langages\C, C++\Exercices en C++ (3è ed, 2007) - [Eyrolles] - Claude Delannoy.pdf"/>
    <x v="9"/>
    <x v="6"/>
    <s v="Claude Delannoy"/>
    <s v=""/>
    <s v=".pdf"/>
    <n v="65"/>
    <n v="15"/>
    <s v="Exercices en C++"/>
  </r>
  <r>
    <s v="W:\Livres\Informatique\Langages\C, C++\Expert C Programming Deep C Secrets (1994) - [Prentice Hall] - Peter van der Linden.pdf"/>
    <x v="29"/>
    <x v="20"/>
    <s v="Peter van der Linden"/>
    <s v=""/>
    <s v=".pdf"/>
    <n v="87"/>
    <n v="20"/>
    <s v="Expert C Programming Deep C Secrets"/>
  </r>
  <r>
    <s v="W:\Livres\Informatique\Langages\C, C++\Expert C Programming Deep C Secrets (1994) {Cropped} - [Prentice Hall] - Peter van der Linden.pdf"/>
    <x v="29"/>
    <x v="20"/>
    <s v="Peter van der Linden"/>
    <s v="Cropped"/>
    <s v=".pdf"/>
    <n v="97"/>
    <n v="20"/>
    <s v="Expert C Programming Deep C Secrets"/>
  </r>
  <r>
    <s v="W:\Livres\Informatique\Langages\C, C++\Fundamentals of Programming C++ (2016) {Draft Cropped} - Richard L. Halterman.pdf"/>
    <x v="2"/>
    <x v="8"/>
    <s v="Richard L. Halterman"/>
    <s v="Draft Cropped"/>
    <s v=".pdf"/>
    <n v="81"/>
    <n v="20"/>
    <s v="Fundamentals of Programming C++"/>
  </r>
  <r>
    <s v="W:\Livres\Informatique\Langages\C, C++\Fundamentals of Programming C++ (2016) {Draft} - Richard L. Halterman.pdf"/>
    <x v="2"/>
    <x v="8"/>
    <s v="Richard L. Halterman"/>
    <s v="Draft"/>
    <s v=".pdf"/>
    <n v="73"/>
    <n v="20"/>
    <s v="Fundamentals of Programming C++"/>
  </r>
  <r>
    <s v="W:\Livres\Informatique\Langages\C, C++\GCC 4.1.2 (2005) - [GNU Press] - Richard M. Stallman.pdf"/>
    <x v="1"/>
    <x v="58"/>
    <s v="Richard M. Stallman"/>
    <s v=""/>
    <s v=".pdf"/>
    <n v="56"/>
    <n v="19"/>
    <s v="GCC 4.1.2"/>
  </r>
  <r>
    <s v="W:\Livres\Informatique\Langages\C, C++\GCC 4.6.2 (2010) - [GNU Press] - Richard M. Stallman.pdf"/>
    <x v="14"/>
    <x v="58"/>
    <s v="Richard M. Stallman"/>
    <s v=""/>
    <s v=".pdf"/>
    <n v="56"/>
    <n v="19"/>
    <s v="GCC 4.6.2"/>
  </r>
  <r>
    <s v="W:\Livres\Informatique\Langages\C, C++\GCC 5.2.0 (2015) - [GNU Press] - Richard M. Stallman.pdf"/>
    <x v="3"/>
    <x v="58"/>
    <s v="Richard M. Stallman"/>
    <s v=""/>
    <s v=".pdf"/>
    <n v="56"/>
    <n v="19"/>
    <s v="GCC 5.2.0"/>
  </r>
  <r>
    <s v="W:\Livres\Informatique\Langages\C, C++\GCC 7.0.0 (2016) {Pre-release} - [GNU Press] - Richard M. Stallman.pdf"/>
    <x v="2"/>
    <x v="58"/>
    <s v="Richard M. Stallman"/>
    <s v="Pre-release"/>
    <s v=".pdf"/>
    <n v="70"/>
    <n v="19"/>
    <s v="GCC 7.0.0"/>
  </r>
  <r>
    <s v="W:\Livres\Informatique\Langages\C, C++\GCC, The Complete Reference (2002) - [McGraw-Hill] - Arthur Griffith.pdf"/>
    <x v="16"/>
    <x v="41"/>
    <s v="Arthur Griffith"/>
    <s v=""/>
    <s v=".pdf"/>
    <n v="72"/>
    <n v="15"/>
    <s v="GCC, The Complete Reference"/>
  </r>
  <r>
    <s v="W:\Livres\Informatique\Langages\C, C++\Illustrating C (1992) - [Cambridge] - Donald Alcock.pdf"/>
    <x v="27"/>
    <x v="17"/>
    <s v="Donald Alcock"/>
    <s v=""/>
    <s v=".pdf"/>
    <n v="55"/>
    <n v="13"/>
    <s v="Illustrating C"/>
  </r>
  <r>
    <s v="W:\Livres\Informatique\Langages\C, C++\Initiation à l'algorithmique et à la programmation en C (2è ed, 2011) - [Dunod] - Rémy Malgouyres, Rita Zrour, Fabien Feschet.pdf"/>
    <x v="0"/>
    <x v="2"/>
    <s v="Rémy Malgouyres, Rita Zrour, Fabien Feschet"/>
    <s v=""/>
    <s v=".pdf"/>
    <n v="129"/>
    <n v="43"/>
    <s v="Initiation à l'algorithmique et à la programmation en C"/>
  </r>
  <r>
    <s v="W:\Livres\Informatique\Langages\C, C++\Langage C++ et calcul scientifique (2013) - Pierre Saramito.pdf"/>
    <x v="5"/>
    <x v="8"/>
    <s v="Pierre Saramito"/>
    <s v=""/>
    <s v=".pdf"/>
    <n v="63"/>
    <n v="15"/>
    <s v="Langage C++ et calcul scientifique"/>
  </r>
  <r>
    <s v="W:\Livres\Informatique\Langages\C, C++\Le C en 20 heures (2010) - [Framabook] - Eric Berthomier, Daniel Schang.pdf"/>
    <x v="14"/>
    <x v="68"/>
    <s v="Eric Berthomier, Daniel Schang"/>
    <s v=""/>
    <s v=".pdf"/>
    <n v="75"/>
    <n v="30"/>
    <s v="Le C en 20 heures"/>
  </r>
  <r>
    <s v="W:\Livres\Informatique\Langages\C, C++\Le C++ pour les pros (1999) - Ours blanc des Carpathes.pdf"/>
    <x v="11"/>
    <x v="8"/>
    <s v="Ours blanc des Carpathes"/>
    <s v=""/>
    <s v=".pdf"/>
    <n v="58"/>
    <n v="24"/>
    <s v="Le C++ pour les pros"/>
  </r>
  <r>
    <s v="W:\Livres\Informatique\Langages\C, C++\Le C++14 est arrivé (2016) - Zeste de savoir.pdf"/>
    <x v="2"/>
    <x v="8"/>
    <s v="Zeste de savoir"/>
    <s v=""/>
    <s v=".pdf"/>
    <n v="48"/>
    <n v="15"/>
    <s v="Le C++14 est arrivé"/>
  </r>
  <r>
    <s v="W:\Livres\Informatique\Langages\C, C++\Le langage C (2006) - H. Garreta.pdf"/>
    <x v="17"/>
    <x v="8"/>
    <s v="H. Garreta"/>
    <s v=""/>
    <s v=".pdf"/>
    <n v="36"/>
    <n v="10"/>
    <s v="Le langage C"/>
  </r>
  <r>
    <s v="W:\Livres\Informatique\Langages\C, C++\Le langage C++, Initiez-vous à la programmation en C++ (2009) - [Pearson] - Jesse Liberty, Bradley Jones.pdf"/>
    <x v="4"/>
    <x v="7"/>
    <s v="Jesse Liberty, Bradley Jones"/>
    <s v=""/>
    <s v=".pdf"/>
    <n v="108"/>
    <n v="28"/>
    <s v="Le langage C++, Initiez-vous à la programmation en C++"/>
  </r>
  <r>
    <s v="W:\Livres\Informatique\Langages\C, C++\Le livre du C, Premier langage, Pour les vrais débutants en programmation (2007) - [Eyrolles] - Claude Delannoy.pdf"/>
    <x v="9"/>
    <x v="6"/>
    <s v="Claude Delannoy"/>
    <s v=""/>
    <s v=".pdf"/>
    <n v="115"/>
    <n v="15"/>
    <s v="Le livre du C, Premier langage, Pour les vrais débutants en programmation"/>
  </r>
  <r>
    <s v="W:\Livres\Informatique\Langages\C, C++\Learn C on the Mac (4th ed, 2009) - [Apress] - Dave Mark.pdf"/>
    <x v="4"/>
    <x v="42"/>
    <s v="Dave Mark"/>
    <s v=""/>
    <s v=".pdf"/>
    <n v="60"/>
    <n v="9"/>
    <s v="Learn C on the Mac"/>
  </r>
  <r>
    <s v="W:\Livres\Informatique\Langages\C, C++\Learn C on the Mac (2009) - [Apress] - Dave Mark.pdf"/>
    <x v="4"/>
    <x v="42"/>
    <s v="Dave Mark"/>
    <s v=""/>
    <s v=".pdf"/>
    <n v="52"/>
    <n v="9"/>
    <s v="Learn C on the Mac"/>
  </r>
  <r>
    <s v="W:\Livres\Informatique\Langages\C, C++\Learn C++ (2014) - [Tutorials Point].pdf"/>
    <x v="6"/>
    <x v="104"/>
    <s v="?"/>
    <s v=""/>
    <s v=".pdf"/>
    <n v="40"/>
    <n v="1"/>
    <s v="Learn C++"/>
  </r>
  <r>
    <s v="W:\Livres\Informatique\Langages\C, C++\Learn C++ in a Day (2015) - [Acodemy].epub"/>
    <x v="3"/>
    <x v="105"/>
    <s v="?"/>
    <s v=""/>
    <s v=".epub"/>
    <n v="42"/>
    <n v="1"/>
    <s v="Learn C++ in a Day"/>
  </r>
  <r>
    <s v="W:\Livres\Informatique\Langages\C, C++\Learn C++ in a Day (2015) - [Acodemy].pdf"/>
    <x v="3"/>
    <x v="105"/>
    <s v="?"/>
    <s v=""/>
    <s v=".pdf"/>
    <n v="41"/>
    <n v="1"/>
    <s v="Learn C++ in a Day"/>
  </r>
  <r>
    <s v="W:\Livres\Informatique\Langages\C, C++\Learning OpenCV 2.5, Computer Vision in C++ {Early Release} (2nd ed, 2016) - [O'Reilly] - Adrian Kaehler.pdf"/>
    <x v="2"/>
    <x v="4"/>
    <s v="Adrian Kaehler"/>
    <s v="Early Release"/>
    <s v=".pdf"/>
    <n v="108"/>
    <n v="14"/>
    <s v="Learning OpenCV 2.5, Computer Vision in C++"/>
  </r>
  <r>
    <s v="W:\Livres\Informatique\Langages\C, C++\Let Us C (5th ed, 2004) - [BPB] - Yashwant Kanetkar.pdf"/>
    <x v="26"/>
    <x v="106"/>
    <s v="Yashwant Kanetkar"/>
    <s v=""/>
    <s v=".pdf"/>
    <n v="55"/>
    <n v="17"/>
    <s v="Let Us C"/>
  </r>
  <r>
    <s v="W:\Livres\Informatique\Langages\C, C++\Mieux programmer en C++ (2000) - [Eyrolles] - Herb Sutter.pdf"/>
    <x v="7"/>
    <x v="6"/>
    <s v="Herb Sutter"/>
    <s v=""/>
    <s v=".pdf"/>
    <n v="61"/>
    <n v="11"/>
    <s v="Mieux programmer en C++"/>
  </r>
  <r>
    <s v="W:\Livres\Informatique\Langages\C, C++\Mini manuel de C++, Cours+exos corrigés (2010) - [Dunod] - Jean-Michel Révillac.pdf"/>
    <x v="14"/>
    <x v="2"/>
    <s v="Jean-Michel Révillac"/>
    <s v=""/>
    <s v=".pdf"/>
    <n v="83"/>
    <n v="20"/>
    <s v="Mini manuel de C++, Cours+exos corrigés"/>
  </r>
  <r>
    <s v="W:\Livres\Informatique\Langages\C, C++\Modern C++ Design (2001) - [Addison-Wesley] - Andrei Alexandrescu.pdf"/>
    <x v="15"/>
    <x v="19"/>
    <s v="Andrei Alexandrescu"/>
    <s v=""/>
    <s v=".pdf"/>
    <n v="69"/>
    <n v="19"/>
    <s v="Modern C++ Design"/>
  </r>
  <r>
    <s v="W:\Livres\Informatique\Langages\C, C++\More Effective C++, 35 New Ways to Improve Your Programs and Designs (2008) - [Addison-Wesley] - Scott Meyers.pdf"/>
    <x v="13"/>
    <x v="19"/>
    <s v="Scott Meyers"/>
    <s v=""/>
    <s v=".pdf"/>
    <n v="113"/>
    <n v="12"/>
    <s v="More Effective C++, 35 New Ways to Improve Your Programs and Designs"/>
  </r>
  <r>
    <s v="W:\Livres\Informatique\Langages\C, C++\More Exceptional C++, 40 New Engineering Puzzles Programming Problems and Solutions (2001) - [Addison-Wesley] - Herb Sutter.pdf"/>
    <x v="15"/>
    <x v="19"/>
    <s v="Herb Sutter"/>
    <s v=""/>
    <s v=".pdf"/>
    <n v="127"/>
    <n v="11"/>
    <s v="More Exceptional C++, 40 New Engineering Puzzles Programming Problems and Solutions"/>
  </r>
  <r>
    <s v="W:\Livres\Informatique\Langages\C, C++\Move Semantics, Rvalue References and Perfect Forwarding (2010) {Presentation} - Scott Meyers.pdf"/>
    <x v="14"/>
    <x v="8"/>
    <s v="Scott Meyers"/>
    <s v="Presentation"/>
    <s v=".pdf"/>
    <n v="97"/>
    <n v="12"/>
    <s v="Move Semantics, Rvalue References and Perfect Forwarding"/>
  </r>
  <r>
    <s v="W:\Livres\Informatique\Langages\C, C++\N1256 ISO-IEC 9899-TC3 Programming languages, C99 (2007) - Committee Draft.pdf"/>
    <x v="9"/>
    <x v="8"/>
    <s v="Committee Draft"/>
    <s v=""/>
    <s v=".pdf"/>
    <n v="78"/>
    <n v="15"/>
    <s v="N1256 ISO-IEC 9899-TC3 Programming languages, C99"/>
  </r>
  <r>
    <s v="W:\Livres\Informatique\Langages\C, C++\N1570 ISO-IEC 9899 201x C11 (2011) - Standard Draft.pdf"/>
    <x v="0"/>
    <x v="8"/>
    <s v="Standard Draft"/>
    <s v=""/>
    <s v=".pdf"/>
    <n v="55"/>
    <n v="14"/>
    <s v="N1570 ISO-IEC 9899 201x C11"/>
  </r>
  <r>
    <s v="W:\Livres\Informatique\Langages\C, C++\N3242 Standard for Programming Language C++, 2011-02-28 (2011) - Working Draft.pdf"/>
    <x v="0"/>
    <x v="8"/>
    <s v="Working Draft"/>
    <s v=""/>
    <s v=".pdf"/>
    <n v="82"/>
    <n v="13"/>
    <s v="N3242 Standard for Programming Language C++, 2011-02-28"/>
  </r>
  <r>
    <s v="W:\Livres\Informatique\Langages\C, C++\N3337 Standard for Programming Language C++, 2012-01-16 (2012) - Working Draft.pdf"/>
    <x v="8"/>
    <x v="8"/>
    <s v="Working Draft"/>
    <s v=""/>
    <s v=".pdf"/>
    <n v="82"/>
    <n v="13"/>
    <s v="N3337 Standard for Programming Language C++, 2012-01-16"/>
  </r>
  <r>
    <s v="W:\Livres\Informatique\Langages\C, C++\N3797 Standard for Programming Language C++, 2013-10-13 (2013) - Working Draft.pdf"/>
    <x v="5"/>
    <x v="8"/>
    <s v="Working Draft"/>
    <s v=""/>
    <s v=".pdf"/>
    <n v="82"/>
    <n v="13"/>
    <s v="N3797 Standard for Programming Language C++, 2013-10-13"/>
  </r>
  <r>
    <s v="W:\Livres\Informatique\Langages\C, C++\N4567 Standard for Programming Language C++, 2015-11-09 (2015) - Working Draft.pdf"/>
    <x v="3"/>
    <x v="8"/>
    <s v="Working Draft"/>
    <s v=""/>
    <s v=".pdf"/>
    <n v="82"/>
    <n v="13"/>
    <s v="N4567 Standard for Programming Language C++, 2015-11-09"/>
  </r>
  <r>
    <s v="W:\Livres\Informatique\Langages\C, C++\N4594 Standard for Programming Language C++, 2016-05-30 (2016) - Working Draft.pdf"/>
    <x v="2"/>
    <x v="8"/>
    <s v="Working Draft"/>
    <s v=""/>
    <s v=".pdf"/>
    <n v="82"/>
    <n v="13"/>
    <s v="N4594 Standard for Programming Language C++, 2016-05-30"/>
  </r>
  <r>
    <s v="W:\Livres\Informatique\Langages\C, C++\Object-Oriented Programming in C++ (4th ed, 2002) - [Sams] - Robert Lafore.pdf"/>
    <x v="16"/>
    <x v="52"/>
    <s v="Robert Lafore"/>
    <s v=""/>
    <s v=".pdf"/>
    <n v="78"/>
    <n v="13"/>
    <s v="Object-Oriented Programming in C++"/>
  </r>
  <r>
    <s v="W:\Livres\Informatique\Langages\C, C++\OOP with C++ - Pooja Chawla.pdf"/>
    <x v="10"/>
    <x v="8"/>
    <s v="Pooja Chawla"/>
    <s v=""/>
    <s v=".pdf"/>
    <n v="31"/>
    <n v="12"/>
    <s v="OOP with C++"/>
  </r>
  <r>
    <s v="W:\Livres\Informatique\Langages\C, C++\Overview of the New C++, C++0x (2010) - [Artima] - Scott Meyers.pdf"/>
    <x v="14"/>
    <x v="107"/>
    <s v="Scott Meyers"/>
    <s v=""/>
    <s v=".pdf"/>
    <n v="67"/>
    <n v="12"/>
    <s v="Overview of the New C++, C++0x"/>
  </r>
  <r>
    <s v="W:\Livres\Informatique\Langages\C, C++\Overview of the New C++, C++11-14 (2015) {Extract, 42 pages} - [Artima] - Scott Meyers.pdf"/>
    <x v="3"/>
    <x v="107"/>
    <s v="Scott Meyers"/>
    <s v="Extract, 42 pages"/>
    <s v=".pdf"/>
    <n v="90"/>
    <n v="12"/>
    <s v="Overview of the New C++, C++11-14"/>
  </r>
  <r>
    <s v="W:\Livres\Informatique\Langages\C, C++\Pont entre C et C++ (2001) - [Addison-Wesley] - Pierre-Nicolas Lapointe.pdf"/>
    <x v="15"/>
    <x v="19"/>
    <s v="Pierre-Nicolas Lapointe"/>
    <s v=""/>
    <s v=".pdf"/>
    <n v="75"/>
    <n v="23"/>
    <s v="Pont entre C et C++"/>
  </r>
  <r>
    <s v="W:\Livres\Informatique\Langages\C, C++\Practical C Programming (3rd ed, 1997) - [O'Reilly] - Steve Oualline.pdf"/>
    <x v="30"/>
    <x v="4"/>
    <s v="Steve Oualline"/>
    <s v=""/>
    <s v=".pdf"/>
    <n v="72"/>
    <n v="14"/>
    <s v="Practical C Programming"/>
  </r>
  <r>
    <s v="W:\Livres\Informatique\Langages\C, C++\Practical C++ Programming (2nd ed, 2003) - [O'Reilly] - Steve Ouallin.pdf"/>
    <x v="25"/>
    <x v="4"/>
    <s v="Steve Ouallin"/>
    <s v=""/>
    <s v=".pdf"/>
    <n v="73"/>
    <n v="13"/>
    <s v="Practical C++ Programming"/>
  </r>
  <r>
    <s v="W:\Livres\Informatique\Langages\C, C++\Pratical C++ Programming (1995) - [O'Reilly] - Steve Oualline.pdf"/>
    <x v="28"/>
    <x v="4"/>
    <s v="Steve Oualline"/>
    <s v=""/>
    <s v=".pdf"/>
    <n v="65"/>
    <n v="14"/>
    <s v="Pratical C++ Programming"/>
  </r>
  <r>
    <s v="W:\Livres\Informatique\Langages\C, C++\Problem Solving with C++ (9th ed, 2014) - [Pearson] - Walter Savitch.pdf"/>
    <x v="6"/>
    <x v="7"/>
    <s v="Walter Savitch"/>
    <s v=""/>
    <s v=".pdf"/>
    <n v="72"/>
    <n v="14"/>
    <s v="Problem Solving with C++"/>
  </r>
  <r>
    <s v="W:\Livres\Informatique\Langages\C, C++\Programmation en C++ et génie logiciel (2007) - [Dunod] - Vincent T'kindt.pdf"/>
    <x v="9"/>
    <x v="2"/>
    <s v="Vincent T'kindt"/>
    <s v=""/>
    <s v=".pdf"/>
    <n v="77"/>
    <n v="15"/>
    <s v="Programmation en C++ et génie logiciel"/>
  </r>
  <r>
    <s v="W:\Livres\Informatique\Langages\C, C++\Programmer efficacement en C++, 42 conseils pour mieux maîtriser le C++ 11 et le C++ 14 (2016) - [Dunod] - Scott Meyers.pdf"/>
    <x v="2"/>
    <x v="2"/>
    <s v="Scott Meyers"/>
    <s v=""/>
    <s v=".pdf"/>
    <n v="123"/>
    <n v="12"/>
    <s v="Programmer efficacement en C++, 42 conseils pour mieux maîtriser le C++ 11 et le C++ 14"/>
  </r>
  <r>
    <s v="W:\Livres\Informatique\Langages\C, C++\Programmer en langage C, Cours et exercices (5è ed, 2009) - [Eyrolles] - Claude Delannoy.pdf"/>
    <x v="4"/>
    <x v="6"/>
    <s v="Claude Delannoy"/>
    <s v=""/>
    <s v=".pdf"/>
    <n v="92"/>
    <n v="15"/>
    <s v="Programmer en langage C, Cours et exercices"/>
  </r>
  <r>
    <s v="W:\Livres\Informatique\Langages\C, C++\Programmer en langage C, Cours et exercices corrigés (5è ed, 2009) - [Eyrolles] - Claude Delannoy.pdf"/>
    <x v="4"/>
    <x v="6"/>
    <s v="Claude Delannoy"/>
    <s v=""/>
    <s v=".pdf"/>
    <n v="101"/>
    <n v="15"/>
    <s v="Programmer en langage C, Cours et exercices corrigés"/>
  </r>
  <r>
    <s v="W:\Livres\Informatique\Langages\C, C++\Programmez avec le langage C++ (2011) - [Le site du zéro] - Mathieu Nebra, Matthieu Schaller.pdf"/>
    <x v="0"/>
    <x v="49"/>
    <s v="Mathieu Nebra, Matthieu Schaller"/>
    <s v=""/>
    <s v=".pdf"/>
    <n v="96"/>
    <n v="32"/>
    <s v="Programmez avec le langage C++"/>
  </r>
  <r>
    <s v="W:\Livres\Informatique\Langages\C, C++\Programmez avec le langage C++ (2011) {Dump} - [Le site du zéro] - Mathieu Nebra, Matthieu Schaller.pdf"/>
    <x v="0"/>
    <x v="49"/>
    <s v="Mathieu Nebra, Matthieu Schaller"/>
    <s v="Dump"/>
    <s v=".pdf"/>
    <n v="103"/>
    <n v="32"/>
    <s v="Programmez avec le langage C++"/>
  </r>
  <r>
    <s v="W:\Livres\Informatique\Langages\C, C++\Programming Principles and Practices C++ (2nd ed, 2014) - [Pearson] - Bjarne Stroustrup.epub"/>
    <x v="6"/>
    <x v="7"/>
    <s v="Bjarne Stroustrup"/>
    <s v=""/>
    <s v=".epub"/>
    <n v="92"/>
    <n v="17"/>
    <s v="Programming Principles and Practices C++"/>
  </r>
  <r>
    <s v="W:\Livres\Informatique\Langages\C, C++\Programming Principles and Practices C++ (2009) - [Addison-Wesley] - Bjarne Stroustrup.pdf"/>
    <x v="4"/>
    <x v="19"/>
    <s v="Bjarne Stroustrup"/>
    <s v=""/>
    <s v=".pdf"/>
    <n v="90"/>
    <n v="17"/>
    <s v="Programming Principles and Practices C++"/>
  </r>
  <r>
    <s v="W:\Livres\Informatique\Langages\C, C++\Safe C++ (2012) - [O'Reilly] - Vladimir Kushnir.pdf"/>
    <x v="8"/>
    <x v="4"/>
    <s v="Vladimir Kushnir"/>
    <s v=""/>
    <s v=".pdf"/>
    <n v="51"/>
    <n v="16"/>
    <s v="Safe C++"/>
  </r>
  <r>
    <s v="W:\Livres\Informatique\Langages\C, C++\Secure Programming Cookbook for C and C++ (2003) - [O'Reilly] - John Viega, Matt Messier.pdf"/>
    <x v="25"/>
    <x v="4"/>
    <s v="John Viega, Matt Messier"/>
    <s v=""/>
    <s v=".pdf"/>
    <n v="92"/>
    <n v="24"/>
    <s v="Secure Programming Cookbook for C and C++"/>
  </r>
  <r>
    <s v="W:\Livres\Informatique\Langages\C, C++\Standard C++ Course Reader (2009) - Keith Schwarz.pdf"/>
    <x v="4"/>
    <x v="8"/>
    <s v="Keith Schwarz"/>
    <s v=""/>
    <s v=".pdf"/>
    <n v="53"/>
    <n v="13"/>
    <s v="Standard C++ Course Reader"/>
  </r>
  <r>
    <s v="W:\Livres\Informatique\Langages\C, C++\Starting Out with C++ Early Objects (8th ed, 2014) - [Pearson] - Tony Gaddis, Judy Walters, Godfrey Muganda.pdf"/>
    <x v="6"/>
    <x v="7"/>
    <s v="Tony Gaddis, Judy Walters, Godfrey Muganda"/>
    <s v=""/>
    <s v=".pdf"/>
    <n v="111"/>
    <n v="42"/>
    <s v="Starting Out with C++ Early Objects"/>
  </r>
  <r>
    <s v="W:\Livres\Informatique\Langages\C, C++\The C Programming Language (2nd ed, 1988) - [Prentice Hall] - Brian W. Kernighan, Dennis Ritchie.pdf"/>
    <x v="35"/>
    <x v="20"/>
    <s v="Brian W. Kernighan, Dennis Ritchie"/>
    <s v=""/>
    <s v=".pdf"/>
    <n v="100"/>
    <n v="34"/>
    <s v="The C Programming Language"/>
  </r>
  <r>
    <s v="W:\Livres\Informatique\Langages\C, C++\The C Programming Language, ANSI C (2nd ed, 1988) - [Prentice Hall] - Kernighan, Ritchie.pdf"/>
    <x v="35"/>
    <x v="20"/>
    <s v="Kernighan, Ritchie"/>
    <s v=""/>
    <s v=".pdf"/>
    <n v="92"/>
    <n v="18"/>
    <s v="The C Programming Language, ANSI C"/>
  </r>
  <r>
    <s v="W:\Livres\Informatique\Langages\C, C++\The C Programming Language, ANSI C (2nd ed, 1988) {Scan} - [Prentice Hall] - Brian W. Kernighan, Dennis Ritchie.pdf"/>
    <x v="35"/>
    <x v="20"/>
    <s v="Brian W. Kernighan, Dennis Ritchie"/>
    <s v="Scan"/>
    <s v=".pdf"/>
    <n v="115"/>
    <n v="34"/>
    <s v="The C Programming Language, ANSI C"/>
  </r>
  <r>
    <s v="W:\Livres\Informatique\Langages\C, C++\The C++ Programming Language (3rd ed, 1997) {Special Edition} - [Addison-Wesley] - Bjarne Stroustrup.pdf"/>
    <x v="30"/>
    <x v="19"/>
    <s v="Bjarne Stroustrup"/>
    <s v="Special Edition"/>
    <s v=".pdf"/>
    <n v="104"/>
    <n v="17"/>
    <s v="The C++ Programming Language"/>
  </r>
  <r>
    <s v="W:\Livres\Informatique\Langages\C, C++\The C++ Programming Language (3rd ed, 1997) {With appendices} - [Addison-Wesley] - Bjarne Stroustrup.pdf"/>
    <x v="30"/>
    <x v="19"/>
    <s v="Bjarne Stroustrup"/>
    <s v="With appendices"/>
    <s v=".pdf"/>
    <n v="104"/>
    <n v="17"/>
    <s v="The C++ Programming Language"/>
  </r>
  <r>
    <s v="W:\Livres\Informatique\Langages\C, C++\The C++ Programming Language (4th ed, 2013) - [Addison-Wesley] - Bjarne Stroustrup.epub"/>
    <x v="5"/>
    <x v="19"/>
    <s v="Bjarne Stroustrup"/>
    <s v=""/>
    <s v=".epub"/>
    <n v="87"/>
    <n v="17"/>
    <s v="The C++ Programming Language"/>
  </r>
  <r>
    <s v="W:\Livres\Informatique\Langages\C, C++\The C++ Programming Language (4th ed, 2013) - [Addison-Wesley] - Bjarne Stroustrup.pdf"/>
    <x v="5"/>
    <x v="19"/>
    <s v="Bjarne Stroustrup"/>
    <s v=""/>
    <s v=".pdf"/>
    <n v="86"/>
    <n v="17"/>
    <s v="The C++ Programming Language"/>
  </r>
  <r>
    <s v="W:\Livres\Informatique\Langages\C, C++\The C++ Programming Language with appendixes (3rd ed, 1997) - [Addison-Wesley] - Bjarne Stroustrup.pdf"/>
    <x v="30"/>
    <x v="19"/>
    <s v="Bjarne Stroustrup"/>
    <s v=""/>
    <s v=".pdf"/>
    <n v="102"/>
    <n v="17"/>
    <s v="The C++ Programming Language with appendixes"/>
  </r>
  <r>
    <s v="W:\Livres\Informatique\Langages\C, C++\The C++ Standard Library, A Tutorial and Reference (2nd ed, 2012) - [Addison-Wesley] - NM Josuttis.pdf"/>
    <x v="8"/>
    <x v="19"/>
    <s v="NM Josuttis"/>
    <s v=""/>
    <s v=".pdf"/>
    <n v="102"/>
    <n v="11"/>
    <s v="The C++ Standard Library, A Tutorial and Reference"/>
  </r>
  <r>
    <s v="W:\Livres\Informatique\Langages\C, C++\The C++ Standard Library, A Tutorial and Reference (1999) - [Addison-Wesley] - Nicolai M Josuttis.pdf"/>
    <x v="11"/>
    <x v="19"/>
    <s v="Nicolai M Josuttis"/>
    <s v=""/>
    <s v=".pdf"/>
    <n v="101"/>
    <n v="18"/>
    <s v="The C++ Standard Library, A Tutorial and Reference"/>
  </r>
  <r>
    <s v="W:\Livres\Informatique\Langages\C, C++\The Design and Evolution of C++ (1994) - [Addison-Wesley] - Bjarne Stroustrup.pdf"/>
    <x v="29"/>
    <x v="19"/>
    <s v="Bjarne Stroustrup"/>
    <s v=""/>
    <s v=".pdf"/>
    <n v="81"/>
    <n v="17"/>
    <s v="The Design and Evolution of C++"/>
  </r>
  <r>
    <s v="W:\Livres\Informatique\Langages\C, C++\The Design of C++ 11 (2012) {Presentation} - Bjarne Stroustrup.pdf"/>
    <x v="8"/>
    <x v="8"/>
    <s v="Bjarne Stroustrup"/>
    <s v="Presentation"/>
    <s v=".pdf"/>
    <n v="66"/>
    <n v="17"/>
    <s v="The Design of C++ 11"/>
  </r>
  <r>
    <s v="W:\Livres\Informatique\Langages\C, C++\The Essence of C++ with examples in C++84, C++98, C++11, and C++14 (2014) {Presentation} - Bjarne Stroustrup.pdf"/>
    <x v="6"/>
    <x v="8"/>
    <s v="Bjarne Stroustrup"/>
    <s v="Presentation"/>
    <s v=".pdf"/>
    <n v="112"/>
    <n v="17"/>
    <s v="The Essence of C++ with examples in C++84, C++98, C++11, and C++14"/>
  </r>
  <r>
    <s v="W:\Livres\Informatique\Langages\C, C++\The Evolution of C++, 1985 to 1989 {Scan} - Bjarne Stroustrup.pdf"/>
    <x v="10"/>
    <x v="8"/>
    <s v="Bjarne Stroustrup"/>
    <s v="Scan"/>
    <s v=".pdf"/>
    <n v="65"/>
    <n v="17"/>
    <s v="The Evolution of C++, 1985 to 1989"/>
  </r>
  <r>
    <s v="W:\Livres\Informatique\Langages\C, C++\The GNU C Library Reference Manual, for version 2.23 (2016) - [Free Software Foundation] - Sandra Loosemore.pdf"/>
    <x v="2"/>
    <x v="59"/>
    <s v="Sandra Loosemore"/>
    <s v=""/>
    <s v=".pdf"/>
    <n v="111"/>
    <n v="16"/>
    <s v="The GNU C Library Reference Manual, for version 2.23"/>
  </r>
  <r>
    <s v="W:\Livres\Informatique\Langages\C, C++\The GNU C Reference Manual (2015) - [Free Software Foundation] - Trevis Rothwell, James Youngman.pdf"/>
    <x v="3"/>
    <x v="59"/>
    <s v="Trevis Rothwell, James Youngman"/>
    <s v=""/>
    <s v=".pdf"/>
    <n v="100"/>
    <n v="31"/>
    <s v="The GNU C Reference Manual"/>
  </r>
  <r>
    <s v="W:\Livres\Informatique\Langages\C, C++\The Rook's Guide to C++ (2013) - Jeremy A. Hansen.pdf"/>
    <x v="5"/>
    <x v="8"/>
    <s v="Jeremy A. Hansen"/>
    <s v=""/>
    <s v=".pdf"/>
    <n v="53"/>
    <n v="16"/>
    <s v="The Rook's Guide to C++"/>
  </r>
  <r>
    <s v="W:\Livres\Informatique\Langages\C, C++\The Standard Template Library (1995) - [HP] - Alexander Stepanov, Meng Lee.pdf"/>
    <x v="28"/>
    <x v="108"/>
    <s v="Alexander Stepanov, Meng Lee"/>
    <s v=""/>
    <s v=".pdf"/>
    <n v="78"/>
    <n v="28"/>
    <s v="The Standard Template Library"/>
  </r>
  <r>
    <s v="W:\Livres\Informatique\Langages\C, C++\Thinking in C++ Vol 1 (2nd ed, 2000) - [Prentice Hall] - Bruce Eckel.pdf"/>
    <x v="7"/>
    <x v="20"/>
    <s v="Bruce Eckel"/>
    <s v=""/>
    <s v=".pdf"/>
    <n v="72"/>
    <n v="11"/>
    <s v="Thinking in C++ Vol 1"/>
  </r>
  <r>
    <s v="W:\Livres\Informatique\Langages\C, C++\Thinking in C++ Vol 2 (2nd ed, 2000) - [Prentice Hall] - Bruce Eckel.pdf"/>
    <x v="7"/>
    <x v="20"/>
    <s v="Bruce Eckel"/>
    <s v=""/>
    <s v=".pdf"/>
    <n v="72"/>
    <n v="11"/>
    <s v="Thinking in C++ Vol 2"/>
  </r>
  <r>
    <s v="W:\Livres\Informatique\Langages\Caml\Le langage Caml (2è ed, 2009) - [Dunod] - Pierre Weis, Xavier Leroy.pdf"/>
    <x v="4"/>
    <x v="2"/>
    <s v="Pierre Weis, Xavier Leroy"/>
    <s v=""/>
    <s v=".pdf"/>
    <n v="71"/>
    <n v="25"/>
    <s v="Le langage Caml"/>
  </r>
  <r>
    <s v="W:\Livres\Informatique\Langages\Caml\Le langage Caml (1998) - [Inria] - Pierre Weis.pdf"/>
    <x v="12"/>
    <x v="109"/>
    <s v="Pierre Weis"/>
    <s v=""/>
    <s v=".pdf"/>
    <n v="50"/>
    <n v="11"/>
    <s v="Le langage Caml"/>
  </r>
  <r>
    <s v="W:\Livres\Informatique\Langages\F#\Beginning F# (2009) - [Apress] - Robert Pickering.pdf"/>
    <x v="4"/>
    <x v="42"/>
    <s v="Robert Pickering"/>
    <s v=""/>
    <s v=".pdf"/>
    <n v="53"/>
    <n v="16"/>
    <s v="Beginning F#"/>
  </r>
  <r>
    <s v="W:\Livres\Informatique\Langages\F#\Beginning F# (2009), Sources.rar"/>
    <x v="4"/>
    <x v="8"/>
    <s v="?"/>
    <s v=""/>
    <s v=".rar"/>
    <n v="32"/>
    <n v="1"/>
    <s v="Beginning F#"/>
  </r>
  <r>
    <s v="W:\Livres\Informatique\Langages\F#\Expert F# 2.0 (2nd ed, 2010) - [Apress] - Don Syme, Adam Granicz, Antonio Cisternino.pdf"/>
    <x v="14"/>
    <x v="42"/>
    <s v="Don Syme, Adam Granicz, Antonio Cisternino"/>
    <s v=""/>
    <s v=".pdf"/>
    <n v="88"/>
    <n v="42"/>
    <s v="Expert F# 2.0"/>
  </r>
  <r>
    <s v="W:\Livres\Informatique\Langages\Fortran\Computational Physics Fortran (1990) - [Westview] - Koonin, Meredith.pdf"/>
    <x v="23"/>
    <x v="83"/>
    <s v="Koonin, Meredith"/>
    <s v=""/>
    <s v=".pdf"/>
    <n v="72"/>
    <n v="16"/>
    <s v="Computational Physics Fortran"/>
  </r>
  <r>
    <s v="W:\Livres\Informatique\Langages\Fortran\Modern Fortran Explained (7th ed, 2011) - [Oxford] - Metcalf, Reid, Cohen.pdf"/>
    <x v="0"/>
    <x v="71"/>
    <s v="Metcalf, Reid, Cohen"/>
    <s v=""/>
    <s v=".pdf"/>
    <n v="77"/>
    <n v="20"/>
    <s v="Modern Fortran Explained"/>
  </r>
  <r>
    <s v="W:\Livres\Informatique\Langages\Fortran\Modern Fortran, Style and Usage (2012) - [Cambridge] - Clerman, Spektor.pdf"/>
    <x v="8"/>
    <x v="17"/>
    <s v="Clerman, Spektor"/>
    <s v=""/>
    <s v=".pdf"/>
    <n v="75"/>
    <n v="16"/>
    <s v="Modern Fortran, Style and Usage"/>
  </r>
  <r>
    <s v="W:\Livres\Informatique\Langages\Fortran\Numerical Recipes in Fortran 77 (1997) - [Cambridge] - Press, Teukolsky, Vetterling, Flannery.pdf"/>
    <x v="30"/>
    <x v="17"/>
    <s v="Press, Teukolsky, Vetterling, Flannery"/>
    <s v=""/>
    <s v=".pdf"/>
    <n v="97"/>
    <n v="38"/>
    <s v="Numerical Recipes in Fortran 77"/>
  </r>
  <r>
    <s v="W:\Livres\Informatique\Langages\Fortran\Programmer en Fortran, Fortran 90 et ses évolutions, Fortran 95, 2003 et 2008 - [Eyrolles] - Claude Delannoy.pdf"/>
    <x v="10"/>
    <x v="6"/>
    <s v="Claude Delannoy"/>
    <s v=""/>
    <s v=".pdf"/>
    <n v="112"/>
    <n v="15"/>
    <s v="Programmer en Fortran, Fortran 90 et ses évolutions, Fortran 95, 2003 et 2008"/>
  </r>
  <r>
    <s v="W:\Livres\Informatique\Langages\Fortran\The Fortran 2003 Handbook, The Complete Syntax, Features and Procedures (2009) - [Springer] - Adams, Brainerd, Hendrickson, Maine, Martin, Smith.pdf"/>
    <x v="4"/>
    <x v="9"/>
    <s v="Adams, Brainerd, Hendrickson, Maine, Martin, Smith"/>
    <s v=""/>
    <s v=".pdf"/>
    <n v="148"/>
    <n v="50"/>
    <s v="The Fortran 2003 Handbook, The Complete Syntax, Features and Procedures"/>
  </r>
  <r>
    <s v="W:\Livres\Informatique\Langages\Fuze Basic\Fuze Basic, Project Workbook (2015) - [Fuze] - Jon Silvera, Colin Bodley.pdf"/>
    <x v="3"/>
    <x v="110"/>
    <s v="Jon Silvera, Colin Bodley"/>
    <s v=""/>
    <s v=".pdf"/>
    <n v="76"/>
    <n v="25"/>
    <s v="Fuze Basic, Project Workbook"/>
  </r>
  <r>
    <s v="W:\Livres\Informatique\Langages\Fuze Basic\Fuze Basic, Reference Guide v1.4 Basic 3.3 (2016) - [Fuze] - Jon Silvera, Colin Bodley.pdf"/>
    <x v="2"/>
    <x v="110"/>
    <s v="Jon Silvera, Colin Bodley"/>
    <s v=""/>
    <s v=".pdf"/>
    <n v="90"/>
    <n v="25"/>
    <s v="Fuze Basic, Reference Guide v1.4 Basic 3.3"/>
  </r>
  <r>
    <s v="W:\Livres\Informatique\Langages\Fuze Basic\Fuze Basic, Reference Guide v2 Basic 3.5 (2016) - [Fuze] - Jon Silvera, Colin Bodley.pdf"/>
    <x v="2"/>
    <x v="110"/>
    <s v="Jon Silvera, Colin Bodley"/>
    <s v=""/>
    <s v=".pdf"/>
    <n v="88"/>
    <n v="25"/>
    <s v="Fuze Basic, Reference Guide v2 Basic 3.5"/>
  </r>
  <r>
    <s v="W:\Livres\Informatique\Langages\Haskell\Haskell Programming Language - [Wikibooks].pdf"/>
    <x v="10"/>
    <x v="86"/>
    <s v="?"/>
    <s v=""/>
    <s v=".pdf"/>
    <n v="46"/>
    <n v="1"/>
    <s v="Haskell Programming Language"/>
  </r>
  <r>
    <s v="W:\Livres\Informatique\Langages\Haskell\Haskell, The Craft of Functional Programming (2nd ed, 1999) {Scan} - [Addison-Wesley] - Suimon Thompson.pdf"/>
    <x v="11"/>
    <x v="19"/>
    <s v="Suimon Thompson"/>
    <s v="Scan"/>
    <s v=".pdf"/>
    <n v="107"/>
    <n v="15"/>
    <s v="Haskell, The Craft of Functional Programming"/>
  </r>
  <r>
    <s v="W:\Livres\Informatique\Langages\Haskell\Haskell, The Craft of Functional Programming (2nd ed, 1999), Files.zip"/>
    <x v="11"/>
    <x v="8"/>
    <s v="?"/>
    <s v=""/>
    <s v=".zip"/>
    <n v="70"/>
    <n v="1"/>
    <s v="Haskell, The Craft of Functional Programming"/>
  </r>
  <r>
    <s v="W:\Livres\Informatique\Langages\Haskell\Learn You a Haskell for Great Good! (2011) - [O'Reilly] - Miran Lipovača.pdf"/>
    <x v="0"/>
    <x v="4"/>
    <s v="Miran Lipovača"/>
    <s v=""/>
    <s v=".pdf"/>
    <n v="76"/>
    <n v="14"/>
    <s v="Learn You a Haskell for Great Good!"/>
  </r>
  <r>
    <s v="W:\Livres\Informatique\Langages\Haskell\The Haskell Road to Logic, Maths and Programming (2004) - [College Publications] - Kees Doets, Jan van Eijck.pdf"/>
    <x v="26"/>
    <x v="111"/>
    <s v="Kees Doets, Jan van Eijck"/>
    <s v=""/>
    <s v=".pdf"/>
    <n v="112"/>
    <n v="25"/>
    <s v="The Haskell Road to Logic, Maths and Programming"/>
  </r>
  <r>
    <s v="W:\Livres\Informatique\Langages\Haskell\Why Functional Programming Matters (2004) - John Hughes.pdf"/>
    <x v="26"/>
    <x v="8"/>
    <s v="John Hughes"/>
    <s v=""/>
    <s v=".pdf"/>
    <n v="59"/>
    <n v="11"/>
    <s v="Why Functional Programming Matters"/>
  </r>
  <r>
    <s v="W:\Livres\Informatique\Langages\Haskell\Yet Another Haskell Tutorial (2006) - Hal Daumé III.pdf"/>
    <x v="17"/>
    <x v="8"/>
    <s v="Hal Daumé III"/>
    <s v=""/>
    <s v=".pdf"/>
    <n v="55"/>
    <n v="13"/>
    <s v="Yet Another Haskell Tutorial"/>
  </r>
  <r>
    <s v="W:\Livres\Informatique\Langages\Java\A Programmer's Guide to Java SCJP Certification (3rd ed, 2009) - [Addison-Wesley] - Khalid A. Mughal, Rolf W. Rasmussen.pdf"/>
    <x v="4"/>
    <x v="19"/>
    <s v="Khalid A. Mughal, Rolf W. Rasmussen"/>
    <s v=""/>
    <s v=".pdf"/>
    <n v="123"/>
    <n v="35"/>
    <s v="A Programmer's Guide to Java SCJP Certification"/>
  </r>
  <r>
    <s v="W:\Livres\Informatique\Langages\Java\Absolute Java (6th ed, 2016) {Global Edition} - [Pearson] - Walter Savitch.pdf"/>
    <x v="2"/>
    <x v="7"/>
    <s v="Walter Savitch"/>
    <s v="Global Edition"/>
    <s v=".pdf"/>
    <n v="78"/>
    <n v="14"/>
    <s v="Absolute Java"/>
  </r>
  <r>
    <s v="W:\Livres\Informatique\Langages\Java\Algorithmique et programmation en Java (4è ed, 2014) - [Dunod] - Vincent Granet.pdf"/>
    <x v="6"/>
    <x v="2"/>
    <s v="Vincent Granet"/>
    <s v=""/>
    <s v=".pdf"/>
    <n v="83"/>
    <n v="14"/>
    <s v="Algorithmique et programmation en Java"/>
  </r>
  <r>
    <s v="W:\Livres\Informatique\Langages\Java\Ant, The Definitive Guide (2002) - [O'Reilly] - Jesse Tilly, Eric Burke.pdf"/>
    <x v="16"/>
    <x v="4"/>
    <s v="Jesse Tilly, Eric Burke"/>
    <s v=""/>
    <s v=".pdf"/>
    <n v="75"/>
    <n v="23"/>
    <s v="Ant, The Definitive Guide"/>
  </r>
  <r>
    <s v="W:\Livres\Informatique\Langages\Java\Apprendre Java et C++ en parallèle (4è ed, 2008) - [Eyrolles] - Jean-Bernard Boichat.pdf"/>
    <x v="13"/>
    <x v="6"/>
    <s v="Jean-Bernard Boichat"/>
    <s v=""/>
    <s v=".pdf"/>
    <n v="88"/>
    <n v="20"/>
    <s v="Apprendre Java et C++ en parallèle"/>
  </r>
  <r>
    <s v="W:\Livres\Informatique\Langages\Java\Apprenez à programmer en Java (2010) - [Le site du zéro] - Cisboy.pdf"/>
    <x v="14"/>
    <x v="49"/>
    <s v="Cisboy"/>
    <s v=""/>
    <s v=".pdf"/>
    <n v="69"/>
    <n v="6"/>
    <s v="Apprenez à programmer en Java"/>
  </r>
  <r>
    <s v="W:\Livres\Informatique\Langages\Java\Architectures réparties en Java (3è ed, 2015) - [Dunod] - Annick Fron.pdf"/>
    <x v="3"/>
    <x v="2"/>
    <s v="Annick Fron"/>
    <s v=""/>
    <s v=".pdf"/>
    <n v="73"/>
    <n v="11"/>
    <s v="Architectures réparties en Java"/>
  </r>
  <r>
    <s v="W:\Livres\Informatique\Langages\Java\Architectures réparties en Java (3è ed, 2015), Sources.zip"/>
    <x v="3"/>
    <x v="8"/>
    <s v="?"/>
    <s v=""/>
    <s v=".zip"/>
    <n v="58"/>
    <n v="1"/>
    <s v="Architectures réparties en Java"/>
  </r>
  <r>
    <s v="W:\Livres\Informatique\Langages\Java\Beginning Java 7 (2011) - [Apress] - Jeff Friesen.pdf"/>
    <x v="0"/>
    <x v="42"/>
    <s v="Jeff Friesen"/>
    <s v=""/>
    <s v=".pdf"/>
    <n v="53"/>
    <n v="12"/>
    <s v="Beginning Java 7"/>
  </r>
  <r>
    <s v="W:\Livres\Informatique\Langages\Java\Beginning Programming with Java for Dummies (3rd ed, 2012) - [Wiley] - Barry Burd.pdf"/>
    <x v="8"/>
    <x v="22"/>
    <s v="Barry Burd"/>
    <s v=""/>
    <s v=".pdf"/>
    <n v="85"/>
    <n v="10"/>
    <s v="Beginning Programming with Java for Dummies"/>
  </r>
  <r>
    <s v="W:\Livres\Informatique\Langages\Java\Big Java (4th ed, 2010) - [Wiley] - Cay Horstmann.pdf"/>
    <x v="14"/>
    <x v="22"/>
    <s v="Cay Horstmann"/>
    <s v=""/>
    <s v=".pdf"/>
    <n v="53"/>
    <n v="13"/>
    <s v="Big Java"/>
  </r>
  <r>
    <s v="W:\Livres\Informatique\Langages\Java\Building Java Enterprise Applications Vol 1, Architecture (2002) - [O'Reilly] - Brett McLaughlin.pdf"/>
    <x v="16"/>
    <x v="4"/>
    <s v="Brett McLaughlin"/>
    <s v=""/>
    <s v=".pdf"/>
    <n v="100"/>
    <n v="16"/>
    <s v="Building Java Enterprise Applications Vol 1, Architecture"/>
  </r>
  <r>
    <s v="W:\Livres\Informatique\Langages\Java\Core Java for the Impatient (2015) - [Addison-Wesley] - Cay Horstmann.epub"/>
    <x v="3"/>
    <x v="19"/>
    <s v="Cay Horstmann"/>
    <s v=""/>
    <s v=".epub"/>
    <n v="74"/>
    <n v="13"/>
    <s v="Core Java for the Impatient"/>
  </r>
  <r>
    <s v="W:\Livres\Informatique\Langages\Java\Core Java for the Impatient (2015) {eBook converted} - [Addison-Wesley] - Cay Horstmann.pdf"/>
    <x v="3"/>
    <x v="19"/>
    <s v="Cay Horstmann"/>
    <s v="eBook converted"/>
    <s v=".pdf"/>
    <n v="91"/>
    <n v="13"/>
    <s v="Core Java for the Impatient"/>
  </r>
  <r>
    <s v="W:\Livres\Informatique\Langages\Java\Core Java Vol 1 (8th ed, 2008) - [Prentice Hall] - Horstmann, Cornell.pdf"/>
    <x v="13"/>
    <x v="20"/>
    <s v="Horstmann, Cornell"/>
    <s v=""/>
    <s v=".pdf"/>
    <n v="73"/>
    <n v="18"/>
    <s v="Core Java Vol 1"/>
  </r>
  <r>
    <s v="W:\Livres\Informatique\Langages\Java\Core Java Vol 1 (9th ed, 2013) - [Prentice Hall] - Horstmann, Cornell.epub"/>
    <x v="5"/>
    <x v="20"/>
    <s v="Horstmann, Cornell"/>
    <s v=""/>
    <s v=".epub"/>
    <n v="74"/>
    <n v="18"/>
    <s v="Core Java Vol 1"/>
  </r>
  <r>
    <s v="W:\Livres\Informatique\Langages\Java\Core Java Vol 1 (9th ed, 2013) - [Prentice Hall] - Horstmann, Cornell.pdf"/>
    <x v="5"/>
    <x v="20"/>
    <s v="Horstmann, Cornell"/>
    <s v=""/>
    <s v=".pdf"/>
    <n v="73"/>
    <n v="18"/>
    <s v="Core Java Vol 1"/>
  </r>
  <r>
    <s v="W:\Livres\Informatique\Langages\Java\Core Java Vol 1 (10th ed, 2016) - [Prentice Hall] - Horstmann.pdf"/>
    <x v="2"/>
    <x v="20"/>
    <s v="Horstmann"/>
    <s v=""/>
    <s v=".pdf"/>
    <n v="65"/>
    <n v="9"/>
    <s v="Core Java Vol 1"/>
  </r>
  <r>
    <s v="W:\Livres\Informatique\Langages\Java\Core Java Vol 2 (9th ed, 2013) {Bad quality} - [Prentice Hall] - Horstmann, Cornell.epub"/>
    <x v="5"/>
    <x v="20"/>
    <s v="Horstmann, Cornell"/>
    <s v="Bad quality"/>
    <s v=".epub"/>
    <n v="88"/>
    <n v="18"/>
    <s v="Core Java Vol 2"/>
  </r>
  <r>
    <s v="W:\Livres\Informatique\Langages\Java\Creating Effective JavaHelp (2000) - [O'Reilly] - Kevin Lewis.pdf"/>
    <x v="7"/>
    <x v="4"/>
    <s v="Kevin Lewis"/>
    <s v=""/>
    <s v=".pdf"/>
    <n v="65"/>
    <n v="11"/>
    <s v="Creating Effective JavaHelp"/>
  </r>
  <r>
    <s v="W:\Livres\Informatique\Langages\Java\Design Patterns in Java (1st ed, 2016) - Devendra Singh.pdf"/>
    <x v="2"/>
    <x v="8"/>
    <s v="Devendra Singh"/>
    <s v=""/>
    <s v=".pdf"/>
    <n v="59"/>
    <n v="14"/>
    <s v="Design Patterns in Java"/>
  </r>
  <r>
    <s v="W:\Livres\Informatique\Langages\Java\Designing Enterprise Applications with Java 2 Enterprise Edition (2000) - [Sun Microsystems] - Nicholas Kassem.pdf"/>
    <x v="7"/>
    <x v="112"/>
    <s v="Nicholas Kassem"/>
    <s v=""/>
    <s v=".pdf"/>
    <n v="114"/>
    <n v="15"/>
    <s v="Designing Enterprise Applications with Java 2 Enterprise Edition"/>
  </r>
  <r>
    <s v="W:\Livres\Informatique\Langages\Java\Developing Java Beans (1997) - [O'Reilly] - Robert Englander.pdf"/>
    <x v="30"/>
    <x v="4"/>
    <s v="Robert Englander"/>
    <s v=""/>
    <s v=".pdf"/>
    <n v="64"/>
    <n v="16"/>
    <s v="Developing Java Beans"/>
  </r>
  <r>
    <s v="W:\Livres\Informatique\Langages\Java\Essential App Engine, Building High-Performance Java Apps with Google App Engine (2012) - [Pearson] - Adriaan de Jonge.pdf"/>
    <x v="8"/>
    <x v="7"/>
    <s v="Adriaan de Jonge"/>
    <s v=""/>
    <s v=".pdf"/>
    <n v="122"/>
    <n v="16"/>
    <s v="Essential App Engine, Building High-Performance Java Apps with Google App Engine"/>
  </r>
  <r>
    <s v="W:\Livres\Informatique\Langages\Java\Exercices en Java (2è ed, 2006) - [Eyrolles] - Claude Delannoy.pdf"/>
    <x v="17"/>
    <x v="6"/>
    <s v="Claude Delannoy"/>
    <s v=""/>
    <s v=".pdf"/>
    <n v="66"/>
    <n v="15"/>
    <s v="Exercices en Java"/>
  </r>
  <r>
    <s v="W:\Livres\Informatique\Langages\Java\Exercices en Java, 175 exercices corrigés (4è ed, 2014) - [Eyrolles] - Claude Delannoy.pdf"/>
    <x v="6"/>
    <x v="6"/>
    <s v="Claude Delannoy"/>
    <s v=""/>
    <s v=".pdf"/>
    <n v="90"/>
    <n v="15"/>
    <s v="Exercices en Java, 175 exercices corrigés"/>
  </r>
  <r>
    <s v="W:\Livres\Informatique\Langages\Java\Functional Programming for Java Developers (2011) - [O'Reilly] - Dean Wampler.pdf"/>
    <x v="0"/>
    <x v="4"/>
    <s v="Dean Wampler"/>
    <s v=""/>
    <s v=".pdf"/>
    <n v="81"/>
    <n v="12"/>
    <s v="Functional Programming for Java Developers"/>
  </r>
  <r>
    <s v="W:\Livres\Informatique\Langages\Java\Functional Programming in Java (2014) - [The Pragmatic Programmers] - Venkat Subramaniam.pdf"/>
    <x v="6"/>
    <x v="44"/>
    <s v="Venkat Subramaniam"/>
    <s v=""/>
    <s v=".pdf"/>
    <n v="92"/>
    <n v="18"/>
    <s v="Functional Programming in Java"/>
  </r>
  <r>
    <s v="W:\Livres\Informatique\Langages\Java\Getting Started with Roo (2011) - [O'Reilly] - Josh Long, Steve Mayzak.pdf"/>
    <x v="0"/>
    <x v="4"/>
    <s v="Josh Long, Steve Mayzak"/>
    <s v=""/>
    <s v=".pdf"/>
    <n v="74"/>
    <n v="23"/>
    <s v="Getting Started with Roo"/>
  </r>
  <r>
    <s v="W:\Livres\Informatique\Langages\Java\J2ME in a Nutshell (2002) - [O'Reilly] - Kim Topley.pdf"/>
    <x v="16"/>
    <x v="4"/>
    <s v="Kim Topley"/>
    <s v=""/>
    <s v=".pdf"/>
    <n v="55"/>
    <n v="10"/>
    <s v="J2ME in a Nutshell"/>
  </r>
  <r>
    <s v="W:\Livres\Informatique\Langages\Java\Java 1.4 et 5.0 (3è ed, 2006) - [Eyrolles] - Emmanuel Puybaret.pdf"/>
    <x v="17"/>
    <x v="6"/>
    <s v="Emmanuel Puybaret"/>
    <s v=""/>
    <s v=".pdf"/>
    <n v="66"/>
    <n v="17"/>
    <s v="Java 1.4 et 5.0"/>
  </r>
  <r>
    <s v="W:\Livres\Informatique\Langages\Java\Java 2D Graphics (1999) - [O'Reilly] - Jonathan Knudsen.pdf"/>
    <x v="11"/>
    <x v="4"/>
    <s v="Jonathan Knudsen"/>
    <s v=""/>
    <s v=".pdf"/>
    <n v="59"/>
    <n v="16"/>
    <s v="Java 2D Graphics"/>
  </r>
  <r>
    <s v="W:\Livres\Informatique\Langages\Java\Java 7 Concurrency Cookbook (2012) - [Packt] - Javier Fernández González.pdf"/>
    <x v="8"/>
    <x v="14"/>
    <s v="Javier Fernández González"/>
    <s v=""/>
    <s v=".pdf"/>
    <n v="76"/>
    <n v="25"/>
    <s v="Java 7 Concurrency Cookbook"/>
  </r>
  <r>
    <s v="W:\Livres\Informatique\Langages\Java\Java and Mac OS X Developer Reference (2010) - [Wiley] - T. Gene Davis.pdf"/>
    <x v="14"/>
    <x v="22"/>
    <s v="T. Gene Davis"/>
    <s v=""/>
    <s v=".pdf"/>
    <n v="74"/>
    <n v="13"/>
    <s v="Java and Mac OS X Developer Reference"/>
  </r>
  <r>
    <s v="W:\Livres\Informatique\Langages\Java\Java and SOAP (2002) - [O'Reilly] - Robert Englander.pdf"/>
    <x v="16"/>
    <x v="4"/>
    <s v="Robert Englander"/>
    <s v=""/>
    <s v=".pdf"/>
    <n v="56"/>
    <n v="16"/>
    <s v="Java and SOAP"/>
  </r>
  <r>
    <s v="W:\Livres\Informatique\Langages\Java\Java and XML (2nd ed, 2001) - [O'Reilly] - Brett McLaughlin.pdf"/>
    <x v="15"/>
    <x v="4"/>
    <s v="Brett McLaughlin"/>
    <s v=""/>
    <s v=".pdf"/>
    <n v="63"/>
    <n v="16"/>
    <s v="Java and XML"/>
  </r>
  <r>
    <s v="W:\Livres\Informatique\Langages\Java\Java and XML Data Binding (2002) - [O'Reilly] - Brett McLaughlin.pdf"/>
    <x v="16"/>
    <x v="4"/>
    <s v="Brett McLaughlin"/>
    <s v=""/>
    <s v=".pdf"/>
    <n v="68"/>
    <n v="16"/>
    <s v="Java and XML Data Binding"/>
  </r>
  <r>
    <s v="W:\Livres\Informatique\Langages\Java\Java and XSLT (2001) {Dump} - [O'Reilly] - Eric M. Burke.pdf"/>
    <x v="15"/>
    <x v="4"/>
    <s v="Eric M. Burke"/>
    <s v="Dump"/>
    <s v=".pdf"/>
    <n v="60"/>
    <n v="13"/>
    <s v="Java and XSLT"/>
  </r>
  <r>
    <s v="W:\Livres\Informatique\Langages\Java\Java Distributed Computing (1998) {Dump} - [O'Reilly] - Jim Farley.pdf"/>
    <x v="12"/>
    <x v="4"/>
    <s v="Jim Farley"/>
    <s v="Dump"/>
    <s v=".pdf"/>
    <n v="70"/>
    <n v="10"/>
    <s v="Java Distributed Computing"/>
  </r>
  <r>
    <s v="W:\Livres\Informatique\Langages\Java\Java Enterprise in a Nutshell (2001) {Dump} - [O'Reilly] - David Flanagan, Jim Farley, William Crawford, Kris Magnusson.pdf"/>
    <x v="15"/>
    <x v="4"/>
    <s v="David Flanagan, Jim Farley, William Crawford, Kris Magnusson"/>
    <s v="Dump"/>
    <s v=".pdf"/>
    <n v="123"/>
    <n v="60"/>
    <s v="Java Enterprise in a Nutshell"/>
  </r>
  <r>
    <s v="W:\Livres\Informatique\Langages\Java\Java IO (1999) - [O'Reilly] - Elliotte Rusty Harold.pdf"/>
    <x v="11"/>
    <x v="4"/>
    <s v="Elliotte Rusty Harold"/>
    <s v=""/>
    <s v=".pdf"/>
    <n v="55"/>
    <n v="21"/>
    <s v="Java IO"/>
  </r>
  <r>
    <s v="W:\Livres\Informatique\Langages\Java\Java Management Extensions (2002) - [O'Reilly] - J. Steven Perry.pdf"/>
    <x v="16"/>
    <x v="4"/>
    <s v="J. Steven Perry"/>
    <s v=""/>
    <s v=".pdf"/>
    <n v="68"/>
    <n v="15"/>
    <s v="Java Management Extensions"/>
  </r>
  <r>
    <s v="W:\Livres\Informatique\Langages\Java\Java Message Service (2001) - [O'Reilly] - Richard Monson-Haefel, David A. Chappell.pdf"/>
    <x v="15"/>
    <x v="4"/>
    <s v="Richard Monson-Haefel, David A. Chappell"/>
    <s v=""/>
    <s v=".pdf"/>
    <n v="87"/>
    <n v="40"/>
    <s v="Java Message Service"/>
  </r>
  <r>
    <s v="W:\Livres\Informatique\Langages\Java\Java Network Programming (2nd ed, 2000) {Dump} - [O'Reilly] - Elliotte Rusty Harold.pdf"/>
    <x v="7"/>
    <x v="4"/>
    <s v="Elliotte Rusty Harold"/>
    <s v="Dump"/>
    <s v=".pdf"/>
    <n v="87"/>
    <n v="21"/>
    <s v="Java Network Programming"/>
  </r>
  <r>
    <s v="W:\Livres\Informatique\Langages\Java\Java NIO (2002) - [O'Reilly] - Ron Hitchens.pdf"/>
    <x v="16"/>
    <x v="4"/>
    <s v="Ron Hitchens"/>
    <s v=""/>
    <s v=".pdf"/>
    <n v="47"/>
    <n v="12"/>
    <s v="Java NIO"/>
  </r>
  <r>
    <s v="W:\Livres\Informatique\Langages\Java\Java Performance (2012) - [Addison-Wesley] - Charlie Hunt, Binu John.pdf"/>
    <x v="8"/>
    <x v="19"/>
    <s v="Charlie Hunt, Binu John"/>
    <s v=""/>
    <s v=".pdf"/>
    <n v="72"/>
    <n v="23"/>
    <s v="Java Performance"/>
  </r>
  <r>
    <s v="W:\Livres\Informatique\Langages\Java\Java Persistence et Hibernate (2008) - [Eyrolles] - Anthony Patricio.pdf"/>
    <x v="13"/>
    <x v="6"/>
    <s v="Anthony Patricio"/>
    <s v=""/>
    <s v=".pdf"/>
    <n v="72"/>
    <n v="16"/>
    <s v="Java Persistence et Hibernate"/>
  </r>
  <r>
    <s v="W:\Livres\Informatique\Langages\Java\Java Programming 24-Hour Trainer (2nd ed, 2015) - [Wiley] - Yakov Fain.pdf"/>
    <x v="3"/>
    <x v="22"/>
    <s v="Yakov Fain"/>
    <s v=""/>
    <s v=".pdf"/>
    <n v="74"/>
    <n v="10"/>
    <s v="Java Programming 24-Hour Trainer"/>
  </r>
  <r>
    <s v="W:\Livres\Informatique\Langages\Java\Java Programming 24-Hour Trainer (2011) - [Wiley] - Yakov Fain.pdf"/>
    <x v="0"/>
    <x v="22"/>
    <s v="Yakov Fain"/>
    <s v=""/>
    <s v=".pdf"/>
    <n v="66"/>
    <n v="10"/>
    <s v="Java Programming 24-Hour Trainer"/>
  </r>
  <r>
    <s v="W:\Livres\Informatique\Langages\Java\Java Programming for Android Developers for Dummies (2014) - [Wiley] - Barry Burd.epub"/>
    <x v="6"/>
    <x v="22"/>
    <s v="Barry Burd"/>
    <s v=""/>
    <s v=".epub"/>
    <n v="86"/>
    <n v="10"/>
    <s v="Java Programming for Android Developers for Dummies"/>
  </r>
  <r>
    <s v="W:\Livres\Informatique\Langages\Java\Java Programming for Android Developers for Dummies (2014) - [Wiley] - Barry Burd.pdf"/>
    <x v="6"/>
    <x v="22"/>
    <s v="Barry Burd"/>
    <s v=""/>
    <s v=".pdf"/>
    <n v="85"/>
    <n v="10"/>
    <s v="Java Programming for Android Developers for Dummies"/>
  </r>
  <r>
    <s v="W:\Livres\Informatique\Langages\Java\Java Programming Learn Advanced Skills (2012) - [McGraw-Hill] - Poornachandra Sarang.pdf"/>
    <x v="8"/>
    <x v="41"/>
    <s v="Poornachandra Sarang"/>
    <s v=""/>
    <s v=".pdf"/>
    <n v="88"/>
    <n v="20"/>
    <s v="Java Programming Learn Advanced Skills"/>
  </r>
  <r>
    <s v="W:\Livres\Informatique\Langages\Java\Java Programming with Oracle JDBC (2002) {Dump} - [O'Reilly] - Donald Bales.pdf"/>
    <x v="16"/>
    <x v="4"/>
    <s v="Donald Bales"/>
    <s v="Dump"/>
    <s v=".pdf"/>
    <n v="79"/>
    <n v="12"/>
    <s v="Java Programming with Oracle JDBC"/>
  </r>
  <r>
    <s v="W:\Livres\Informatique\Langages\Java\Java Reference Library 1.2 (1997) {Dump} - [O'Reilly].pdf"/>
    <x v="30"/>
    <x v="4"/>
    <s v="?"/>
    <s v="Dump"/>
    <s v=".pdf"/>
    <n v="57"/>
    <n v="1"/>
    <s v="Java Reference Library 1.2"/>
  </r>
  <r>
    <s v="W:\Livres\Informatique\Langages\Java\Java Reference Library 1.3 (1998) {Dump} - [O'Reilly].pdf"/>
    <x v="12"/>
    <x v="4"/>
    <s v="?"/>
    <s v="Dump"/>
    <s v=".pdf"/>
    <n v="57"/>
    <n v="1"/>
    <s v="Java Reference Library 1.3"/>
  </r>
  <r>
    <s v="W:\Livres\Informatique\Langages\Java\Java RMI (2001) {Dump} - [O'Reilly] - William Grosso.pdf"/>
    <x v="15"/>
    <x v="4"/>
    <s v="William Grosso"/>
    <s v="Dump"/>
    <s v=".pdf"/>
    <n v="56"/>
    <n v="14"/>
    <s v="Java RMI"/>
  </r>
  <r>
    <s v="W:\Livres\Informatique\Langages\Java\Java Security (2nd ed, 2001) - [O'Reilly] - Scott Oaks.pdf"/>
    <x v="15"/>
    <x v="4"/>
    <s v="Scott Oaks"/>
    <s v=""/>
    <s v=".pdf"/>
    <n v="58"/>
    <n v="10"/>
    <s v="Java Security"/>
  </r>
  <r>
    <s v="W:\Livres\Informatique\Langages\Java\Java Servlet Programming (1998) - [O'Reilly] - Jason Hunter.pdf"/>
    <x v="12"/>
    <x v="4"/>
    <s v="Jason Hunter"/>
    <s v=""/>
    <s v=".pdf"/>
    <n v="63"/>
    <n v="12"/>
    <s v="Java Servlet Programming"/>
  </r>
  <r>
    <s v="W:\Livres\Informatique\Langages\Java\Java Threads (2nd ed, 1999) - [O'Reilly] - Scott Oaks &amp; Henry Wong.pdf"/>
    <x v="11"/>
    <x v="4"/>
    <s v="Scott Oaks &amp; Henry Wong"/>
    <s v=""/>
    <s v=".pdf"/>
    <n v="70"/>
    <n v="23"/>
    <s v="Java Threads"/>
  </r>
  <r>
    <s v="W:\Livres\Informatique\Langages\Java\Java Web Services (2002) - [O'Reilly] - David Chappell, Tyler Jewell.pdf"/>
    <x v="16"/>
    <x v="4"/>
    <s v="David Chappell, Tyler Jewell"/>
    <s v=""/>
    <s v=".pdf"/>
    <n v="72"/>
    <n v="28"/>
    <s v="Java Web Services"/>
  </r>
  <r>
    <s v="W:\Livres\Informatique\Langages\Java\Java, How to program (9th ed, 2012) - [Prentice Hall] - Deitel.pdf"/>
    <x v="8"/>
    <x v="20"/>
    <s v="Deitel"/>
    <s v=""/>
    <s v=".pdf"/>
    <n v="66"/>
    <n v="6"/>
    <s v="Java, How to program"/>
  </r>
  <r>
    <s v="W:\Livres\Informatique\Langages\Java\Java, The Good Parts (2010) - [O'Reilly] - Jim Waldo.pdf"/>
    <x v="14"/>
    <x v="4"/>
    <s v="Jim Waldo"/>
    <s v=""/>
    <s v=".pdf"/>
    <n v="56"/>
    <n v="9"/>
    <s v="Java, The Good Parts"/>
  </r>
  <r>
    <s v="W:\Livres\Informatique\Langages\Java\JBoss 3.2 Workbook for Enterprise JavaBeans (3rd ed, 2003) - [O'Reilly] - Bill Burke, Sacha Labourey.pdf"/>
    <x v="25"/>
    <x v="4"/>
    <s v="Bill Burke, Sacha Labourey"/>
    <s v=""/>
    <s v=".pdf"/>
    <n v="104"/>
    <n v="26"/>
    <s v="JBoss 3.2 Workbook for Enterprise JavaBeans"/>
  </r>
  <r>
    <s v="W:\Livres\Informatique\Langages\Java\JUnit in Action (2nd ed, 2011) - [Manning] - Tahchiev, Leme, Massol, Gregory.pdf"/>
    <x v="0"/>
    <x v="0"/>
    <s v="Tahchiev, Leme, Massol, Gregory"/>
    <s v=""/>
    <s v=".pdf"/>
    <n v="80"/>
    <n v="31"/>
    <s v="JUnit in Action"/>
  </r>
  <r>
    <s v="W:\Livres\Informatique\Langages\Java\Just Spring (2011) - [O'Reilly] - Madhusudhan Konda.pdf"/>
    <x v="0"/>
    <x v="4"/>
    <s v="Madhusudhan Konda"/>
    <s v=""/>
    <s v=".pdf"/>
    <n v="55"/>
    <n v="17"/>
    <s v="Just Spring"/>
  </r>
  <r>
    <s v="W:\Livres\Informatique\Langages\Java\La programmation objet en Java (2006) - [Dunod] - Michel Divay.pdf"/>
    <x v="17"/>
    <x v="2"/>
    <s v="Michel Divay"/>
    <s v=""/>
    <s v=".pdf"/>
    <n v="66"/>
    <n v="12"/>
    <s v="La programmation objet en Java"/>
  </r>
  <r>
    <s v="W:\Livres\Informatique\Langages\Java\Le livre de java (10è ed, 2015) - [Eyrolles] - Anne Tasso.pdf"/>
    <x v="3"/>
    <x v="6"/>
    <s v="Anne Tasso"/>
    <s v=""/>
    <s v=".pdf"/>
    <n v="61"/>
    <n v="10"/>
    <s v="Le livre de java"/>
  </r>
  <r>
    <s v="W:\Livres\Informatique\Langages\Java\Learn Java for Android Development (1st ed, 2010) - [Apress] - Jeff Friesen.pdf"/>
    <x v="14"/>
    <x v="42"/>
    <s v="Jeff Friesen"/>
    <s v=""/>
    <s v=".pdf"/>
    <n v="79"/>
    <n v="12"/>
    <s v="Learn Java for Android Development"/>
  </r>
  <r>
    <s v="W:\Livres\Informatique\Langages\Java\Learn Java for Android Development (2nd ed, 2013) - [Apress] - Jeff Friesen.pdf"/>
    <x v="5"/>
    <x v="42"/>
    <s v="Jeff Friesen"/>
    <s v=""/>
    <s v=".pdf"/>
    <n v="79"/>
    <n v="12"/>
    <s v="Learn Java for Android Development"/>
  </r>
  <r>
    <s v="W:\Livres\Informatique\Langages\Java\Learning Wireless Java (2001) - [O'Reilly] - Qusay Mahmoud.pdf"/>
    <x v="15"/>
    <x v="4"/>
    <s v="Qusay Mahmoud"/>
    <s v=""/>
    <s v=".pdf"/>
    <n v="62"/>
    <n v="13"/>
    <s v="Learning Wireless Java"/>
  </r>
  <r>
    <s v="W:\Livres\Informatique\Langages\Java\Murach's Java Programming (4th ed, 2012) - Joel Murach.pdf"/>
    <x v="8"/>
    <x v="8"/>
    <s v="Joel Murach"/>
    <s v=""/>
    <s v=".pdf"/>
    <n v="58"/>
    <n v="11"/>
    <s v="Murach's Java Programming"/>
  </r>
  <r>
    <s v="W:\Livres\Informatique\Langages\Java\OCP Java SE 6 Programmer Practice Exams 310-065 (2011) - [McGraw-Hill] - Bert Bates, Kathy Sierra.pdf"/>
    <x v="0"/>
    <x v="41"/>
    <s v="Bert Bates, Kathy Sierra"/>
    <s v=""/>
    <s v=".pdf"/>
    <n v="101"/>
    <n v="24"/>
    <s v="OCP Java SE 6 Programmer Practice Exams 310-065"/>
  </r>
  <r>
    <s v="W:\Livres\Informatique\Langages\Java\Pro Java 8 Programming (3rd ed, 2015) - [Apress] - Brett Spell.pdf"/>
    <x v="3"/>
    <x v="42"/>
    <s v="Brett Spell"/>
    <s v=""/>
    <s v=".pdf"/>
    <n v="66"/>
    <n v="11"/>
    <s v="Pro Java 8 Programming"/>
  </r>
  <r>
    <s v="W:\Livres\Informatique\Langages\Java\Pro Java ME Apps (2011) - [Apress] - Ovidiu Iliescu.pdf"/>
    <x v="0"/>
    <x v="42"/>
    <s v="Ovidiu Iliescu"/>
    <s v=""/>
    <s v=".pdf"/>
    <n v="55"/>
    <n v="14"/>
    <s v="Pro Java ME Apps"/>
  </r>
  <r>
    <s v="W:\Livres\Informatique\Langages\Java\Programmation Java, pour les enfants, les parents et les grands-parents (2005) - [Smart Data Processing] - Yakov Fain.pdf"/>
    <x v="1"/>
    <x v="113"/>
    <s v="Yakov Fain"/>
    <s v=""/>
    <s v=".pdf"/>
    <n v="121"/>
    <n v="10"/>
    <s v="Programmation Java, pour les enfants, les parents et les grands-parents"/>
  </r>
  <r>
    <s v="W:\Livres\Informatique\Langages\Java\Programmer en Java (3è ed, 2006) - [Eyrolles] - Claude Delannoy.pdf"/>
    <x v="17"/>
    <x v="6"/>
    <s v="Claude Delannoy"/>
    <s v=""/>
    <s v=".pdf"/>
    <n v="67"/>
    <n v="15"/>
    <s v="Programmer en Java"/>
  </r>
  <r>
    <s v="W:\Livres\Informatique\Langages\Java\Programmer en Java (5è ed, 2008) - [Eyrolles] - Claude Delannoy.pdf"/>
    <x v="13"/>
    <x v="6"/>
    <s v="Claude Delannoy"/>
    <s v=""/>
    <s v=".pdf"/>
    <n v="67"/>
    <n v="15"/>
    <s v="Programmer en Java"/>
  </r>
  <r>
    <s v="W:\Livres\Informatique\Langages\Java\Programmer en Java (9è ed, 2014) - [Eyrolles] - Claude Delannoy.pdf"/>
    <x v="6"/>
    <x v="6"/>
    <s v="Claude Delannoy"/>
    <s v=""/>
    <s v=".pdf"/>
    <n v="67"/>
    <n v="15"/>
    <s v="Programmer en Java"/>
  </r>
  <r>
    <s v="W:\Livres\Informatique\Langages\Java\Refactoring des application Java J2EE (2005) - [Eyrolles] - Jean-Philippe Retaillé.pdf"/>
    <x v="1"/>
    <x v="6"/>
    <s v="Jean-Philippe Retaillé"/>
    <s v=""/>
    <s v=".pdf"/>
    <n v="86"/>
    <n v="22"/>
    <s v="Refactoring des application Java J2EE"/>
  </r>
  <r>
    <s v="W:\Livres\Informatique\Langages\Java\Starting Out with Java (6th ed, 2015) - [Prentice Hall] - Tony Gaddis.pdf"/>
    <x v="3"/>
    <x v="20"/>
    <s v="Tony Gaddis"/>
    <s v=""/>
    <s v=".pdf"/>
    <n v="73"/>
    <n v="11"/>
    <s v="Starting Out with Java"/>
  </r>
  <r>
    <s v="W:\Livres\Informatique\Langages\Java\Sun Certified Enterprise Architect for Java EE Study Guide (2nd ed, 2010) - [Prentice Hall] - Mark Cade, Humphrey Sheil.pdf"/>
    <x v="14"/>
    <x v="20"/>
    <s v="Mark Cade, Humphrey Sheil"/>
    <s v=""/>
    <s v=".pdf"/>
    <n v="123"/>
    <n v="25"/>
    <s v="Sun Certified Enterprise Architect for Java EE Study Guide"/>
  </r>
  <r>
    <s v="W:\Livres\Informatique\Langages\Java\Thinking in Java (4th ed, 2006) - [Prentice Hall] - Bruce Eckel.pdf"/>
    <x v="17"/>
    <x v="20"/>
    <s v="Bruce Eckel"/>
    <s v=""/>
    <s v=".pdf"/>
    <n v="67"/>
    <n v="11"/>
    <s v="Thinking in Java"/>
  </r>
  <r>
    <s v="W:\Livres\Informatique\Langages\LINQ\Essential LINQ (2009) - [Addison-Wesley] - Charlie Calvert, Dinesh Kulkarni.pdf"/>
    <x v="4"/>
    <x v="19"/>
    <s v="Charlie Calvert, Dinesh Kulkarni"/>
    <s v=""/>
    <s v=".pdf"/>
    <n v="79"/>
    <n v="32"/>
    <s v="Essential LINQ"/>
  </r>
  <r>
    <s v="W:\Livres\Informatique\Langages\LINQ\Pro LINQ in C# 2010 (2010) - [Apress] - Adam Freeman, Joseph C. Rattz Jr.pdf"/>
    <x v="14"/>
    <x v="42"/>
    <s v="Adam Freeman, Joseph C. Rattz Jr"/>
    <s v=""/>
    <s v=".pdf"/>
    <n v="76"/>
    <n v="32"/>
    <s v="Pro LINQ in C# 2010"/>
  </r>
  <r>
    <s v="W:\Livres\Informatique\Langages\LINQ\Pro LINQ in C# 2010 (2010) - [Apress] - Adam Freeman, Joseph C. Rattz.pdf"/>
    <x v="14"/>
    <x v="42"/>
    <s v="Adam Freeman, Joseph C. Rattz"/>
    <s v=""/>
    <s v=".pdf"/>
    <n v="73"/>
    <n v="29"/>
    <s v="Pro LINQ in C# 2010"/>
  </r>
  <r>
    <s v="W:\Livres\Informatique\Langages\LINQ\Professional LINQ (2008) - [Wiley] - Scott Klein.pdf"/>
    <x v="13"/>
    <x v="22"/>
    <s v="Scott Klein"/>
    <s v=""/>
    <s v=".pdf"/>
    <n v="52"/>
    <n v="11"/>
    <s v="Professional LINQ"/>
  </r>
  <r>
    <s v="W:\Livres\Informatique\Langages\Lisp\An Introduction to Programming in Emacs Lisp (2nd ed, 2002) - [Free Software Foundation] - Robert J. Chassell.pdf"/>
    <x v="16"/>
    <x v="59"/>
    <s v="Robert J. Chassell"/>
    <s v=""/>
    <s v=".pdf"/>
    <n v="113"/>
    <n v="18"/>
    <s v="An Introduction to Programming in Emacs Lisp"/>
  </r>
  <r>
    <s v="W:\Livres\Informatique\Langages\Lisp\ANSI Common Lisp (1996) - [Prentice Hall] - Paul Graham.pdf"/>
    <x v="22"/>
    <x v="20"/>
    <s v="Paul Graham"/>
    <s v=""/>
    <s v=".pdf"/>
    <n v="59"/>
    <n v="11"/>
    <s v="ANSI Common Lisp"/>
  </r>
  <r>
    <s v="W:\Livres\Informatique\Langages\Lisp\Basic Lisp Techniques (2000) - David J. Cooper.pdf"/>
    <x v="7"/>
    <x v="8"/>
    <s v="David J. Cooper"/>
    <s v=""/>
    <s v=".pdf"/>
    <n v="50"/>
    <n v="15"/>
    <s v="Basic Lisp Techniques"/>
  </r>
  <r>
    <s v="W:\Livres\Informatique\Langages\Lisp\Common Lisp, A Gentle Introduction to Symbolic Computation (1990) - [Benjamin-Cummings] - David S. Touretzky.pdf"/>
    <x v="23"/>
    <x v="114"/>
    <s v="David S. Touretzky"/>
    <s v=""/>
    <s v=".pdf"/>
    <n v="112"/>
    <n v="18"/>
    <s v="Common Lisp, A Gentle Introduction to Symbolic Computation"/>
  </r>
  <r>
    <s v="W:\Livres\Informatique\Langages\Lisp\Common Lisp, A Gentle Introduction to Symbolic Computation (1990), Sources.rar"/>
    <x v="23"/>
    <x v="8"/>
    <s v="?"/>
    <s v=""/>
    <s v=".rar"/>
    <n v="78"/>
    <n v="1"/>
    <s v="Common Lisp, A Gentle Introduction to Symbolic Computation"/>
  </r>
  <r>
    <s v="W:\Livres\Informatique\Langages\Lisp\Common Lisp, An Interactive Approach (1992) - [Computer Science press] - Stuart C. Shapiro.pdf"/>
    <x v="27"/>
    <x v="26"/>
    <s v="Stuart C. Shapiro"/>
    <s v=""/>
    <s v=".pdf"/>
    <n v="94"/>
    <n v="17"/>
    <s v="Common Lisp, An Interactive Approach"/>
  </r>
  <r>
    <s v="W:\Livres\Informatique\Langages\Lisp\Common Lisp, The Language (2nd ed, 1990) - Guy L. Steele.pdf"/>
    <x v="23"/>
    <x v="8"/>
    <s v="Guy L. Steele"/>
    <s v=""/>
    <s v=".pdf"/>
    <n v="60"/>
    <n v="13"/>
    <s v="Common Lisp, The Language"/>
  </r>
  <r>
    <s v="W:\Livres\Informatique\Langages\Lisp\Common Lisp, Une introduction à la programmation (2è ed, 1991) {Scan} - Harald Wertzr.pdf"/>
    <x v="34"/>
    <x v="8"/>
    <s v="Harald Wertzr"/>
    <s v="Scan"/>
    <s v=".pdf"/>
    <n v="89"/>
    <n v="13"/>
    <s v="Common Lisp, Une introduction à la programmation"/>
  </r>
  <r>
    <s v="W:\Livres\Informatique\Langages\Lisp\Land of Lisp (2011) - [No Starch] - Conrad Barski.pdf"/>
    <x v="0"/>
    <x v="15"/>
    <s v="Conrad Barski"/>
    <s v=""/>
    <s v=".pdf"/>
    <n v="53"/>
    <n v="13"/>
    <s v="Land of Lisp"/>
  </r>
  <r>
    <s v="W:\Livres\Informatique\Langages\Lisp\Lisp book (1997) - Gary D. Knott.pdf"/>
    <x v="30"/>
    <x v="8"/>
    <s v="Gary D. Knott"/>
    <s v=""/>
    <s v=".pdf"/>
    <n v="36"/>
    <n v="13"/>
    <s v="Lisp book"/>
  </r>
  <r>
    <s v="W:\Livres\Informatique\Langages\Lisp\LISP in small pieces (1996) - [Cambridge] - Christian Queinnec.djvu"/>
    <x v="22"/>
    <x v="17"/>
    <s v="Christian Queinnec"/>
    <s v=""/>
    <s v=".djvu"/>
    <n v="67"/>
    <n v="18"/>
    <s v="LISP in small pieces"/>
  </r>
  <r>
    <s v="W:\Livres\Informatique\Langages\Lisp\On Lisp, Advanced Techniques for Common Lisp (1993) - [Prentice Hall] - Paul Graham.pdf"/>
    <x v="21"/>
    <x v="20"/>
    <s v="Paul Graham"/>
    <s v=""/>
    <s v=".pdf"/>
    <n v="87"/>
    <n v="11"/>
    <s v="On Lisp, Advanced Techniques for Common Lisp"/>
  </r>
  <r>
    <s v="W:\Livres\Informatique\Langages\Lisp\Practical Common Lisp (2005) - [Apress] - Peter Siebel.epub"/>
    <x v="1"/>
    <x v="42"/>
    <s v="Peter Siebel"/>
    <s v=""/>
    <s v=".epub"/>
    <n v="59"/>
    <n v="12"/>
    <s v="Practical Common Lisp"/>
  </r>
  <r>
    <s v="W:\Livres\Informatique\Langages\Lisp\Successful Lisp, How to Understand and Use Common Lisp (2001) - David B. Lamkins.pdf"/>
    <x v="15"/>
    <x v="8"/>
    <s v="David B. Lamkins"/>
    <s v=""/>
    <s v=".pdf"/>
    <n v="84"/>
    <n v="16"/>
    <s v="Successful Lisp, How to Understand and Use Common Lisp"/>
  </r>
  <r>
    <s v="W:\Livres\Informatique\Langages\Lua\Lua 5.1 Reference Manual (2012) - [Lua.org] - Ierusalimschy, De Figueiredo, Celes.pdf"/>
    <x v="8"/>
    <x v="115"/>
    <s v="Ierusalimschy, De Figueiredo, Celes"/>
    <s v=""/>
    <s v=".pdf"/>
    <n v="85"/>
    <n v="35"/>
    <s v="Lua 5.1 Reference Manual"/>
  </r>
  <r>
    <s v="W:\Livres\Informatique\Langages\Lua\Programming in Lua (3rd ed, 2013) - [Lua.org] - Roberto Ierusalimschy.epub"/>
    <x v="5"/>
    <x v="115"/>
    <s v="Roberto Ierusalimschy"/>
    <s v=""/>
    <s v=".epub"/>
    <n v="74"/>
    <n v="21"/>
    <s v="Programming in Lua"/>
  </r>
  <r>
    <s v="W:\Livres\Informatique\Langages\Lua\Programming in Lua (3rd ed, 2013) - [Lua.org] - Roberto Ierusalimschy.pdf"/>
    <x v="5"/>
    <x v="115"/>
    <s v="Roberto Ierusalimschy"/>
    <s v=""/>
    <s v=".pdf"/>
    <n v="73"/>
    <n v="21"/>
    <s v="Programming in Lua"/>
  </r>
  <r>
    <s v="W:\Livres\Informatique\Langages\Objective-C\Become an Xcoder, Start Programming the Mac Using Objective-C (2006) - [CocoaLab] - Bert Altenburg, Alex Clarke and Philippe Mougin.pdf"/>
    <x v="17"/>
    <x v="116"/>
    <s v="Bert Altenburg, Alex Clarke and Philippe Mougin"/>
    <s v=""/>
    <s v=".pdf"/>
    <n v="135"/>
    <n v="47"/>
    <s v="Become an Xcoder, Start Programming the Mac Using Objective-C"/>
  </r>
  <r>
    <s v="W:\Livres\Informatique\Langages\Objective-C\Learn Objective-C on the Mac (2009) - [Apress] - Mark Dalrymple, Scott Knaster.pdf"/>
    <x v="4"/>
    <x v="42"/>
    <s v="Mark Dalrymple, Scott Knaster"/>
    <s v=""/>
    <s v=".pdf"/>
    <n v="82"/>
    <n v="29"/>
    <s v="Learn Objective-C on the Mac"/>
  </r>
  <r>
    <s v="W:\Livres\Informatique\Langages\Objective-C\Learning Objective-C 2.0 (2011) - [Addison-Wesley] - Robert Clair.pdf"/>
    <x v="0"/>
    <x v="19"/>
    <s v="Robert Clair"/>
    <s v=""/>
    <s v=".pdf"/>
    <n v="69"/>
    <n v="12"/>
    <s v="Learning Objective-C 2.0"/>
  </r>
  <r>
    <s v="W:\Livres\Informatique\Langages\Objective-C\Objective C-2.0 Runtime Reference (2007) - [Apple].pdf"/>
    <x v="9"/>
    <x v="117"/>
    <s v="?"/>
    <s v=""/>
    <s v=".pdf"/>
    <n v="54"/>
    <n v="1"/>
    <s v="Objective C-2.0 Runtime Reference"/>
  </r>
  <r>
    <s v="W:\Livres\Informatique\Langages\Objective-C\Objective-C Developer Reference (2011) - [Wiley] - Jiva DeVoe.pdf"/>
    <x v="0"/>
    <x v="22"/>
    <s v="Jiva DeVoe"/>
    <s v=""/>
    <s v=".pdf"/>
    <n v="65"/>
    <n v="10"/>
    <s v="Objective-C Developer Reference"/>
  </r>
  <r>
    <s v="W:\Livres\Informatique\Langages\Objective-C\Objective-C for Absolute Beginners (2010) - [Apress] - Gary Benett, Mitch Fischer, Brad Lees.pdf"/>
    <x v="14"/>
    <x v="42"/>
    <s v="Gary Benett, Mitch Fischer, Brad Lees"/>
    <s v=""/>
    <s v=".pdf"/>
    <n v="96"/>
    <n v="37"/>
    <s v="Objective-C for Absolute Beginners"/>
  </r>
  <r>
    <s v="W:\Livres\Informatique\Langages\Objective-C\Objective-C Fundamentals (2011) - [Manning] - Fairbairn, Fahrenkrug, Ruffenach.pdf"/>
    <x v="0"/>
    <x v="0"/>
    <s v="Fairbairn, Fahrenkrug, Ruffenach"/>
    <s v=""/>
    <s v=".pdf"/>
    <n v="82"/>
    <n v="32"/>
    <s v="Objective-C Fundamentals"/>
  </r>
  <r>
    <s v="W:\Livres\Informatique\Langages\Objective-C\Objective-C Phrasebook (2011) - [Pearson] - David Chisnall.pdf"/>
    <x v="0"/>
    <x v="7"/>
    <s v="David Chisnall"/>
    <s v=""/>
    <s v=".pdf"/>
    <n v="62"/>
    <n v="14"/>
    <s v="Objective-C Phrasebook"/>
  </r>
  <r>
    <s v="W:\Livres\Informatique\Langages\Objective-C\Objective-C Visual QuickStart Guide (2010) - [Peachpit Press] - Steven Holzner.pdf"/>
    <x v="14"/>
    <x v="118"/>
    <s v="Steven Holzner"/>
    <s v=""/>
    <s v=".pdf"/>
    <n v="82"/>
    <n v="14"/>
    <s v="Objective-C Visual QuickStart Guide"/>
  </r>
  <r>
    <s v="W:\Livres\Informatique\Langages\Objective-C\Object-Oriented Programming with Objective-C (2007) - [Apple].pdf"/>
    <x v="9"/>
    <x v="117"/>
    <s v="?"/>
    <s v=""/>
    <s v=".pdf"/>
    <n v="65"/>
    <n v="1"/>
    <s v="Object-Oriented Programming with Objective-C"/>
  </r>
  <r>
    <s v="W:\Livres\Informatique\Langages\Objective-C\Pro Objective-C Design Patterns for iOS (2010) - [Apress] - Carlo Chung.pdf"/>
    <x v="14"/>
    <x v="42"/>
    <s v="Carlo Chung"/>
    <s v=""/>
    <s v=".pdf"/>
    <n v="75"/>
    <n v="11"/>
    <s v="Pro Objective-C Design Patterns for iOS"/>
  </r>
  <r>
    <s v="W:\Livres\Informatique\Langages\Objective-C\Programming in Objective-C 2.0 (2nd ed, 2008) {Dump} - [Addison-Wesley] - Stephen G. Kochan.pdf"/>
    <x v="13"/>
    <x v="19"/>
    <s v="Stephen G. Kochan"/>
    <s v="Dump"/>
    <s v=".pdf"/>
    <n v="95"/>
    <n v="17"/>
    <s v="Programming in Objective-C 2.0"/>
  </r>
  <r>
    <s v="W:\Livres\Informatique\Langages\Objective-C\Programming in Objective-C 2.0 (3rd ed, 2011) - [Addison-Wesley] - Stephen G. Kochan.pdf"/>
    <x v="0"/>
    <x v="19"/>
    <s v="Stephen G. Kochan"/>
    <s v=""/>
    <s v=".pdf"/>
    <n v="88"/>
    <n v="17"/>
    <s v="Programming in Objective-C 2.0"/>
  </r>
  <r>
    <s v="W:\Livres\Informatique\Langages\Objective-C\Programming in Objective-C 2.0 (2009) - [Addison-Wesley] - Stephen G. Kochan.pdf"/>
    <x v="4"/>
    <x v="19"/>
    <s v="Stephen G. Kochan"/>
    <s v=""/>
    <s v=".pdf"/>
    <n v="80"/>
    <n v="17"/>
    <s v="Programming in Objective-C 2.0"/>
  </r>
  <r>
    <s v="W:\Livres\Informatique\Langages\Objective-C\The Objective C 2.0 Programming language (2008) - [Apple].pdf"/>
    <x v="13"/>
    <x v="117"/>
    <s v="?"/>
    <s v=""/>
    <s v=".pdf"/>
    <n v="61"/>
    <n v="1"/>
    <s v="The Objective C 2.0 Programming language"/>
  </r>
  <r>
    <s v="W:\Livres\Informatique\Langages\Objective-C\The Objective-C Programming Language (2010) - [Apple].pdf"/>
    <x v="14"/>
    <x v="117"/>
    <s v="?"/>
    <s v=""/>
    <s v=".pdf"/>
    <n v="57"/>
    <n v="1"/>
    <s v="The Objective-C Programming Language"/>
  </r>
  <r>
    <s v="W:\Livres\Informatique\Langages\Pascal\Microsoft Pascal Compiler, Lib Reference Manual (1985) {Scan} - [Microsoft].pdf"/>
    <x v="19"/>
    <x v="48"/>
    <s v="?"/>
    <s v="Scan"/>
    <s v=".pdf"/>
    <n v="79"/>
    <n v="1"/>
    <s v="Microsoft Pascal Compiler, Lib Reference Manual"/>
  </r>
  <r>
    <s v="W:\Livres\Informatique\Langages\Pascal\Microsoft Pascal Compiler, Quick Reference Guide (1985) {Scan} - [Microsoft].pdf"/>
    <x v="19"/>
    <x v="48"/>
    <s v="?"/>
    <s v="Scan"/>
    <s v=".pdf"/>
    <n v="80"/>
    <n v="1"/>
    <s v="Microsoft Pascal Compiler, Quick Reference Guide"/>
  </r>
  <r>
    <s v="W:\Livres\Informatique\Langages\Pascal\Microsoft Pascal Compiler, Reference Manual (1985) {Scan} - [Microsoft].pdf"/>
    <x v="19"/>
    <x v="48"/>
    <s v="?"/>
    <s v="Scan"/>
    <s v=".pdf"/>
    <n v="75"/>
    <n v="1"/>
    <s v="Microsoft Pascal Compiler, Reference Manual"/>
  </r>
  <r>
    <s v="W:\Livres\Informatique\Langages\Pascal\Microsoft Pascal Compiler, User Guide (1985) {Scan} - [Microsoft].pdf"/>
    <x v="19"/>
    <x v="48"/>
    <s v="?"/>
    <s v="Scan"/>
    <s v=".pdf"/>
    <n v="69"/>
    <n v="1"/>
    <s v="Microsoft Pascal Compiler, User Guide"/>
  </r>
  <r>
    <s v="W:\Livres\Informatique\Langages\Perl\Advanced Perl Programming (1997) {Dump} - [O'Reilly] - Sriram Srinivasan.pdf"/>
    <x v="30"/>
    <x v="4"/>
    <s v="Sriram Srinivasan"/>
    <s v="Dump"/>
    <s v=".pdf"/>
    <n v="76"/>
    <n v="17"/>
    <s v="Advanced Perl Programming"/>
  </r>
  <r>
    <s v="W:\Livres\Informatique\Langages\Perl\Beginning Perl (2012) - [Wrox] - Curtis Poe.pdf"/>
    <x v="8"/>
    <x v="97"/>
    <s v="Curtis Poe"/>
    <s v=""/>
    <s v=".pdf"/>
    <n v="47"/>
    <n v="10"/>
    <s v="Beginning Perl"/>
  </r>
  <r>
    <s v="W:\Livres\Informatique\Langages\Perl\Effective Perl Programming, Write Better More Idiomatic Perl (2nd ed, 2010) - [Addison-Wesley] - Joseph Hall, Joshua McAdams, Brian Foy.pdf"/>
    <x v="14"/>
    <x v="19"/>
    <s v="Joseph Hall, Joshua McAdams, Brian Foy"/>
    <s v=""/>
    <s v=".pdf"/>
    <n v="139"/>
    <n v="38"/>
    <s v="Effective Perl Programming, Write Better More Idiomatic Perl"/>
  </r>
  <r>
    <s v="W:\Livres\Informatique\Langages\Perl\Graphics Programming with Perl (2002) - [Manning] - Martien Verbruggen.pdf"/>
    <x v="16"/>
    <x v="0"/>
    <s v="Martien Verbruggen"/>
    <s v=""/>
    <s v=".pdf"/>
    <n v="74"/>
    <n v="18"/>
    <s v="Graphics Programming with Perl"/>
  </r>
  <r>
    <s v="W:\Livres\Informatique\Langages\Perl\Intermediate Perl (2nd ed, 2012) - [O'Reilly] - Randal L. Schwartz, Brian Doy, Tom Phoenix.pdf"/>
    <x v="8"/>
    <x v="4"/>
    <s v="Randal L. Schwartz, Brian Doy, Tom Phoenix"/>
    <s v=""/>
    <s v=".pdf"/>
    <n v="94"/>
    <n v="42"/>
    <s v="Intermediate Perl"/>
  </r>
  <r>
    <s v="W:\Livres\Informatique\Langages\Perl\Learning Perl (5th ed, 2008) - [O'Reilly] - Randal L. Schwartz, Tom Phoenix, Brian Foy.pdf"/>
    <x v="13"/>
    <x v="4"/>
    <s v="Randal L. Schwartz, Tom Phoenix, Brian Foy"/>
    <s v=""/>
    <s v=".pdf"/>
    <n v="90"/>
    <n v="42"/>
    <s v="Learning Perl"/>
  </r>
  <r>
    <s v="W:\Livres\Informatique\Langages\Perl\Learning Perl (6th ed, 2011) - [O'Reilly] - Randal L. Schwartz, Brian Foy, Tom Phoenix.pdf"/>
    <x v="0"/>
    <x v="4"/>
    <s v="Randal L. Schwartz, Brian Foy, Tom Phoenix"/>
    <s v=""/>
    <s v=".pdf"/>
    <n v="90"/>
    <n v="42"/>
    <s v="Learning Perl"/>
  </r>
  <r>
    <s v="W:\Livres\Informatique\Langages\Perl\Mastering Perl (2nd ed, 2014) - [O'Reilly] - Brian D Foy.pdf"/>
    <x v="6"/>
    <x v="4"/>
    <s v="Brian D Foy"/>
    <s v=""/>
    <s v=".pdf"/>
    <n v="60"/>
    <n v="11"/>
    <s v="Mastering Perl"/>
  </r>
  <r>
    <s v="W:\Livres\Informatique\Langages\Perl\Mastering Perl (2007) - [O'Reilly] - Brian D Foy.pdf"/>
    <x v="9"/>
    <x v="4"/>
    <s v="Brian D Foy"/>
    <s v=""/>
    <s v=".pdf"/>
    <n v="52"/>
    <n v="11"/>
    <s v="Mastering Perl"/>
  </r>
  <r>
    <s v="W:\Livres\Informatique\Langages\Perl\Modern Perl (2010) - [Onyx Neon Press] - Chromatic.pdf"/>
    <x v="14"/>
    <x v="119"/>
    <s v="Chromatic"/>
    <s v=""/>
    <s v=".pdf"/>
    <n v="54"/>
    <n v="9"/>
    <s v="Modern Perl"/>
  </r>
  <r>
    <s v="W:\Livres\Informatique\Langages\Perl\Object Oriented Perl (2000) - [Manning] - Damian Conway.pdf"/>
    <x v="7"/>
    <x v="0"/>
    <s v="Damian Conway"/>
    <s v=""/>
    <s v=".pdf"/>
    <n v="59"/>
    <n v="13"/>
    <s v="Object Oriented Perl"/>
  </r>
  <r>
    <s v="W:\Livres\Informatique\Langages\Perl\Perl in a Nutshell (1998) {Dump} - [O'Reilly] - Ellen Siever, Stephen Spainhour, Nathan Patwardhan.pdf"/>
    <x v="12"/>
    <x v="4"/>
    <s v="Ellen Siever, Stephen Spainhour, Nathan Patwardhan"/>
    <s v="Dump"/>
    <s v=".pdf"/>
    <n v="102"/>
    <n v="50"/>
    <s v="Perl in a Nutshell"/>
  </r>
  <r>
    <s v="W:\Livres\Informatique\Langages\Perl\Perl Pocket Reference (5th ed, 2011) - [O'Reilly] - Johan Vromans.pdf"/>
    <x v="0"/>
    <x v="4"/>
    <s v="Johan Vromans"/>
    <s v=""/>
    <s v=".pdf"/>
    <n v="69"/>
    <n v="13"/>
    <s v="Perl Pocket Reference"/>
  </r>
  <r>
    <s v="W:\Livres\Informatique\Langages\Perl\Perl Power!, The Comprehensive Guide (2006) - [Thomson] - John P. Flynt.pdf"/>
    <x v="17"/>
    <x v="31"/>
    <s v="John P. Flynt"/>
    <s v=""/>
    <s v=".pdf"/>
    <n v="75"/>
    <n v="13"/>
    <s v="Perl Power!, The Comprehensive Guide"/>
  </r>
  <r>
    <s v="W:\Livres\Informatique\Langages\Perl\Perl Quick Reference Guide 5.004 - Johan Vromans.pdf"/>
    <x v="10"/>
    <x v="8"/>
    <s v="Johan Vromans"/>
    <s v=""/>
    <s v=".pdf"/>
    <n v="52"/>
    <n v="13"/>
    <s v="Perl Quick Reference Guide 5.004"/>
  </r>
  <r>
    <s v="W:\Livres\Informatique\Langages\Perl\Perl, The Complete Reference (2nd ed, 2001) - [McGraw-Hill] - Martin C. Brown.pdf"/>
    <x v="15"/>
    <x v="41"/>
    <s v="Martin C. Brown"/>
    <s v=""/>
    <s v=".pdf"/>
    <n v="81"/>
    <n v="15"/>
    <s v="Perl, The Complete Reference"/>
  </r>
  <r>
    <s v="W:\Livres\Informatique\Langages\Perl\Professional Perl Programming (2001) - [Wrox] - Peter Wainwright.pdf"/>
    <x v="15"/>
    <x v="97"/>
    <s v="Peter Wainwright"/>
    <s v=""/>
    <s v=".pdf"/>
    <n v="68"/>
    <n v="16"/>
    <s v="Professional Perl Programming"/>
  </r>
  <r>
    <s v="W:\Livres\Informatique\Langages\Perl\Programmation en Perl (2005) - [Digit Books] - Wall, Christiansen, Orwant.pdf"/>
    <x v="1"/>
    <x v="120"/>
    <s v="Wall, Christiansen, Orwant"/>
    <s v=""/>
    <s v=".pdf"/>
    <n v="77"/>
    <n v="26"/>
    <s v="Programmation en Perl"/>
  </r>
  <r>
    <s v="W:\Livres\Informatique\Langages\Perl\Programming Perl (2nd ed, 1996) {Dump} - [O'Reilly] - Larry Wall, Tom Christiansen, Randal L. Schwartz.pdf"/>
    <x v="22"/>
    <x v="4"/>
    <s v="Larry Wall, Tom Christiansen, Randal L. Schwartz"/>
    <s v="Dump"/>
    <s v=".pdf"/>
    <n v="106"/>
    <n v="48"/>
    <s v="Programming Perl"/>
  </r>
  <r>
    <s v="W:\Livres\Informatique\Langages\Perl\Programming Perl (4th ed, 2012) - [O'Reilly] - Tom Christiansen, Brian D Foy, Larry Wall.pdf"/>
    <x v="8"/>
    <x v="4"/>
    <s v="Tom Christiansen, Brian D Foy, Larry Wall"/>
    <s v=""/>
    <s v=".pdf"/>
    <n v="92"/>
    <n v="41"/>
    <s v="Programming Perl"/>
  </r>
  <r>
    <s v="W:\Livres\Informatique\Langages\Perl\Teach yourself Perl in 24 hours (3rd ed, 2005) {Dump} - [Sams] - Clinton Pierce.pdf"/>
    <x v="1"/>
    <x v="52"/>
    <s v="Clinton Pierce"/>
    <s v="Dump"/>
    <s v=".pdf"/>
    <n v="83"/>
    <n v="14"/>
    <s v="Teach yourself Perl in 24 hours"/>
  </r>
  <r>
    <s v="W:\Livres\Informatique\Langages\PL-1\A PL-1 primer (1965) - [IBM].pdf"/>
    <x v="42"/>
    <x v="121"/>
    <s v="?"/>
    <s v=""/>
    <s v=".pdf"/>
    <n v="32"/>
    <n v="1"/>
    <s v="A PL-1 primer"/>
  </r>
  <r>
    <s v="W:\Livres\Informatique\Langages\PL-1\Enterprise PL-1 for z-OS Programming Guide (2013) - [IBM].pdf"/>
    <x v="5"/>
    <x v="121"/>
    <s v="?"/>
    <s v=""/>
    <s v=".pdf"/>
    <n v="61"/>
    <n v="1"/>
    <s v="Enterprise PL-1 for z-OS Programming Guide"/>
  </r>
  <r>
    <s v="W:\Livres\Informatique\Langages\PL-1\PL-1 Language Programmer's Guide (1982) - [Digital Research].pdf"/>
    <x v="41"/>
    <x v="122"/>
    <s v="?"/>
    <s v=""/>
    <s v=".pdf"/>
    <n v="64"/>
    <n v="1"/>
    <s v="PL-1 Language Programmer's Guide"/>
  </r>
  <r>
    <s v="W:\Livres\Informatique\Langages\PL-1\PL-1 MVS &amp; VM Language Reference (2nd ed, 1995) - [IBM].pdf"/>
    <x v="28"/>
    <x v="121"/>
    <s v="?"/>
    <s v=""/>
    <s v=".pdf"/>
    <n v="59"/>
    <n v="1"/>
    <s v="PL-1 MVS &amp; VM Language Reference"/>
  </r>
  <r>
    <s v="W:\Livres\Informatique\Langages\PL-1\PL-1 Presentation (2003) {Presentation} - Sanjay Sinha.pdf"/>
    <x v="25"/>
    <x v="8"/>
    <s v="Sanjay Sinha"/>
    <s v="Presentation"/>
    <s v=".pdf"/>
    <n v="58"/>
    <n v="12"/>
    <s v="PL-1 Presentation"/>
  </r>
  <r>
    <s v="W:\Livres\Informatique\Langages\PL-1\The PL-1 Programming Language (1978) {Research Report} - [New York University] - Paul Abrahams.pdf"/>
    <x v="43"/>
    <x v="123"/>
    <s v="Paul Abrahams"/>
    <s v="Research Report"/>
    <s v=".pdf"/>
    <n v="98"/>
    <n v="13"/>
    <s v="The PL-1 Programming Language"/>
  </r>
  <r>
    <s v="W:\Livres\Informatique\Langages\Python\A Primer on Scientific Programming with Python (2nd ed, 2011) - [Springer] - Hans Petter Langtangen.pdf"/>
    <x v="0"/>
    <x v="9"/>
    <s v="Hans Petter Langtangen"/>
    <s v=""/>
    <s v=".pdf"/>
    <n v="103"/>
    <n v="22"/>
    <s v="A Primer on Scientific Programming with Python"/>
  </r>
  <r>
    <s v="W:\Livres\Informatique\Langages\Python\Advanced Python Programming (2000) {Presentation} - David M. Beazley.pdf"/>
    <x v="7"/>
    <x v="8"/>
    <s v="David M. Beazley"/>
    <s v="Presentation"/>
    <s v=".pdf"/>
    <n v="72"/>
    <n v="16"/>
    <s v="Advanced Python Programming"/>
  </r>
  <r>
    <s v="W:\Livres\Informatique\Langages\Python\Apprendre à coder en Python grâce à Minecraft dès 10 ans (2016) - [Eyrolles] - Martin O'Hanlon, David Whale.pdf"/>
    <x v="2"/>
    <x v="6"/>
    <s v="Martin O'Hanlon, David Whale"/>
    <s v=""/>
    <s v=".pdf"/>
    <n v="111"/>
    <n v="28"/>
    <s v="Apprendre à coder en Python grâce à Minecraft dès 10 ans"/>
  </r>
  <r>
    <s v="W:\Livres\Informatique\Langages\Python\Apprendre à coder en Python grâce à Minecraft dès 10 ans (2016), Fichiers de travail.rar"/>
    <x v="2"/>
    <x v="8"/>
    <s v="?"/>
    <s v=""/>
    <s v=".rar"/>
    <n v="88"/>
    <n v="1"/>
    <s v="Apprendre à coder en Python grâce à Minecraft dès 10 ans"/>
  </r>
  <r>
    <s v="W:\Livres\Informatique\Langages\Python\Apprendre à programmer avec Phyton (2008) - Gérard Swinnen.pdf"/>
    <x v="13"/>
    <x v="8"/>
    <s v="Gérard Swinnen"/>
    <s v=""/>
    <s v=".pdf"/>
    <n v="62"/>
    <n v="14"/>
    <s v="Apprendre à programmer avec Phyton"/>
  </r>
  <r>
    <s v="W:\Livres\Informatique\Langages\Python\Apprendre à programmer avec Python (2009) - [Eyrolles] - Gérard Swinnen.pdf"/>
    <x v="4"/>
    <x v="6"/>
    <s v="Gérard Swinnen"/>
    <s v=""/>
    <s v=".pdf"/>
    <n v="75"/>
    <n v="14"/>
    <s v="Apprendre à programmer avec Python"/>
  </r>
  <r>
    <s v="W:\Livres\Informatique\Langages\Python\Apprendre à programmer avec Python 3 (2012) - Gérard Swinnen.pdf"/>
    <x v="8"/>
    <x v="8"/>
    <s v="Gérard Swinnen"/>
    <s v=""/>
    <s v=".pdf"/>
    <n v="64"/>
    <n v="14"/>
    <s v="Apprendre à programmer avec Python 3"/>
  </r>
  <r>
    <s v="W:\Livres\Informatique\Langages\Python\Apprendre Python! - [Le site du zéro] - Prolixe.pdf"/>
    <x v="10"/>
    <x v="49"/>
    <s v="Prolixe"/>
    <s v=""/>
    <s v=".pdf"/>
    <n v="51"/>
    <n v="7"/>
    <s v="Apprendre Python!"/>
  </r>
  <r>
    <s v="W:\Livres\Informatique\Langages\Python\Beginning Python (2005) - [Wiley] - Norton et al.pdf"/>
    <x v="1"/>
    <x v="22"/>
    <s v="Norton et al"/>
    <s v=""/>
    <s v=".pdf"/>
    <n v="52"/>
    <n v="12"/>
    <s v="Beginning Python"/>
  </r>
  <r>
    <s v="W:\Livres\Informatique\Langages\Python\Cahier d'activités Python pour les kids (2016) - [Eyrolles] - David Weinachter.pdf"/>
    <x v="2"/>
    <x v="6"/>
    <s v="David Weinachter"/>
    <s v=""/>
    <s v=".pdf"/>
    <n v="82"/>
    <n v="16"/>
    <s v="Cahier d'activités Python pour les kids"/>
  </r>
  <r>
    <s v="W:\Livres\Informatique\Langages\Python\Core Python Applications Programming (3rd ed, 2012) - [Prentice Hall] - Wesley J. Chun.pdf"/>
    <x v="8"/>
    <x v="20"/>
    <s v="Wesley J. Chun"/>
    <s v=""/>
    <s v=".pdf"/>
    <n v="90"/>
    <n v="14"/>
    <s v="Core Python Applications Programming"/>
  </r>
  <r>
    <s v="W:\Livres\Informatique\Langages\Python\Data Science from Scratch, First Principles with Python (2015) - [O'Reilly] - Joel Grus.epub"/>
    <x v="3"/>
    <x v="4"/>
    <s v="Joel Grus"/>
    <s v=""/>
    <s v=".epub"/>
    <n v="92"/>
    <n v="9"/>
    <s v="Data Science from Scratch, First Principles with Python"/>
  </r>
  <r>
    <s v="W:\Livres\Informatique\Langages\Python\Data Science from Scratch, First Principles with Python (2015) - [O'Reilly] - Joel Grus.pdf"/>
    <x v="3"/>
    <x v="4"/>
    <s v="Joel Grus"/>
    <s v=""/>
    <s v=".pdf"/>
    <n v="91"/>
    <n v="9"/>
    <s v="Data Science from Scratch, First Principles with Python"/>
  </r>
  <r>
    <s v="W:\Livres\Informatique\Langages\Python\Data Science, Fondamentaux et études de cas, Machine learning avec Python et R (2015) - [Eyrolles] - Éric Biernat, Michel Lutz.epub"/>
    <x v="3"/>
    <x v="6"/>
    <s v="Éric Biernat, Michel Lutz"/>
    <s v=""/>
    <s v=".epub"/>
    <n v="131"/>
    <n v="25"/>
    <s v="Data Science, Fondamentaux et études de cas, Machine learning avec Python et R"/>
  </r>
  <r>
    <s v="W:\Livres\Informatique\Langages\Python\Data Science, Fondamentaux et études de cas, Machine learning avec Python et R (2015) - [Eyrolles] - Éric Biernat, Michel Lutz.pdf"/>
    <x v="3"/>
    <x v="6"/>
    <s v="Éric Biernat, Michel Lutz"/>
    <s v=""/>
    <s v=".pdf"/>
    <n v="130"/>
    <n v="25"/>
    <s v="Data Science, Fondamentaux et études de cas, Machine learning avec Python et R"/>
  </r>
  <r>
    <s v="W:\Livres\Informatique\Langages\Python\Data Wrangling with Python (2016) - [O'Reilly] - Jacqueline Kazil, Katharine Jarmul.pdf"/>
    <x v="2"/>
    <x v="4"/>
    <s v="Jacqueline Kazil, Katharine Jarmul"/>
    <s v=""/>
    <s v=".pdf"/>
    <n v="87"/>
    <n v="34"/>
    <s v="Data Wrangling with Python"/>
  </r>
  <r>
    <s v="W:\Livres\Informatique\Langages\Python\Doing Math with Python (2015) - [No Starch] - Amit Saha.pdf"/>
    <x v="3"/>
    <x v="15"/>
    <s v="Amit Saha"/>
    <s v=""/>
    <s v=".pdf"/>
    <n v="59"/>
    <n v="9"/>
    <s v="Doing Math with Python"/>
  </r>
  <r>
    <s v="W:\Livres\Informatique\Langages\Python\Expert Python Programming (2nd ed, 2016) - [Packt] - Michał Jaworski, Tarek Ziadé.epub"/>
    <x v="2"/>
    <x v="14"/>
    <s v="Michał Jaworski, Tarek Ziadé"/>
    <s v=""/>
    <s v=".epub"/>
    <n v="86"/>
    <n v="28"/>
    <s v="Expert Python Programming"/>
  </r>
  <r>
    <s v="W:\Livres\Informatique\Langages\Python\Expert Python Programming (2nd ed, 2016) - [Packt] - Michał Jaworski, Tarek Ziadé.pdf"/>
    <x v="2"/>
    <x v="14"/>
    <s v="Michał Jaworski, Tarek Ziadé"/>
    <s v=""/>
    <s v=".pdf"/>
    <n v="85"/>
    <n v="28"/>
    <s v="Expert Python Programming"/>
  </r>
  <r>
    <s v="W:\Livres\Informatique\Langages\Python\Fluent Python (2015) {Early release 7} - [O'Reilly] - Luciano Ramalho.epub"/>
    <x v="3"/>
    <x v="4"/>
    <s v="Luciano Ramalho"/>
    <s v="Early release 7"/>
    <s v=".epub"/>
    <n v="74"/>
    <n v="15"/>
    <s v="Fluent Python"/>
  </r>
  <r>
    <s v="W:\Livres\Informatique\Langages\Python\Fluent Python (2015) {Early release 7} - [O'Reilly] - Luciano Ramalho.pdf"/>
    <x v="3"/>
    <x v="4"/>
    <s v="Luciano Ramalho"/>
    <s v="Early release 7"/>
    <s v=".pdf"/>
    <n v="73"/>
    <n v="15"/>
    <s v="Fluent Python"/>
  </r>
  <r>
    <s v="W:\Livres\Informatique\Langages\Python\Foundations of Python Network Programming (2nd ed, 2010) - [Apress] - Brandon Rhodes, John Goerzen.pdf"/>
    <x v="14"/>
    <x v="42"/>
    <s v="Brandon Rhodes, John Goerzen"/>
    <s v=""/>
    <s v=".pdf"/>
    <n v="102"/>
    <n v="28"/>
    <s v="Foundations of Python Network Programming"/>
  </r>
  <r>
    <s v="W:\Livres\Informatique\Langages\Python\Fundamentals of Python from First Programs through Data Structures (2010) - [Course Technology, Cengage Learning] - Kenneth A. Lambert.pdf"/>
    <x v="14"/>
    <x v="124"/>
    <s v="Kenneth A. Lambert"/>
    <s v=""/>
    <s v=".pdf"/>
    <n v="138"/>
    <n v="18"/>
    <s v="Fundamentals of Python from First Programs through Data Structures"/>
  </r>
  <r>
    <s v="W:\Livres\Informatique\Langages\Python\Head First Python (2011) - [O'Reilly] - Paul Barry.pdf"/>
    <x v="0"/>
    <x v="4"/>
    <s v="Paul Barry"/>
    <s v=""/>
    <s v=".pdf"/>
    <n v="54"/>
    <n v="10"/>
    <s v="Head First Python"/>
  </r>
  <r>
    <s v="W:\Livres\Informatique\Langages\Python\Hello Python (2012) - [Manning] - Anthony Briggs.pdf"/>
    <x v="8"/>
    <x v="0"/>
    <s v="Anthony Briggs"/>
    <s v=""/>
    <s v=".pdf"/>
    <n v="52"/>
    <n v="14"/>
    <s v="Hello Python"/>
  </r>
  <r>
    <s v="W:\Livres\Informatique\Langages\Python\Initiation à la programmation avec Python et C++ (2009) - [Pearson] - Yves Bailly.pdf"/>
    <x v="4"/>
    <x v="7"/>
    <s v="Yves Bailly"/>
    <s v=""/>
    <s v=".pdf"/>
    <n v="85"/>
    <n v="11"/>
    <s v="Initiation à la programmation avec Python et C++"/>
  </r>
  <r>
    <s v="W:\Livres\Informatique\Langages\Python\Introducing Python, Modern Computing in Simple Packages (2015) - [O'Reilly] - Bill Lubanovic.epub"/>
    <x v="3"/>
    <x v="4"/>
    <s v="Bill Lubanovic"/>
    <s v=""/>
    <s v=".epub"/>
    <n v="97"/>
    <n v="14"/>
    <s v="Introducing Python, Modern Computing in Simple Packages"/>
  </r>
  <r>
    <s v="W:\Livres\Informatique\Langages\Python\Introduction to Programming Using Python (2013) - [Pearson] - Y. Daniel Liang.pdf"/>
    <x v="5"/>
    <x v="7"/>
    <s v="Y. Daniel Liang"/>
    <s v=""/>
    <s v=".pdf"/>
    <n v="81"/>
    <n v="15"/>
    <s v="Introduction to Programming Using Python"/>
  </r>
  <r>
    <s v="W:\Livres\Informatique\Langages\Python\Learn Python in a Day (2015) - [Acodemy].pdf"/>
    <x v="3"/>
    <x v="105"/>
    <s v="?"/>
    <s v=""/>
    <s v=".pdf"/>
    <n v="44"/>
    <n v="1"/>
    <s v="Learn Python in a Day"/>
  </r>
  <r>
    <s v="W:\Livres\Informatique\Langages\Python\Learning Python (4th ed, 2009) - [O'Reilly] - Mark Lutz.pdf"/>
    <x v="4"/>
    <x v="4"/>
    <s v="Mark Lutz"/>
    <s v=""/>
    <s v=".pdf"/>
    <n v="59"/>
    <n v="9"/>
    <s v="Learning Python"/>
  </r>
  <r>
    <s v="W:\Livres\Informatique\Langages\Python\Learning Python (5th ed, 2013) - [O'Reilly] - Mark Lutz.pdf"/>
    <x v="5"/>
    <x v="4"/>
    <s v="Mark Lutz"/>
    <s v=""/>
    <s v=".pdf"/>
    <n v="59"/>
    <n v="9"/>
    <s v="Learning Python"/>
  </r>
  <r>
    <s v="W:\Livres\Informatique\Langages\Python\Learning Python Design Patterns (2nd ed, 2016) - [Packt] - Chetan Giridhar.epub"/>
    <x v="2"/>
    <x v="14"/>
    <s v="Chetan Giridhar"/>
    <s v=""/>
    <s v=".epub"/>
    <n v="79"/>
    <n v="15"/>
    <s v="Learning Python Design Patterns"/>
  </r>
  <r>
    <s v="W:\Livres\Informatique\Langages\Python\Learning Python Design Patterns (2nd ed, 2016) - [Packt] - Chetan Giridhar.pdf"/>
    <x v="2"/>
    <x v="14"/>
    <s v="Chetan Giridhar"/>
    <s v=""/>
    <s v=".pdf"/>
    <n v="78"/>
    <n v="15"/>
    <s v="Learning Python Design Patterns"/>
  </r>
  <r>
    <s v="W:\Livres\Informatique\Langages\Python\Making Use of Python (2002) - [Wiley] - Rashi Gupta.pdf"/>
    <x v="16"/>
    <x v="22"/>
    <s v="Rashi Gupta"/>
    <s v=""/>
    <s v=".pdf"/>
    <n v="55"/>
    <n v="11"/>
    <s v="Making Use of Python"/>
  </r>
  <r>
    <s v="W:\Livres\Informatique\Langages\Python\Mastering Python Data Visualization (2015) - [Packt] - Kirthi Raman.pdf"/>
    <x v="3"/>
    <x v="14"/>
    <s v="Kirthi Raman"/>
    <s v=""/>
    <s v=".pdf"/>
    <n v="71"/>
    <n v="12"/>
    <s v="Mastering Python Data Visualization"/>
  </r>
  <r>
    <s v="W:\Livres\Informatique\Langages\Python\Mastering Python Design Patterns (2015) - [Packt] - Sakis Kasampalis.epub"/>
    <x v="3"/>
    <x v="14"/>
    <s v="Sakis Kasampalis"/>
    <s v=""/>
    <s v=".epub"/>
    <n v="73"/>
    <n v="16"/>
    <s v="Mastering Python Design Patterns"/>
  </r>
  <r>
    <s v="W:\Livres\Informatique\Langages\Python\Mastering Python Scientific Computing (2015) - [Packt] - Hemant Kumar Mehta.epub"/>
    <x v="3"/>
    <x v="14"/>
    <s v="Hemant Kumar Mehta"/>
    <s v=""/>
    <s v=".epub"/>
    <n v="80"/>
    <n v="18"/>
    <s v="Mastering Python Scientific Computing"/>
  </r>
  <r>
    <s v="W:\Livres\Informatique\Langages\Python\Numerical Methods in Engineering with Python (2nd ed, 2010) - [Cambridge] - Jaan Kiusalaas.pdf"/>
    <x v="14"/>
    <x v="17"/>
    <s v="Jaan Kiusalaas"/>
    <s v=""/>
    <s v=".pdf"/>
    <n v="94"/>
    <n v="14"/>
    <s v="Numerical Methods in Engineering with Python"/>
  </r>
  <r>
    <s v="W:\Livres\Informatique\Langages\Python\Pro Android Python with SL4A (2011) - [Apress] - Paul Ferrill.pdf"/>
    <x v="0"/>
    <x v="42"/>
    <s v="Paul Ferrill"/>
    <s v=""/>
    <s v=".pdf"/>
    <n v="65"/>
    <n v="12"/>
    <s v="Pro Android Python with SL4A"/>
  </r>
  <r>
    <s v="W:\Livres\Informatique\Langages\Python\Pro Python (2010) - [Apress] - Marty Alchin.pdf"/>
    <x v="14"/>
    <x v="42"/>
    <s v="Marty Alchin"/>
    <s v=""/>
    <s v=".pdf"/>
    <n v="47"/>
    <n v="12"/>
    <s v="Pro Python"/>
  </r>
  <r>
    <s v="W:\Livres\Informatique\Langages\Python\Pro Python System Administration (2010) - [Apress] - Rytis Sileika.pdf"/>
    <x v="14"/>
    <x v="42"/>
    <s v="Rytis Sileika"/>
    <s v=""/>
    <s v=".pdf"/>
    <n v="70"/>
    <n v="13"/>
    <s v="Pro Python System Administration"/>
  </r>
  <r>
    <s v="W:\Livres\Informatique\Langages\Python\Programmation en Python pour les mathématiques (2è ed, 2016) - [Dunod] - Casamou-Boucau, Chauvin, Connan.pdf"/>
    <x v="2"/>
    <x v="2"/>
    <s v="Casamou-Boucau, Chauvin, Connan"/>
    <s v=""/>
    <s v=".pdf"/>
    <n v="108"/>
    <n v="31"/>
    <s v="Programmation en Python pour les mathématiques"/>
  </r>
  <r>
    <s v="W:\Livres\Informatique\Langages\Python\Programmation Python, Conception et optimisation (2è ed, 2009) - [Eyrolles] - Tarek Ziadé.pdf"/>
    <x v="4"/>
    <x v="6"/>
    <s v="Tarek Ziadé"/>
    <s v=""/>
    <s v=".pdf"/>
    <n v="93"/>
    <n v="11"/>
    <s v="Programmation Python, Conception et optimisation"/>
  </r>
  <r>
    <s v="W:\Livres\Informatique\Langages\Python\Programming Computer Vision with Python (2012) - [O'Reilly] - Jan Erik Solem.pdf"/>
    <x v="8"/>
    <x v="4"/>
    <s v="Jan Erik Solem"/>
    <s v=""/>
    <s v=".pdf"/>
    <n v="80"/>
    <n v="14"/>
    <s v="Programming Computer Vision with Python"/>
  </r>
  <r>
    <s v="W:\Livres\Informatique\Langages\Python\Programming in Python 3 (2nd ed, 2009) - [Addison-Wesley] - Mark Summerfield.pdf"/>
    <x v="4"/>
    <x v="19"/>
    <s v="Mark Summerfield"/>
    <s v=""/>
    <s v=".pdf"/>
    <n v="80"/>
    <n v="16"/>
    <s v="Programming in Python 3"/>
  </r>
  <r>
    <s v="W:\Livres\Informatique\Langages\Python\Programming in Python 3 (2nd ed, 2010) - [Addison-Wesley] - Mark Summerfield.pdf"/>
    <x v="14"/>
    <x v="19"/>
    <s v="Mark Summerfield"/>
    <s v=""/>
    <s v=".pdf"/>
    <n v="80"/>
    <n v="16"/>
    <s v="Programming in Python 3"/>
  </r>
  <r>
    <s v="W:\Livres\Informatique\Langages\Python\Programming Python (4th ed, 2010) - [O'Reilly] - Mark Lutz.pdf"/>
    <x v="14"/>
    <x v="4"/>
    <s v="Mark Lutz"/>
    <s v=""/>
    <s v=".pdf"/>
    <n v="62"/>
    <n v="9"/>
    <s v="Programming Python"/>
  </r>
  <r>
    <s v="W:\Livres\Informatique\Langages\Python\Python &amp; XML (2002) {Dump} - [O'Reilly] - Christopher A. Jones.pdf"/>
    <x v="16"/>
    <x v="4"/>
    <s v="Christopher A. Jones"/>
    <s v="Dump"/>
    <s v=".pdf"/>
    <n v="66"/>
    <n v="20"/>
    <s v="Python &amp; XML"/>
  </r>
  <r>
    <s v="W:\Livres\Informatique\Langages\Python\Python 2.6 Graphics Cookbook (2010) - [Packt] - Mike Ohlson de Fine.pdf"/>
    <x v="14"/>
    <x v="14"/>
    <s v="Mike Ohlson de Fine"/>
    <s v=""/>
    <s v=".pdf"/>
    <n v="71"/>
    <n v="19"/>
    <s v="Python 2.6 Graphics Cookbook"/>
  </r>
  <r>
    <s v="W:\Livres\Informatique\Langages\Python\Python 3 Web Development, Beginner's Guide (2011) - [Packt] - Michel Anders.pdf"/>
    <x v="0"/>
    <x v="14"/>
    <s v="Michel Anders"/>
    <s v=""/>
    <s v=".pdf"/>
    <n v="79"/>
    <n v="13"/>
    <s v="Python 3 Web Development, Beginner's Guide"/>
  </r>
  <r>
    <s v="W:\Livres\Informatique\Langages\Python\Python 3.4.3 Library Reference (2015) - [Python Software Foundation] - Guido van Rossum.pdf"/>
    <x v="3"/>
    <x v="125"/>
    <s v="Guido van Rossum"/>
    <s v=""/>
    <s v=".pdf"/>
    <n v="91"/>
    <n v="16"/>
    <s v="Python 3.4.3 Library Reference"/>
  </r>
  <r>
    <s v="W:\Livres\Informatique\Langages\Python\Python 3.5.2 Library Reference (2016) - [Python Software Foundation] - Guido van Rossum.pdf"/>
    <x v="2"/>
    <x v="125"/>
    <s v="Guido van Rossum"/>
    <s v=""/>
    <s v=".pdf"/>
    <n v="91"/>
    <n v="16"/>
    <s v="Python 3.5.2 Library Reference"/>
  </r>
  <r>
    <s v="W:\Livres\Informatique\Langages\Python\Python Algorithms, Mastering Basic Algorithms in the Python Language (2010) - [Apress] - Magnus Lie Hetland.pdf"/>
    <x v="14"/>
    <x v="42"/>
    <s v="Magnus Lie Hetland"/>
    <s v=""/>
    <s v=".pdf"/>
    <n v="111"/>
    <n v="18"/>
    <s v="Python Algorithms, Mastering Basic Algorithms in the Python Language"/>
  </r>
  <r>
    <s v="W:\Livres\Informatique\Langages\Python\Python Essential Reference (3rd ed, 2006) - [Sams] - Beazley.pdf"/>
    <x v="17"/>
    <x v="52"/>
    <s v="Beazley"/>
    <s v=""/>
    <s v=".pdf"/>
    <n v="64"/>
    <n v="7"/>
    <s v="Python Essential Reference"/>
  </r>
  <r>
    <s v="W:\Livres\Informatique\Langages\Python\Python for Data Analysis (2013) - Wes McKinney.pdf"/>
    <x v="5"/>
    <x v="8"/>
    <s v="Wes McKinney"/>
    <s v=""/>
    <s v=".pdf"/>
    <n v="50"/>
    <n v="12"/>
    <s v="Python for Data Analysis"/>
  </r>
  <r>
    <s v="W:\Livres\Informatique\Langages\Python\Python Multimedia, Beginner's Guide (2010) - Ninad Sathaye.pdf"/>
    <x v="14"/>
    <x v="8"/>
    <s v="Ninad Sathaye"/>
    <s v=""/>
    <s v=".pdf"/>
    <n v="62"/>
    <n v="13"/>
    <s v="Python Multimedia, Beginner's Guide"/>
  </r>
  <r>
    <s v="W:\Livres\Informatique\Langages\Python\Python pour les kids (2015) - [Eyrolles] - Jason Briggs.pdf"/>
    <x v="3"/>
    <x v="6"/>
    <s v="Jason Briggs"/>
    <s v=""/>
    <s v=".pdf"/>
    <n v="59"/>
    <n v="12"/>
    <s v="Python pour les kids"/>
  </r>
  <r>
    <s v="W:\Livres\Informatique\Langages\Python\Python Programming Fundamentals (2011) - [Springer] - Kent D. Lee.pdf"/>
    <x v="0"/>
    <x v="9"/>
    <s v="Kent D. Lee"/>
    <s v=""/>
    <s v=".pdf"/>
    <n v="69"/>
    <n v="11"/>
    <s v="Python Programming Fundamentals"/>
  </r>
  <r>
    <s v="W:\Livres\Informatique\Langages\Python\Python Testing Cookbook (2011) - [Packt] - Greg L. Turnquist.pdf"/>
    <x v="0"/>
    <x v="14"/>
    <s v="Greg L. Turnquist"/>
    <s v=""/>
    <s v=".pdf"/>
    <n v="64"/>
    <n v="17"/>
    <s v="Python Testing Cookbook"/>
  </r>
  <r>
    <s v="W:\Livres\Informatique\Langages\Python\Spring Python 1.1 (2010) - [Packt] - Greg Lee Turnquist.pdf"/>
    <x v="14"/>
    <x v="14"/>
    <s v="Greg Lee Turnquist"/>
    <s v=""/>
    <s v=".pdf"/>
    <n v="59"/>
    <n v="18"/>
    <s v="Spring Python 1.1"/>
  </r>
  <r>
    <s v="W:\Livres\Informatique\Langages\Python\Starting Out with Python (2nd ed, 2012) - [Addison-Wesley] - Tony Gaddis.pdf"/>
    <x v="8"/>
    <x v="19"/>
    <s v="Tony Gaddis"/>
    <s v=""/>
    <s v=".pdf"/>
    <n v="76"/>
    <n v="11"/>
    <s v="Starting Out with Python"/>
  </r>
  <r>
    <s v="W:\Livres\Informatique\Langages\Python\The Python Standard Library by Example (2011) - [Addison-Wesley] - Doug Hellmann.pdf"/>
    <x v="0"/>
    <x v="19"/>
    <s v="Doug Hellmann"/>
    <s v=""/>
    <s v=".pdf"/>
    <n v="84"/>
    <n v="13"/>
    <s v="The Python Standard Library by Example"/>
  </r>
  <r>
    <s v="W:\Livres\Informatique\Langages\Python\The Quick Python Book 2nd Ed. (2nd ed, 2010) - [Manning] - Vernon L. Ceder.pdf"/>
    <x v="14"/>
    <x v="0"/>
    <s v="Vernon L. Ceder"/>
    <s v=""/>
    <s v=".pdf"/>
    <n v="78"/>
    <n v="15"/>
    <s v="The Quick Python Book 2nd Ed."/>
  </r>
  <r>
    <s v="W:\Livres\Informatique\Langages\Python\Think Python (2012) - [O'Reilly] - Allen B. Downey.pdf"/>
    <x v="8"/>
    <x v="4"/>
    <s v="Allen B. Downey"/>
    <s v=""/>
    <s v=".pdf"/>
    <n v="54"/>
    <n v="15"/>
    <s v="Think Python"/>
  </r>
  <r>
    <s v="W:\Livres\Informatique\Langages\Python\Think Python, How to Think Like a Computer Scientist (3rd ed, 2008) - [Green Tea] - Downey.pdf"/>
    <x v="13"/>
    <x v="126"/>
    <s v="Downey"/>
    <s v=""/>
    <s v=".pdf"/>
    <n v="94"/>
    <n v="6"/>
    <s v="Think Python, How to Think Like a Computer Scientist"/>
  </r>
  <r>
    <s v="W:\Livres\Informatique\Langages\Python\Tkinter 8.4 reference, A GUI for Python (2010) - John W. Shipman.pdf"/>
    <x v="14"/>
    <x v="8"/>
    <s v="John W. Shipman"/>
    <s v=""/>
    <s v=".pdf"/>
    <n v="68"/>
    <n v="15"/>
    <s v="Tkinter 8.4 reference, A GUI for Python"/>
  </r>
  <r>
    <s v="W:\Livres\Informatique\Langages\Python\Violent Python, A Cookbook for Hackers, Forensic Analysts, Penetration Testers and Security Engineers (2013) - [Syngress] - TJ. O'Connor.pdf"/>
    <x v="5"/>
    <x v="127"/>
    <s v="TJ. O'Connor"/>
    <s v=""/>
    <s v=".pdf"/>
    <n v="140"/>
    <n v="12"/>
    <s v="Violent Python, A Cookbook for Hackers, Forensic Analysts, Penetration Testers and Security Engineers"/>
  </r>
  <r>
    <s v="W:\Livres\Informatique\Langages\Python\wxPython 2.8 Application Development Cookbook (2010) - [Packt] - Cody Precord.pdf"/>
    <x v="14"/>
    <x v="14"/>
    <s v="Cody Precord"/>
    <s v=""/>
    <s v=".pdf"/>
    <n v="81"/>
    <n v="12"/>
    <s v="wxPython 2.8 Application Development Cookbook"/>
  </r>
  <r>
    <s v="W:\Livres\Informatique\Langages\R\Beginning R, An Introduction to Statistical Programming (2nd ed, 2015) - [Apress] - Wiley, Pace.pdf"/>
    <x v="3"/>
    <x v="42"/>
    <s v="Wiley, Pace"/>
    <s v=""/>
    <s v=".pdf"/>
    <n v="99"/>
    <n v="11"/>
    <s v="Beginning R, An Introduction to Statistical Programming"/>
  </r>
  <r>
    <s v="W:\Livres\Informatique\Langages\R\Data Mining Algorithms Explained Using R (2015) - [Wiley] - Paweł Cichosz.pdf"/>
    <x v="3"/>
    <x v="22"/>
    <s v="Paweł Cichosz"/>
    <s v=""/>
    <s v=".pdf"/>
    <n v="77"/>
    <n v="13"/>
    <s v="Data Mining Algorithms Explained Using R"/>
  </r>
  <r>
    <s v="W:\Livres\Informatique\Langages\R\Foundations of Statistical Algorithms (2014) - [CRC Press] - Claus Weihs, Olaf Mersmann, Uwe Ligges.pdf"/>
    <x v="6"/>
    <x v="21"/>
    <s v="Claus Weihs, Olaf Mersmann, Uwe Ligges"/>
    <s v=""/>
    <s v=".pdf"/>
    <n v="103"/>
    <n v="38"/>
    <s v="Foundations of Statistical Algorithms"/>
  </r>
  <r>
    <s v="W:\Livres\Informatique\Langages\R\Learn R Programming in a Day (2015) - [Acodemy].pdf"/>
    <x v="3"/>
    <x v="105"/>
    <s v="?"/>
    <s v=""/>
    <s v=".pdf"/>
    <n v="51"/>
    <n v="1"/>
    <s v="Learn R Programming in a Day"/>
  </r>
  <r>
    <s v="W:\Livres\Informatique\Langages\R\R for Dummies (2012) - [Wiley] - Andrie de Vries, Joris Meys.pdf"/>
    <x v="8"/>
    <x v="22"/>
    <s v="Andrie de Vries, Joris Meys"/>
    <s v=""/>
    <s v=".pdf"/>
    <n v="64"/>
    <n v="27"/>
    <s v="R for Dummies"/>
  </r>
  <r>
    <s v="W:\Livres\Informatique\Langages\R\Régression avec R (2011) - [Springer] - Pierre-André Cornillon, Eric Matzner-Løber.pdf"/>
    <x v="0"/>
    <x v="9"/>
    <s v="Pierre-André Cornillon, Eric Matzner-Løber"/>
    <s v=""/>
    <s v=".pdf"/>
    <n v="86"/>
    <n v="42"/>
    <s v="Régression avec R"/>
  </r>
  <r>
    <s v="W:\Livres\Informatique\Langages\R\Régression avec R, Correction exercices.pdf"/>
    <x v="10"/>
    <x v="8"/>
    <s v="?"/>
    <s v=""/>
    <s v=".pdf"/>
    <n v="43"/>
    <n v="1"/>
    <s v="Régression avec R, Correction exercices"/>
  </r>
  <r>
    <s v="W:\Livres\Informatique\Langages\Ruby, Rails\Agile Web Development with Rails (2nd ed, 2007) - [The Pragmatic Programmers] - Dave Thomas, David Heinemeier Hansson.pdf"/>
    <x v="9"/>
    <x v="44"/>
    <s v="Dave Thomas, David Heinemeier Hansson"/>
    <s v=""/>
    <s v=".pdf"/>
    <n v="121"/>
    <n v="37"/>
    <s v="Agile Web Development with Rails"/>
  </r>
  <r>
    <s v="W:\Livres\Informatique\Langages\Ruby, Rails\Beginning Rails 3 (2010) - [Apress] - Cloves Carneiro Jr, Rida Al Barazi.pdf"/>
    <x v="14"/>
    <x v="42"/>
    <s v="Cloves Carneiro Jr, Rida Al Barazi"/>
    <s v=""/>
    <s v=".pdf"/>
    <n v="76"/>
    <n v="34"/>
    <s v="Beginning Rails 3"/>
  </r>
  <r>
    <s v="W:\Livres\Informatique\Langages\Ruby, Rails\Best of Ruby Quiz (2006) - [The Pragmatic Programmers] - James Edward Gray II.pdf"/>
    <x v="17"/>
    <x v="44"/>
    <s v="James Edward Gray II"/>
    <s v=""/>
    <s v=".pdf"/>
    <n v="81"/>
    <n v="20"/>
    <s v="Best of Ruby Quiz"/>
  </r>
  <r>
    <s v="W:\Livres\Informatique\Langages\Ruby, Rails\Cloning Internet Applications with Ruby (2010) - [Packt] - Chang Sau Sheong.pdf"/>
    <x v="14"/>
    <x v="14"/>
    <s v="Chang Sau Sheong"/>
    <s v=""/>
    <s v=".pdf"/>
    <n v="79"/>
    <n v="16"/>
    <s v="Cloning Internet Applications with Ruby"/>
  </r>
  <r>
    <s v="W:\Livres\Informatique\Langages\Ruby, Rails\Continuous Testing with Ruby Rails and JavaScript (2011) - [The Pragmatic Programmers] - Ben Rady, Rod Coffin.pdf"/>
    <x v="0"/>
    <x v="44"/>
    <s v="Ben Rady, Rod Coffin"/>
    <s v=""/>
    <s v=".pdf"/>
    <n v="113"/>
    <n v="20"/>
    <s v="Continuous Testing with Ruby Rails and JavaScript"/>
  </r>
  <r>
    <s v="W:\Livres\Informatique\Langages\Ruby, Rails\Deploying Rails Applications (2008) - [The Pragmatic Programmers] - Ezra Zygmuntowicz, Bruce A. Tate, Clinton Begin.pdf"/>
    <x v="13"/>
    <x v="44"/>
    <s v="Ezra Zygmuntowicz, Bruce A. Tate, Clinton Begin"/>
    <s v=""/>
    <s v=".pdf"/>
    <n v="119"/>
    <n v="47"/>
    <s v="Deploying Rails Applications"/>
  </r>
  <r>
    <s v="W:\Livres\Informatique\Langages\Ruby, Rails\Design Patterns in Ruby (2008) - [Addison-Wesley] - Russ Olsen.pdf"/>
    <x v="13"/>
    <x v="19"/>
    <s v="Russ Olsen"/>
    <s v=""/>
    <s v=".pdf"/>
    <n v="66"/>
    <n v="10"/>
    <s v="Design Patterns in Ruby"/>
  </r>
  <r>
    <s v="W:\Livres\Informatique\Langages\Ruby, Rails\Eloquent Ruby (2011) - [Addison-Wesley] - Russ Olsen.pdf"/>
    <x v="0"/>
    <x v="19"/>
    <s v="Russ Olsen"/>
    <s v=""/>
    <s v=".pdf"/>
    <n v="56"/>
    <n v="10"/>
    <s v="Eloquent Ruby"/>
  </r>
  <r>
    <s v="W:\Livres\Informatique\Langages\Ruby, Rails\Enterprise Integration with Ruby (2006) - [The Pragmatic Programmers] - Maik Schmidt.pdf"/>
    <x v="17"/>
    <x v="44"/>
    <s v="Maik Schmidt"/>
    <s v=""/>
    <s v=".pdf"/>
    <n v="88"/>
    <n v="12"/>
    <s v="Enterprise Integration with Ruby"/>
  </r>
  <r>
    <s v="W:\Livres\Informatique\Langages\Ruby, Rails\Enterprise Recipes with Ruby and Rails (2008) - [The Pragmatic Programmers] - Maik Schmidt.pdf"/>
    <x v="13"/>
    <x v="44"/>
    <s v="Maik Schmidt"/>
    <s v=""/>
    <s v=".pdf"/>
    <n v="94"/>
    <n v="12"/>
    <s v="Enterprise Recipes with Ruby and Rails"/>
  </r>
  <r>
    <s v="W:\Livres\Informatique\Langages\Ruby, Rails\Everyday Scripting with Ruby (2006) - [The Pragmatic Programmers] - Brian Marick.pdf"/>
    <x v="17"/>
    <x v="44"/>
    <s v="Brian Marick"/>
    <s v=""/>
    <s v=".pdf"/>
    <n v="84"/>
    <n v="12"/>
    <s v="Everyday Scripting with Ruby"/>
  </r>
  <r>
    <s v="W:\Livres\Informatique\Langages\Ruby, Rails\From Java to Ruby (2006) - [The Pragmatic Programmers] - Bruce Tate.pdf"/>
    <x v="17"/>
    <x v="44"/>
    <s v="Bruce Tate"/>
    <s v=""/>
    <s v=".pdf"/>
    <n v="71"/>
    <n v="10"/>
    <s v="From Java to Ruby"/>
  </r>
  <r>
    <s v="W:\Livres\Informatique\Langages\Ruby, Rails\FXRuby, Create Lean and Mean GUIs with Ruby (2008) - [The Pragmatic Programmers] - Lyle Johnson.pdf"/>
    <x v="13"/>
    <x v="44"/>
    <s v="Lyle Johnson"/>
    <s v=""/>
    <s v=".pdf"/>
    <n v="99"/>
    <n v="12"/>
    <s v="FXRuby, Create Lean and Mean GUIs with Ruby"/>
  </r>
  <r>
    <s v="W:\Livres\Informatique\Langages\Ruby, Rails\I Love Ruby (2015) - Karthikeyan.pdf"/>
    <x v="3"/>
    <x v="8"/>
    <s v="Karthikeyan"/>
    <s v=""/>
    <s v=".pdf"/>
    <n v="36"/>
    <n v="11"/>
    <s v="I Love Ruby"/>
  </r>
  <r>
    <s v="W:\Livres\Informatique\Langages\Ruby, Rails\JRuby on Rails (2007) - [Apress] - Ola Bini.pdf"/>
    <x v="9"/>
    <x v="42"/>
    <s v="Ola Bini"/>
    <s v=""/>
    <s v=".pdf"/>
    <n v="47"/>
    <n v="8"/>
    <s v="JRuby on Rails"/>
  </r>
  <r>
    <s v="W:\Livres\Informatique\Langages\Ruby, Rails\Les design patterns en Ruby (2008) - [Pearson] - Russ Olsen.pdf"/>
    <x v="13"/>
    <x v="7"/>
    <s v="Russ Olsen"/>
    <s v=""/>
    <s v=".pdf"/>
    <n v="63"/>
    <n v="10"/>
    <s v="Les design patterns en Ruby"/>
  </r>
  <r>
    <s v="W:\Livres\Informatique\Langages\Ruby, Rails\MacRuby, The Definitive Guide (2011) - [O'Reilly] - Matt Aimonetti.pdf"/>
    <x v="0"/>
    <x v="4"/>
    <s v="Matt Aimonetti"/>
    <s v=""/>
    <s v=".pdf"/>
    <n v="70"/>
    <n v="14"/>
    <s v="MacRuby, The Definitive Guide"/>
  </r>
  <r>
    <s v="W:\Livres\Informatique\Langages\Ruby, Rails\Metaprogramming Ruby (2010) - [The Pragmatic Programmers] - Paolo Perrotta.pdf"/>
    <x v="14"/>
    <x v="44"/>
    <s v="Paolo Perrotta"/>
    <s v=""/>
    <s v=".pdf"/>
    <n v="78"/>
    <n v="14"/>
    <s v="Metaprogramming Ruby"/>
  </r>
  <r>
    <s v="W:\Livres\Informatique\Langages\Ruby, Rails\Practical Ruby Projects (2008) - [Apress] - Topher Cyll.pdf"/>
    <x v="13"/>
    <x v="42"/>
    <s v="Topher Cyll"/>
    <s v=""/>
    <s v=".pdf"/>
    <n v="59"/>
    <n v="11"/>
    <s v="Practical Ruby Projects"/>
  </r>
  <r>
    <s v="W:\Livres\Informatique\Langages\Ruby, Rails\Pro Active Record, Databases with Ruby and Rails (2007) - [Apress] - Kevin Marshall, Chad Pytel, Jon Yurek.pdf"/>
    <x v="9"/>
    <x v="42"/>
    <s v="Kevin Marshall, Chad Pytel, Jon Yurek"/>
    <s v=""/>
    <s v=".pdf"/>
    <n v="110"/>
    <n v="37"/>
    <s v="Pro Active Record, Databases with Ruby and Rails"/>
  </r>
  <r>
    <s v="W:\Livres\Informatique\Langages\Ruby, Rails\Professional Ruby on Rails (2008) - [Wiley] - Noel Rappin.pdf"/>
    <x v="13"/>
    <x v="22"/>
    <s v="Noel Rappin"/>
    <s v=""/>
    <s v=".pdf"/>
    <n v="61"/>
    <n v="11"/>
    <s v="Professional Ruby on Rails"/>
  </r>
  <r>
    <s v="W:\Livres\Informatique\Langages\Ruby, Rails\Programming Ruby 1.9 (2010) - [The Pragmatic Programmers] - Dave Thomas.pdf"/>
    <x v="14"/>
    <x v="44"/>
    <s v="Dave Thomas"/>
    <s v=""/>
    <s v=".pdf"/>
    <n v="75"/>
    <n v="11"/>
    <s v="Programming Ruby 1.9"/>
  </r>
  <r>
    <s v="W:\Livres\Informatique\Langages\Ruby, Rails\Rails 3 in Action (2012) - [Manning] - Ryan Bigg, Yehuda Katz.pdf"/>
    <x v="8"/>
    <x v="0"/>
    <s v="Ryan Bigg, Yehuda Katz"/>
    <s v=""/>
    <s v=".pdf"/>
    <n v="65"/>
    <n v="22"/>
    <s v="Rails 3 in Action"/>
  </r>
  <r>
    <s v="W:\Livres\Informatique\Langages\Ruby, Rails\Rails Recipes (2006) - [The Pragmatic Programmers] - Chad Fowler.pdf"/>
    <x v="17"/>
    <x v="44"/>
    <s v="Chad Fowler"/>
    <s v=""/>
    <s v=".pdf"/>
    <n v="68"/>
    <n v="11"/>
    <s v="Rails Recipes"/>
  </r>
  <r>
    <s v="W:\Livres\Informatique\Langages\Ruby, Rails\Refactoring in Ruby (2010) - [Addison-Wesley] - Wake, Rutherford.pdf"/>
    <x v="14"/>
    <x v="19"/>
    <s v="Wake, Rutherford"/>
    <s v=""/>
    <s v=".pdf"/>
    <n v="68"/>
    <n v="16"/>
    <s v="Refactoring in Ruby"/>
  </r>
  <r>
    <s v="W:\Livres\Informatique\Langages\Ruby, Rails\Refactoring, Ruby Edition (2009) - [Addison-Wesley] - Jay Fields, Shane Harvie, Martin Fowler.pdf"/>
    <x v="4"/>
    <x v="19"/>
    <s v="Jay Fields, Shane Harvie, Martin Fowler"/>
    <s v=""/>
    <s v=".pdf"/>
    <n v="97"/>
    <n v="39"/>
    <s v="Refactoring, Ruby Edition"/>
  </r>
  <r>
    <s v="W:\Livres\Informatique\Langages\Ruby, Rails\Ruby Best Practices (2009) - [O'Reilly] - Gregory Brown.pdf"/>
    <x v="4"/>
    <x v="4"/>
    <s v="Gregory Brown"/>
    <s v=""/>
    <s v=".pdf"/>
    <n v="59"/>
    <n v="13"/>
    <s v="Ruby Best Practices"/>
  </r>
  <r>
    <s v="W:\Livres\Informatique\Langages\Ruby, Rails\Ruby for Rails (2006) - [Manning] - David Black.pdf"/>
    <x v="17"/>
    <x v="0"/>
    <s v="David Black"/>
    <s v=""/>
    <s v=".pdf"/>
    <n v="51"/>
    <n v="11"/>
    <s v="Ruby for Rails"/>
  </r>
  <r>
    <s v="W:\Livres\Informatique\Langages\Ruby, Rails\Ruby for System Administration (2007) - [Apress] - André Ben Hamou.pdf"/>
    <x v="9"/>
    <x v="42"/>
    <s v="André Ben Hamou"/>
    <s v=""/>
    <s v=".pdf"/>
    <n v="70"/>
    <n v="15"/>
    <s v="Ruby for System Administration"/>
  </r>
  <r>
    <s v="W:\Livres\Informatique\Langages\Ruby, Rails\Ruby on Rails 3 Tutorial (2011) - [Addison-Wesley] - Michael Hartl.pdf"/>
    <x v="0"/>
    <x v="19"/>
    <s v="Michael Hartl"/>
    <s v=""/>
    <s v=".pdf"/>
    <n v="70"/>
    <n v="13"/>
    <s v="Ruby on Rails 3 Tutorial"/>
  </r>
  <r>
    <s v="W:\Livres\Informatique\Langages\Ruby, Rails\Ruby on Rails 5.0 for Autodidacts, Learn Ruby 2.3 and Rails 5.0 (2016) - Stefan Wintermeyer.pdf"/>
    <x v="2"/>
    <x v="8"/>
    <s v="Stefan Wintermeyer"/>
    <s v=""/>
    <s v=".pdf"/>
    <n v="95"/>
    <n v="18"/>
    <s v="Ruby on Rails 5.0 for Autodidacts, Learn Ruby 2.3 and Rails 5.0"/>
  </r>
  <r>
    <s v="W:\Livres\Informatique\Langages\Ruby, Rails\Ruby Pocket Reference (2007) - [O'Reilly] - Michael Fitzgerald.pdf"/>
    <x v="9"/>
    <x v="4"/>
    <s v="Michael Fitzgerald"/>
    <s v=""/>
    <s v=".pdf"/>
    <n v="66"/>
    <n v="18"/>
    <s v="Ruby Pocket Reference"/>
  </r>
  <r>
    <s v="W:\Livres\Informatique\Langages\Ruby, Rails\Ruby Programming (2011) - [Cengage Learning] - Jerry Ford.pdf"/>
    <x v="0"/>
    <x v="51"/>
    <s v="Jerry Ford"/>
    <s v=""/>
    <s v=".pdf"/>
    <n v="61"/>
    <n v="10"/>
    <s v="Ruby Programming"/>
  </r>
  <r>
    <s v="W:\Livres\Informatique\Langages\Ruby, Rails\Sinatra up and Running (2012) - [O'Reilly] - Alan Harris and Konstantin Haase.pdf"/>
    <x v="8"/>
    <x v="4"/>
    <s v="Alan Harris and Konstantin Haase"/>
    <s v=""/>
    <s v=".pdf"/>
    <n v="81"/>
    <n v="32"/>
    <s v="Sinatra up and Running"/>
  </r>
  <r>
    <s v="W:\Livres\Informatique\Langages\Ruby, Rails\The Book of Ruby (2011) - [No Starch] - Huw Collingbourne.pdf"/>
    <x v="0"/>
    <x v="15"/>
    <s v="Huw Collingbourne"/>
    <s v=""/>
    <s v=".pdf"/>
    <n v="61"/>
    <n v="17"/>
    <s v="The Book of Ruby"/>
  </r>
  <r>
    <s v="W:\Livres\Informatique\Langages\Ruby, Rails\The Rails View, Creating a Beautiful and Maintainable User Experience (2012) - [The Pragmatic Programmers] - John Athayde, Bruce Williams.pdf"/>
    <x v="8"/>
    <x v="44"/>
    <s v="John Athayde, Bruce Williams"/>
    <s v=""/>
    <s v=".pdf"/>
    <n v="141"/>
    <n v="28"/>
    <s v="The Rails View, Creating a Beautiful and Maintainable User Experience"/>
  </r>
  <r>
    <s v="W:\Livres\Informatique\Langages\Ruby, Rails\The Rails Way (2008) - [Addison-Wesley] - Obie Fernandez.pdf"/>
    <x v="13"/>
    <x v="19"/>
    <s v="Obie Fernandez"/>
    <s v=""/>
    <s v=".pdf"/>
    <n v="60"/>
    <n v="14"/>
    <s v="The Rails Way"/>
  </r>
  <r>
    <s v="W:\Livres\Informatique\Langages\Ruby, Rails\The Well Grounded Rubyist (2009) - [Manning] - David Black.pdf"/>
    <x v="4"/>
    <x v="0"/>
    <s v="David Black"/>
    <s v=""/>
    <s v=".pdf"/>
    <n v="62"/>
    <n v="11"/>
    <s v="The Well Grounded Rubyist"/>
  </r>
  <r>
    <s v="W:\Livres\Informatique\Langages\Ruby, Rails\Using JRuby (2011) - [The Pragmatic Programmers] - Nutter, Sieger, Enebo, Bini, Dees.pdf"/>
    <x v="0"/>
    <x v="44"/>
    <s v="Nutter, Sieger, Enebo, Bini, Dees"/>
    <s v=""/>
    <s v=".pdf"/>
    <n v="88"/>
    <n v="33"/>
    <s v="Using JRuby"/>
  </r>
  <r>
    <s v="W:\Livres\Informatique\Langages\Scala\Beginning Scala (2nd ed, 2015) - [Apress] - Vishal Layka, David Pollak.pdf"/>
    <x v="3"/>
    <x v="42"/>
    <s v="Vishal Layka, David Pollak"/>
    <s v=""/>
    <s v=".pdf"/>
    <n v="74"/>
    <n v="26"/>
    <s v="Beginning Scala"/>
  </r>
  <r>
    <s v="W:\Livres\Informatique\Langages\Scala\Programming Scala (1st ed, 2009) - [O'Reilly] - Dean Wampler Alex Payne.pdf"/>
    <x v="4"/>
    <x v="4"/>
    <s v="Dean Wampler Alex Payne"/>
    <s v=""/>
    <s v=".pdf"/>
    <n v="75"/>
    <n v="23"/>
    <s v="Programming Scala"/>
  </r>
  <r>
    <s v="W:\Livres\Informatique\Langages\Scala\Programming Scala (2nd ed, 2014) - [O'Reilly] - Dean Wampler, Alex Payne.pdf"/>
    <x v="6"/>
    <x v="4"/>
    <s v="Dean Wampler, Alex Payne"/>
    <s v=""/>
    <s v=".pdf"/>
    <n v="76"/>
    <n v="24"/>
    <s v="Programming Scala"/>
  </r>
  <r>
    <s v="W:\Livres\Informatique\Langages\Scala\Scala Functional Programming Patterns (2015) - [Packt] - Atul S.Khot.pdf"/>
    <x v="3"/>
    <x v="14"/>
    <s v="Atul S.Khot"/>
    <s v=""/>
    <s v=".pdf"/>
    <n v="72"/>
    <n v="11"/>
    <s v="Scala Functional Programming Patterns"/>
  </r>
  <r>
    <s v="W:\Livres\Informatique\Langages\Scala\Scala High Performance Programming (2016) - [Packt] - Vincent Theron, Michael Diamant.pdf"/>
    <x v="2"/>
    <x v="14"/>
    <s v="Vincent Theron, Michael Diamant"/>
    <s v=""/>
    <s v=".pdf"/>
    <n v="89"/>
    <n v="31"/>
    <s v="Scala High Performance Programming"/>
  </r>
  <r>
    <s v="W:\Livres\Informatique\Langages\Scheme\An Introduction to Scheme and its Implementation (1997) {Webdump}.pdf"/>
    <x v="30"/>
    <x v="8"/>
    <s v="?"/>
    <s v="Webdump"/>
    <s v=".pdf"/>
    <n v="69"/>
    <n v="1"/>
    <s v="An Introduction to Scheme and its Implementation"/>
  </r>
  <r>
    <s v="W:\Livres\Informatique\Langages\Scheme\Concrete Abstractions, An Introduction to Computer Science Using Scheme (1999) - [Brroks-Cole] - Hailperin, Kaiser, Knight.pdf"/>
    <x v="11"/>
    <x v="128"/>
    <s v="Hailperin, Kaiser, Knight"/>
    <s v=""/>
    <s v=".pdf"/>
    <n v="126"/>
    <n v="25"/>
    <s v="Concrete Abstractions, An Introduction to Computer Science Using Scheme"/>
  </r>
  <r>
    <s v="W:\Livres\Informatique\Langages\Scheme\Programming in Scheme (1990) - [MIT Press] - Eisenberg, Abelson.djvu"/>
    <x v="23"/>
    <x v="32"/>
    <s v="Eisenberg, Abelson"/>
    <s v=""/>
    <s v=".djvu"/>
    <n v="68"/>
    <n v="18"/>
    <s v="Programming in Scheme"/>
  </r>
  <r>
    <s v="W:\Livres\Informatique\Langages\Scheme\Simply Scheme, Introducing Computer Science (2nd ed, 1999) {Dump} - [MIT Press] - Brian Harvey, Matthew Wright.pdf"/>
    <x v="11"/>
    <x v="32"/>
    <s v="Brian Harvey, Matthew Wright"/>
    <s v="Dump"/>
    <s v=".pdf"/>
    <n v="114"/>
    <n v="28"/>
    <s v="Simply Scheme, Introducing Computer Science"/>
  </r>
  <r>
    <s v="W:\Livres\Informatique\Langages\Scheme\Teach Yourself Scheme in Fixnum Days (2004) - Dorai Sitaram.pdf"/>
    <x v="26"/>
    <x v="8"/>
    <s v="Dorai Sitaram"/>
    <s v=""/>
    <s v=".pdf"/>
    <n v="63"/>
    <n v="13"/>
    <s v="Teach Yourself Scheme in Fixnum Days"/>
  </r>
  <r>
    <s v="W:\Livres\Informatique\Langages\Scheme\The Little Schemer (4th ed, 1996) {Scan} - Daniel P. Friedman, Matthias Felleisen.pdf"/>
    <x v="22"/>
    <x v="8"/>
    <s v="Daniel P. Friedman, Matthias Felleisen"/>
    <s v="Scan"/>
    <s v=".pdf"/>
    <n v="85"/>
    <n v="38"/>
    <s v="The Little Schemer"/>
  </r>
  <r>
    <s v="W:\Livres\Informatique\Langages\Scheme\The Seasoned Schemer (4th ed, 1995) {Scan} - Daniel P. Friedman, Matthias Felleisen.pdf"/>
    <x v="28"/>
    <x v="8"/>
    <s v="Daniel P. Friedman, Matthias Felleisen"/>
    <s v="Scan"/>
    <s v=".pdf"/>
    <n v="87"/>
    <n v="38"/>
    <s v="The Seasoned Schemer"/>
  </r>
  <r>
    <s v="W:\Livres\Informatique\Langages\Scratch\Cahier d'activités Scratch pour les kids, dès 8 ans (2015) - [Eyrolles] - Frédéric Pain.pdf"/>
    <x v="3"/>
    <x v="6"/>
    <s v="Frédéric Pain"/>
    <s v=""/>
    <s v=".pdf"/>
    <n v="91"/>
    <n v="13"/>
    <s v="Cahier d'activités Scratch pour les kids, dès 8 ans"/>
  </r>
  <r>
    <s v="W:\Livres\Informatique\Langages\Scratch\Coding for Kids, Scratch - [Magbook].pdf"/>
    <x v="10"/>
    <x v="46"/>
    <s v="?"/>
    <s v=""/>
    <s v=".pdf"/>
    <n v="40"/>
    <n v="1"/>
    <s v="Coding for Kids, Scratch"/>
  </r>
  <r>
    <s v="W:\Livres\Informatique\Langages\Scratch\Le grand livre de Scratch (2016) - [Eyrolles] - Majed Marji.pdf"/>
    <x v="2"/>
    <x v="6"/>
    <s v="Majed Marji"/>
    <s v=""/>
    <s v=".pdf"/>
    <n v="63"/>
    <n v="11"/>
    <s v="Le grand livre de Scratch"/>
  </r>
  <r>
    <s v="W:\Livres\Informatique\Langages\Scratch\Learn to Program with Scratch (2014) - [No Starch] - Majed Marji.pdf"/>
    <x v="6"/>
    <x v="15"/>
    <s v="Majed Marji"/>
    <s v=""/>
    <s v=".pdf"/>
    <n v="68"/>
    <n v="11"/>
    <s v="Learn to Program with Scratch"/>
  </r>
  <r>
    <s v="W:\Livres\Informatique\Langages\Scratch\Scratch 2.0 Beginner's Guide (2nd ed, 2014) - [Packt] - Michael Badger.pdf"/>
    <x v="6"/>
    <x v="14"/>
    <s v="Michael Badger"/>
    <s v=""/>
    <s v=".pdf"/>
    <n v="74"/>
    <n v="14"/>
    <s v="Scratch 2.0 Beginner's Guide"/>
  </r>
  <r>
    <s v="W:\Livres\Informatique\Langages\Scratch\ScratchJr pour les kids (2016) - [Eyrolles] - Marina Umaschi Bers, Mitchel Resnik.pdf"/>
    <x v="2"/>
    <x v="6"/>
    <s v="Marina Umaschi Bers, Mitchel Resnik"/>
    <s v=""/>
    <s v=".pdf"/>
    <n v="85"/>
    <n v="35"/>
    <s v="ScratchJr pour les kids"/>
  </r>
  <r>
    <s v="W:\Livres\Informatique\Langages\Visual Basic\A programmer's introduction to VB.Net (2001) - [Sams] - Craig Utley.pdf"/>
    <x v="15"/>
    <x v="52"/>
    <s v="Craig Utley"/>
    <s v=""/>
    <s v=".pdf"/>
    <n v="71"/>
    <n v="11"/>
    <s v="A programmer's introduction to VB.Net"/>
  </r>
  <r>
    <s v="W:\Livres\Informatique\Langages\Visual Basic\Beginning Object Oriented Programming with VB 2005, From Novice to Professional (2006) - [Apress] - Daniel R. Clark.pdf"/>
    <x v="17"/>
    <x v="42"/>
    <s v="Daniel R. Clark"/>
    <s v=""/>
    <s v=".pdf"/>
    <n v="119"/>
    <n v="15"/>
    <s v="Beginning Object Oriented Programming with VB 2005, From Novice to Professional"/>
  </r>
  <r>
    <s v="W:\Livres\Informatique\Langages\Visual Basic\Beginning Visual Basic 2005 (2006) - [Wiley] - Thearon Willis, Bryan Newsome.pdf"/>
    <x v="17"/>
    <x v="22"/>
    <s v="Thearon Willis, Bryan Newsome"/>
    <s v=""/>
    <s v=".pdf"/>
    <n v="80"/>
    <n v="29"/>
    <s v="Beginning Visual Basic 2005"/>
  </r>
  <r>
    <s v="W:\Livres\Informatique\Langages\Visual Basic\Beginning Visual Basic 2010 (2010) - [Wiley] - Thearon Willis, Bryan Newsome.pdf"/>
    <x v="14"/>
    <x v="22"/>
    <s v="Thearon Willis, Bryan Newsome"/>
    <s v=""/>
    <s v=".pdf"/>
    <n v="80"/>
    <n v="29"/>
    <s v="Beginning Visual Basic 2010"/>
  </r>
  <r>
    <s v="W:\Livres\Informatique\Langages\Visual Basic\Data Entry and Validation with C Sharp and VB .Net Windows Forms (2003) {Dump} - [Apress] - Nick Symmonds.pdf"/>
    <x v="25"/>
    <x v="42"/>
    <s v="Nick Symmonds"/>
    <s v="Dump"/>
    <s v=".pdf"/>
    <n v="109"/>
    <n v="13"/>
    <s v="Data Entry and Validation with C Sharp and VB .Net Windows Forms"/>
  </r>
  <r>
    <s v="W:\Livres\Informatique\Langages\Visual Basic\Découvrir et maîtriser Visual Basic 6 (2002) - [Loze-Dion] - Carole Lamontagne.pdf"/>
    <x v="16"/>
    <x v="129"/>
    <s v="Carole Lamontagne"/>
    <s v=""/>
    <s v=".pdf"/>
    <n v="82"/>
    <n v="17"/>
    <s v="Découvrir et maîtriser Visual Basic 6"/>
  </r>
  <r>
    <s v="W:\Livres\Informatique\Langages\Visual Basic\Mastering Visual Basic .Net (2002) - [Sybex] - Evangelos Petroutsos.pdf"/>
    <x v="16"/>
    <x v="91"/>
    <s v="Evangelos Petroutsos"/>
    <s v=""/>
    <s v=".pdf"/>
    <n v="71"/>
    <n v="20"/>
    <s v="Mastering Visual Basic .Net"/>
  </r>
  <r>
    <s v="W:\Livres\Informatique\Langages\Visual Basic\Microsoft Excel VBA Programming for the Absolute Beginner (2002) - [Premier Press] - Duane Birnbaum.pdf"/>
    <x v="16"/>
    <x v="130"/>
    <s v="Duane Birnbaum"/>
    <s v=""/>
    <s v=".pdf"/>
    <n v="103"/>
    <n v="14"/>
    <s v="Microsoft Excel VBA Programming for the Absolute Beginner"/>
  </r>
  <r>
    <s v="W:\Livres\Informatique\Langages\Visual Basic\Microsoft Visual Basic 2005 Express Edition, Build a Program Now (2006) - [Microsoft Press].pdf"/>
    <x v="17"/>
    <x v="13"/>
    <s v="?"/>
    <s v=""/>
    <s v=".pdf"/>
    <n v="95"/>
    <n v="1"/>
    <s v="Microsoft Visual Basic 2005 Express Edition, Build a Program Now"/>
  </r>
  <r>
    <s v="W:\Livres\Informatique\Langages\Visual Basic\MSCD Visual Basic 6 Exams 70-175 and 70-176 (1999) - [New Riders] - Hawhee et al.pdf"/>
    <x v="11"/>
    <x v="69"/>
    <s v="Hawhee et al"/>
    <s v=""/>
    <s v=".pdf"/>
    <n v="84"/>
    <n v="12"/>
    <s v="MSCD Visual Basic 6 Exams 70-175 and 70-176"/>
  </r>
  <r>
    <s v="W:\Livres\Informatique\Langages\Visual Basic\Network programming .Net with C Sharp and VB.Net (2004) - [Elsevier] - Fiach Reid.pdf"/>
    <x v="26"/>
    <x v="1"/>
    <s v="Fiach Reid"/>
    <s v=""/>
    <s v=".pdf"/>
    <n v="85"/>
    <n v="10"/>
    <s v="Network programming .Net with C Sharp and VB.Net"/>
  </r>
  <r>
    <s v="W:\Livres\Informatique\Langages\Visual Basic\OOP with Microsoft Visual Basic .Net and Microsoft Visual C Sharp Step by Step (2002) {Dump} - [Microsoft Press] - Robin A. Reynolds-Haertle.pdf"/>
    <x v="16"/>
    <x v="13"/>
    <s v="Robin A. Reynolds-Haertle"/>
    <s v="Dump"/>
    <s v=".pdf"/>
    <n v="144"/>
    <n v="25"/>
    <s v="OOP with Microsoft Visual Basic .Net and Microsoft Visual C Sharp Step by Step"/>
  </r>
  <r>
    <s v="W:\Livres\Informatique\Langages\Visual Basic\Pro VB 2008 and the .Net 3.5 Platform (2008) - [Apress] - Andrew Troelsen.pdf"/>
    <x v="13"/>
    <x v="42"/>
    <s v="Andrew Troelsen"/>
    <s v=""/>
    <s v=".pdf"/>
    <n v="77"/>
    <n v="15"/>
    <s v="Pro VB 2008 and the .Net 3.5 Platform"/>
  </r>
  <r>
    <s v="W:\Livres\Informatique\Langages\Visual Basic\Professional VB 2005 (2006) - [Wiley] - Evjen et al.pdf"/>
    <x v="17"/>
    <x v="22"/>
    <s v="Evjen et al"/>
    <s v=""/>
    <s v=".pdf"/>
    <n v="55"/>
    <n v="11"/>
    <s v="Professional VB 2005"/>
  </r>
  <r>
    <s v="W:\Livres\Informatique\Langages\Visual Basic\Professional Visual Basic 2012 and NET.4.5 Programming (2013) - [Wiley] - Sheldon, Hollis, Windsor, McCarter, Hillar, Herman.pdf"/>
    <x v="5"/>
    <x v="22"/>
    <s v="Sheldon, Hollis, Windsor, McCarter, Hillar, Herman"/>
    <s v=""/>
    <s v=".pdf"/>
    <n v="128"/>
    <n v="50"/>
    <s v="Professional Visual Basic 2012 and NET.4.5 Programming"/>
  </r>
  <r>
    <s v="W:\Livres\Informatique\Langages\Visual Basic\Programming Visual Basic .Net (2002) {Dump} - [O'Reilly] - Dave Grundgeiger.pdf"/>
    <x v="16"/>
    <x v="4"/>
    <s v="Dave Grundgeiger"/>
    <s v="Dump"/>
    <s v=".pdf"/>
    <n v="79"/>
    <n v="16"/>
    <s v="Programming Visual Basic .Net"/>
  </r>
  <r>
    <s v="W:\Livres\Informatique\Langages\Visual Basic\Programming Windows with Visual Basic Core Reference (2003) - [Microsoft Press] - Charles Petzold.pdf"/>
    <x v="25"/>
    <x v="13"/>
    <s v="Charles Petzold"/>
    <s v=""/>
    <s v=".pdf"/>
    <n v="101"/>
    <n v="15"/>
    <s v="Programming Windows with Visual Basic Core Reference"/>
  </r>
  <r>
    <s v="W:\Livres\Informatique\Langages\Visual Basic\Teach Yourself Visual Basic 6 in 21 Days (2004) {Dump} - [Sams] - Greg Perry.pdf"/>
    <x v="26"/>
    <x v="52"/>
    <s v="Greg Perry"/>
    <s v="Dump"/>
    <s v=".pdf"/>
    <n v="80"/>
    <n v="10"/>
    <s v="Teach Yourself Visual Basic 6 in 21 Days"/>
  </r>
  <r>
    <s v="W:\Livres\Informatique\Langages\Visual Basic\The Book of Visual Basic 2005, .Net Insight for Classic VB Developers (2006) - [No Starch] - Matthew MacDonald.pdf"/>
    <x v="17"/>
    <x v="15"/>
    <s v="Matthew MacDonald"/>
    <s v=""/>
    <s v=".pdf"/>
    <n v="114"/>
    <n v="17"/>
    <s v="The Book of Visual Basic 2005, .Net Insight for Classic VB Developers"/>
  </r>
  <r>
    <s v="W:\Livres\Informatique\Langages\Visual Basic\Using Visual Basic 6 (1998) - [Que] - Brian Siler, Jeff Spotts.pdf"/>
    <x v="12"/>
    <x v="101"/>
    <s v="Brian Siler, Jeff Spotts"/>
    <s v=""/>
    <s v=".pdf"/>
    <n v="66"/>
    <n v="24"/>
    <s v="Using Visual Basic 6"/>
  </r>
  <r>
    <s v="W:\Livres\Informatique\Langages\Visual Basic\VB.Net Developers guide (2001) - [Syngress].pdf"/>
    <x v="15"/>
    <x v="127"/>
    <s v="?"/>
    <s v=""/>
    <s v=".pdf"/>
    <n v="47"/>
    <n v="1"/>
    <s v="VB.Net Developers guide"/>
  </r>
  <r>
    <s v="W:\Livres\Informatique\Langages\Visual Basic\Visual Basic .Net How to Program.pdf"/>
    <x v="10"/>
    <x v="8"/>
    <s v="?"/>
    <s v=""/>
    <s v=".pdf"/>
    <n v="36"/>
    <n v="1"/>
    <s v="Visual Basic .Net How to Program"/>
  </r>
  <r>
    <s v="W:\Livres\Informatique\Langages\Visual Basic\Visual Basic .Net Language in a Nutshell (2001) - [O'Reilly] - Steven Roman, Ron Petrusha, Paul Lomax.pdf"/>
    <x v="15"/>
    <x v="4"/>
    <s v="Steven Roman, Ron Petrusha, Paul Lomax"/>
    <s v=""/>
    <s v=".pdf"/>
    <n v="105"/>
    <n v="38"/>
    <s v="Visual Basic .Net Language in a Nutshell"/>
  </r>
  <r>
    <s v="W:\Livres\Informatique\Langages\Visual Basic\Visual Basic 6 Black Book (1998) {Dump} - [The Coriolis Group] - Steven Holzner.pdf"/>
    <x v="12"/>
    <x v="131"/>
    <s v="Steven Holzner"/>
    <s v="Dump"/>
    <s v=".pdf"/>
    <n v="83"/>
    <n v="14"/>
    <s v="Visual Basic 6 Black Book"/>
  </r>
  <r>
    <s v="W:\Livres\Informatique\Langages\Visual Basic\Visual Basic 6 Database How-To (1999) {Dump} - [Sams] - Winemiller, Roff, Heyman, Groom.pdf"/>
    <x v="11"/>
    <x v="52"/>
    <s v="Winemiller, Roff, Heyman, Groom"/>
    <s v="Dump"/>
    <s v=".pdf"/>
    <n v="91"/>
    <n v="31"/>
    <s v="Visual Basic 6 Database How-To"/>
  </r>
  <r>
    <s v="W:\Livres\Informatique\Langages\Visual Basic\Visual Basic 6 Programming Concepts (4th ed, 1999) - [Pearson] - David I. Schneider.pdf"/>
    <x v="11"/>
    <x v="7"/>
    <s v="David I. Schneider"/>
    <s v=""/>
    <s v=".pdf"/>
    <n v="87"/>
    <n v="18"/>
    <s v="Visual Basic 6 Programming Concepts"/>
  </r>
  <r>
    <s v="W:\Livres\Informatique\Langages\Visual Basic\Visual Basic 2005 Database Programming (2006) - [Wiley] - Roger Jennings.pdf"/>
    <x v="17"/>
    <x v="22"/>
    <s v="Roger Jennings"/>
    <s v=""/>
    <s v=".pdf"/>
    <n v="76"/>
    <n v="14"/>
    <s v="Visual Basic 2005 Database Programming"/>
  </r>
  <r>
    <s v="W:\Livres\Informatique\Langages\Visual Basic\Visual Basic 2005 Express Edition Starter Kit (2006) - [Wiley] - Andrew Parsons.pdf"/>
    <x v="17"/>
    <x v="22"/>
    <s v="Andrew Parsons"/>
    <s v=""/>
    <s v=".pdf"/>
    <n v="83"/>
    <n v="14"/>
    <s v="Visual Basic 2005 Express Edition Starter Kit"/>
  </r>
  <r>
    <s v="W:\Livres\Informatique\Langages\Visual Basic\Visual Basic 2005 For Dummies (2006) - [Wiley] - Bill Sempf.pdf"/>
    <x v="17"/>
    <x v="22"/>
    <s v="Bill Sempf"/>
    <s v=""/>
    <s v=".pdf"/>
    <n v="63"/>
    <n v="10"/>
    <s v="Visual Basic 2005 For Dummies"/>
  </r>
  <r>
    <s v="W:\Livres\Informatique\Langages\Visual Basic\Visual Basic 2005 Programmer's Reference (2005) - [Wiley] - Rod Stephens.pdf"/>
    <x v="1"/>
    <x v="22"/>
    <s v="Rod Stephens"/>
    <s v=""/>
    <s v=".pdf"/>
    <n v="76"/>
    <n v="12"/>
    <s v="Visual Basic 2005 Programmer's Reference"/>
  </r>
  <r>
    <s v="W:\Livres\Informatique\Langages\Visual Basic\Visual Basic Programming for the Absolute Beginner (2001) - [Prima] - Michal A. Vine.pdf"/>
    <x v="15"/>
    <x v="132"/>
    <s v="Michal A. Vine"/>
    <s v=""/>
    <s v=".pdf"/>
    <n v="88"/>
    <n v="14"/>
    <s v="Visual Basic Programming for the Absolute Beginner"/>
  </r>
  <r>
    <s v="W:\Livres\Informatique\Langages\Visual Basic\Visual Basic, Subclassing and Hooking with VB &amp; VB.Net (2001) - [O'Reilly] - Stephen Treilbet.pdf"/>
    <x v="15"/>
    <x v="4"/>
    <s v="Stephen Treilbet"/>
    <s v=""/>
    <s v=".pdf"/>
    <n v="97"/>
    <n v="16"/>
    <s v="Visual Basic, Subclassing and Hooking with VB &amp; VB.Net"/>
  </r>
  <r>
    <s v="W:\Livres\Informatique\Langages\Visual Basic\Visual Basic.Net 2008 (2008) {Dump} - [ENI] - Thierry Groussard.pdf"/>
    <x v="13"/>
    <x v="18"/>
    <s v="Thierry Groussard"/>
    <s v="Dump"/>
    <s v=".pdf"/>
    <n v="67"/>
    <n v="17"/>
    <s v="Visual Basic.Net 2008"/>
  </r>
  <r>
    <s v="W:\Livres\Informatique\Maths\A Walk Through Combinatorics, An Introduction to Enumeration and Graph Theory (2nd ed, 2006) - [World Scientific] - Miklós Bóna.pdf"/>
    <x v="17"/>
    <x v="25"/>
    <s v="Miklós Bóna"/>
    <s v=""/>
    <s v=".pdf"/>
    <n v="131"/>
    <n v="11"/>
    <s v="A Walk Through Combinatorics, An Introduction to Enumeration and Graph Theory"/>
  </r>
  <r>
    <s v="W:\Livres\Informatique\Maths\An introduction to Matlab (2012) - [booksboon.com] - Krister Ahlestern.pdf"/>
    <x v="8"/>
    <x v="133"/>
    <s v="Krister Ahlestern"/>
    <s v=""/>
    <s v=".pdf"/>
    <n v="74"/>
    <n v="17"/>
    <s v="An introduction to Matlab"/>
  </r>
  <r>
    <s v="W:\Livres\Informatique\Maths\An Introduction to Optimization (2nd ed, 2001) - [Wiley] - Edwin K. P. Chong, Stanislaw H. Zak.pdf"/>
    <x v="15"/>
    <x v="22"/>
    <s v="Edwin K. P. Chong, Stanislaw H. Zak"/>
    <s v=""/>
    <s v=".pdf"/>
    <n v="98"/>
    <n v="35"/>
    <s v="An Introduction to Optimization"/>
  </r>
  <r>
    <s v="W:\Livres\Informatique\Maths\An Invitation to Discrete Mathematics (2nd ed, 2008) - [Oxford] - Jiří Matoušek, Jaroslav Nešetřil.pdf"/>
    <x v="13"/>
    <x v="71"/>
    <s v="Jiří Matoušek, Jaroslav Nešetřil"/>
    <s v=""/>
    <s v=".pdf"/>
    <n v="102"/>
    <n v="32"/>
    <s v="An Invitation to Discrete Mathematics"/>
  </r>
  <r>
    <s v="W:\Livres\Informatique\Maths\Applied Algebra, Codes, Ciphers and Discrete Algorithms (2nd ed, 2009) - [CRC Press] - D. Hardy, F Richman, C Walker.pdf"/>
    <x v="4"/>
    <x v="21"/>
    <s v="D. Hardy, F Richman, C Walker"/>
    <s v=""/>
    <s v=".pdf"/>
    <n v="120"/>
    <n v="29"/>
    <s v="Applied Algebra, Codes, Ciphers and Discrete Algorithms"/>
  </r>
  <r>
    <s v="W:\Livres\Informatique\Maths\Combinatorial Algorithms, Generation, Enumeration, and Search (1999) - [CRC Press] - Donald L. Kreher, Douglas R. Stinson.djvu"/>
    <x v="11"/>
    <x v="21"/>
    <s v="Donald L. Kreher, Douglas R. Stinson"/>
    <s v=""/>
    <s v=".djvu"/>
    <n v="126"/>
    <n v="36"/>
    <s v="Combinatorial Algorithms, Generation, Enumeration, and Search"/>
  </r>
  <r>
    <s v="W:\Livres\Informatique\Maths\Combinatorics and Graph Theory (2nd ed, 2008) - [Springer] - John M. Harris, Jeffry L. Hirst, Michael J. Mossinghoff.pdf"/>
    <x v="13"/>
    <x v="9"/>
    <s v="John M. Harris, Jeffry L. Hirst, Michael J. Mossinghoff"/>
    <s v=""/>
    <s v=".pdf"/>
    <n v="120"/>
    <n v="55"/>
    <s v="Combinatorics and Graph Theory"/>
  </r>
  <r>
    <s v="W:\Livres\Informatique\Maths\Combinatorics for Computer Science (1985) - [Computer Science Press] - S. Gill Williamson.djvu"/>
    <x v="19"/>
    <x v="26"/>
    <s v="S. Gill Williamson"/>
    <s v=""/>
    <s v=".djvu"/>
    <n v="94"/>
    <n v="18"/>
    <s v="Combinatorics for Computer Science"/>
  </r>
  <r>
    <s v="W:\Livres\Informatique\Maths\Combinatorics of Permutations (2004) - [CRC Press] - Miklós Bóna.pdf"/>
    <x v="26"/>
    <x v="21"/>
    <s v="Miklós Bóna"/>
    <s v=""/>
    <s v=".pdf"/>
    <n v="68"/>
    <n v="11"/>
    <s v="Combinatorics of Permutations"/>
  </r>
  <r>
    <s v="W:\Livres\Informatique\Maths\Combinatorics, Topics, Techniques and Algorithms (1994) - [Cambridge] - P. Cameron.djvu"/>
    <x v="29"/>
    <x v="17"/>
    <s v="P. Cameron"/>
    <s v=""/>
    <s v=".djvu"/>
    <n v="87"/>
    <n v="10"/>
    <s v="Combinatorics, Topics, Techniques and Algorithms"/>
  </r>
  <r>
    <s v="W:\Livres\Informatique\Maths\Combinatory Logic in Programming (2nd ed, 2003) - V. E. Wolfengagen.pdf"/>
    <x v="25"/>
    <x v="8"/>
    <s v="V. E. Wolfengagen"/>
    <s v=""/>
    <s v=".pdf"/>
    <n v="71"/>
    <n v="17"/>
    <s v="Combinatory Logic in Programming"/>
  </r>
  <r>
    <s v="W:\Livres\Informatique\Maths\Comprehensive Mathematics for Computer Scientist 2 (2005) - [Springer] - Guerino Mazzola, Gérard Milmeister, JodyWeissmann.pdf"/>
    <x v="1"/>
    <x v="9"/>
    <s v="Guerino Mazzola, Gérard Milmeister, JodyWeissmann"/>
    <s v=""/>
    <s v=".pdf"/>
    <n v="126"/>
    <n v="49"/>
    <s v="Comprehensive Mathematics for Computer Scientist 2"/>
  </r>
  <r>
    <s v="W:\Livres\Informatique\Maths\Comprehensive Mathematics for Computer Scientists 1 (2006) - [Springer] - Guerino Mazzola, Gérard Milmeister, Jody Weissmann.pdf"/>
    <x v="17"/>
    <x v="9"/>
    <s v="Guerino Mazzola, Gérard Milmeister, Jody Weissmann"/>
    <s v=""/>
    <s v=".pdf"/>
    <n v="128"/>
    <n v="50"/>
    <s v="Comprehensive Mathematics for Computer Scientists 1"/>
  </r>
  <r>
    <s v="W:\Livres\Informatique\Maths\Comprehensive Mathematics for Computer Scientists 2 (2005) - [Springer] - Guerino Mazzola, Gérard Milmeister, Jody Weissmann.pdf"/>
    <x v="1"/>
    <x v="9"/>
    <s v="Guerino Mazzola, Gérard Milmeister, Jody Weissmann"/>
    <s v=""/>
    <s v=".pdf"/>
    <n v="128"/>
    <n v="50"/>
    <s v="Comprehensive Mathematics for Computer Scientists 2"/>
  </r>
  <r>
    <s v="W:\Livres\Informatique\Maths\Digital Image Processing Using Matlab (2009) - [Gatesmark] - Rafael C. Gonzalez, Richard E. Woods, Steven L. Eddins.pdf"/>
    <x v="4"/>
    <x v="134"/>
    <s v="Rafael C. Gonzalez, Richard E. Woods, Steven L. Eddins"/>
    <s v=""/>
    <s v=".pdf"/>
    <n v="119"/>
    <n v="54"/>
    <s v="Digital Image Processing Using Matlab"/>
  </r>
  <r>
    <s v="W:\Livres\Informatique\Maths\Discrete and Combinatorial Mathematics (5th ed, 2004) - [Pearson] - Ralph P. Grimaldi.djvu"/>
    <x v="26"/>
    <x v="7"/>
    <s v="Ralph P. Grimaldi"/>
    <s v=""/>
    <s v=".djvu"/>
    <n v="90"/>
    <n v="17"/>
    <s v="Discrete and Combinatorial Mathematics"/>
  </r>
  <r>
    <s v="W:\Livres\Informatique\Maths\Discrete and Combinatorial Mathematics (5th ed, 2004), Solutions.djvu"/>
    <x v="26"/>
    <x v="8"/>
    <s v="?"/>
    <s v=""/>
    <s v=".djvu"/>
    <n v="69"/>
    <n v="1"/>
    <s v="Discrete and Combinatorial Mathematics"/>
  </r>
  <r>
    <s v="W:\Livres\Informatique\Maths\Discrete Math for Computer Science Students (2004) - Ken Bogart, Scot Drysdale, Cliff Stein.pdf"/>
    <x v="26"/>
    <x v="8"/>
    <s v="Ken Bogart, Scot Drysdale, Cliff Stein"/>
    <s v=""/>
    <s v=".pdf"/>
    <n v="95"/>
    <n v="38"/>
    <s v="Discrete Math for Computer Science Students"/>
  </r>
  <r>
    <s v="W:\Livres\Informatique\Maths\Discrete Mathematics (1999) - [Yale University] - L. Lovász, K. Vesztergombi.pdf"/>
    <x v="11"/>
    <x v="135"/>
    <s v="L. Lovász, K. Vesztergombi"/>
    <s v=""/>
    <s v=".pdf"/>
    <n v="80"/>
    <n v="26"/>
    <s v="Discrete Mathematics"/>
  </r>
  <r>
    <s v="W:\Livres\Informatique\Maths\Discrete Mathematics and Its Applications (6th ed, 2007) {Scan} - [McGraw-Hill] - Kenneth H. Rosen.pdf"/>
    <x v="9"/>
    <x v="41"/>
    <s v="Kenneth H. Rosen"/>
    <s v="Scan"/>
    <s v=".pdf"/>
    <n v="102"/>
    <n v="16"/>
    <s v="Discrete Mathematics and Its Applications"/>
  </r>
  <r>
    <s v="W:\Livres\Informatique\Maths\Discrete Mathematics and Its Applications (6th ed, 2007), Answers.rar"/>
    <x v="9"/>
    <x v="8"/>
    <s v="?"/>
    <s v=""/>
    <s v=".rar"/>
    <n v="69"/>
    <n v="1"/>
    <s v="Discrete Mathematics and Its Applications"/>
  </r>
  <r>
    <s v="W:\Livres\Informatique\Maths\Discrete Mathematics for Computer Scientists and Mathematicians (2nd ed, 1986) - [Prentice Hall] - Mott, Kandel, Baker.djvu"/>
    <x v="20"/>
    <x v="20"/>
    <s v="Mott, Kandel, Baker"/>
    <s v=""/>
    <s v=".djvu"/>
    <n v="123"/>
    <n v="19"/>
    <s v="Discrete Mathematics for Computer Scientists and Mathematicians"/>
  </r>
  <r>
    <s v="W:\Livres\Informatique\Maths\Elementary Number Theory with Programming (2016) - [Wiley] - Marty Lewinter, Jeanine Meyer.pdf"/>
    <x v="2"/>
    <x v="22"/>
    <s v="Marty Lewinter, Jeanine Meyer"/>
    <s v=""/>
    <s v=".pdf"/>
    <n v="94"/>
    <n v="29"/>
    <s v="Elementary Number Theory with Programming"/>
  </r>
  <r>
    <s v="W:\Livres\Informatique\Maths\Encyclopedia of Optimization (2nd ed, 2009) - [Springer] - C. A. Floudas, P. M. Pardalos.pdf"/>
    <x v="4"/>
    <x v="9"/>
    <s v="C. A. Floudas, P. M. Pardalos"/>
    <s v=""/>
    <s v=".pdf"/>
    <n v="92"/>
    <n v="29"/>
    <s v="Encyclopedia of Optimization"/>
  </r>
  <r>
    <s v="W:\Livres\Informatique\Maths\Foundations of Combinatorics with Applications (2005) - Edward A. Bender, S. Gill Williamson.pdf"/>
    <x v="1"/>
    <x v="8"/>
    <s v="Edward A. Bender, S. Gill Williamson"/>
    <s v=""/>
    <s v=".pdf"/>
    <n v="96"/>
    <n v="36"/>
    <s v="Foundations of Combinatorics with Applications"/>
  </r>
  <r>
    <s v="W:\Livres\Informatique\Maths\Graph Theory with Applications (5th ed, 1982) {Scan} - [North-Holland] - J.A. Bondy, U.S.R. Murty.pdf"/>
    <x v="41"/>
    <x v="87"/>
    <s v="J.A. Bondy, U.S.R. Murty"/>
    <s v="Scan"/>
    <s v=".pdf"/>
    <n v="101"/>
    <n v="24"/>
    <s v="Graph Theory with Applications"/>
  </r>
  <r>
    <s v="W:\Livres\Informatique\Maths\Graphs and Applications, An Introductory Approach (4th ed, 2000) - [Springer] - Joan M. Aldous, Robin J. Wilson.djvu"/>
    <x v="7"/>
    <x v="9"/>
    <s v="Joan M. Aldous, Robin J. Wilson"/>
    <s v=""/>
    <s v=".djvu"/>
    <n v="116"/>
    <n v="31"/>
    <s v="Graphs and Applications, An Introductory Approach"/>
  </r>
  <r>
    <s v="W:\Livres\Informatique\Maths\Graphs, Algorithms and Optimization (2005) {Dump} - [CRC Press] - William Kocay, Donald L Kreher.pdf"/>
    <x v="1"/>
    <x v="21"/>
    <s v="William Kocay, Donald L Kreher"/>
    <s v="Dump"/>
    <s v=".pdf"/>
    <n v="100"/>
    <n v="30"/>
    <s v="Graphs, Algorithms and Optimization"/>
  </r>
  <r>
    <s v="W:\Livres\Informatique\Maths\Handbook of Floating Point Arithmetic (2010) - [Birkhaüser] - Muller, Brisebarre et al.pdf"/>
    <x v="14"/>
    <x v="136"/>
    <s v="Muller, Brisebarre et al"/>
    <s v=""/>
    <s v=".pdf"/>
    <n v="90"/>
    <n v="24"/>
    <s v="Handbook of Floating Point Arithmetic"/>
  </r>
  <r>
    <s v="W:\Livres\Informatique\Maths\Handbook of Mathematical Models in Computer Vision (2006) - [Springer] - Nikos Paragios.pdf"/>
    <x v="17"/>
    <x v="9"/>
    <s v="Nikos Paragios"/>
    <s v=""/>
    <s v=".pdf"/>
    <n v="91"/>
    <n v="14"/>
    <s v="Handbook of Mathematical Models in Computer Vision"/>
  </r>
  <r>
    <s v="W:\Livres\Informatique\Maths\Mathematical Foundation of Computer Science (2005) - [New Age Intl] - Y.N. Singh.pdf"/>
    <x v="1"/>
    <x v="137"/>
    <s v="Y.N. Singh"/>
    <s v=""/>
    <s v=".pdf"/>
    <n v="84"/>
    <n v="10"/>
    <s v="Mathematical Foundation of Computer Science"/>
  </r>
  <r>
    <s v="W:\Livres\Informatique\Maths\Mathematical Programming, Theory and Methods (2006) - [Elsevier] - S.M. Sinha.djvu"/>
    <x v="17"/>
    <x v="1"/>
    <s v="S.M. Sinha"/>
    <s v=""/>
    <s v=".djvu"/>
    <n v="82"/>
    <n v="10"/>
    <s v="Mathematical Programming, Theory and Methods"/>
  </r>
  <r>
    <s v="W:\Livres\Informatique\Maths\Mathematics for Algorithm Analysis (1990) - [Birkhaüser] - Daniel H. Greene, Donald E. Knuth.pdf"/>
    <x v="23"/>
    <x v="136"/>
    <s v="Daniel H. Greene, Donald E. Knuth"/>
    <s v=""/>
    <s v=".pdf"/>
    <n v="96"/>
    <n v="33"/>
    <s v="Mathematics for Algorithm Analysis"/>
  </r>
  <r>
    <s v="W:\Livres\Informatique\Maths\Mathematics for Algorithm and System Analysis (2005) - Edward A. Bender, S. Gill Williamson.pdf"/>
    <x v="1"/>
    <x v="8"/>
    <s v="Edward A. Bender, S. Gill Williamson"/>
    <s v=""/>
    <s v=".pdf"/>
    <n v="95"/>
    <n v="36"/>
    <s v="Mathematics for Algorithm and System Analysis"/>
  </r>
  <r>
    <s v="W:\Livres\Informatique\Maths\Mathematics for Computer Scientists (2nd ed, 2011) - [bookboon.com] - Gareth J. Janacek, Mark Lemmon Close.pdf"/>
    <x v="0"/>
    <x v="138"/>
    <s v="Gareth J. Janacek, Mark Lemmon Close"/>
    <s v=""/>
    <s v=".pdf"/>
    <n v="110"/>
    <n v="36"/>
    <s v="Mathematics for Computer Scientists"/>
  </r>
  <r>
    <s v="W:\Livres\Informatique\Maths\Mathematics for Computer Scientists (2008) - [Ventus] - Gareth J. Janacek, Mark Lemmon Close.pdf"/>
    <x v="13"/>
    <x v="139"/>
    <s v="Gareth J. Janacek, Mark Lemmon Close"/>
    <s v=""/>
    <s v=".pdf"/>
    <n v="96"/>
    <n v="36"/>
    <s v="Mathematics for Computer Scientists"/>
  </r>
  <r>
    <s v="W:\Livres\Informatique\Maths\Mathématiques pour l'informatique, Pour le BTS SIO (2015) - [Dunod] - Chanet, Vert.pdf"/>
    <x v="3"/>
    <x v="2"/>
    <s v="Chanet, Vert"/>
    <s v=""/>
    <s v=".pdf"/>
    <n v="86"/>
    <n v="12"/>
    <s v="Mathématiques pour l'informatique, Pour le BTS SIO"/>
  </r>
  <r>
    <s v="W:\Livres\Informatique\Maths\Matrix Computations (3rd ed, 1996) - [John Hopkins University Press] - Gene H. Golub, Charles F. Van Loan.djvu"/>
    <x v="22"/>
    <x v="140"/>
    <s v="Gene H. Golub, Charles F. Van Loan"/>
    <s v=""/>
    <s v=".djvu"/>
    <n v="110"/>
    <n v="34"/>
    <s v="Matrix Computations"/>
  </r>
  <r>
    <s v="W:\Livres\Informatique\Maths\Numerical Algorithms (2015) - [CRC Press] - Justin Solomon.pdf"/>
    <x v="3"/>
    <x v="21"/>
    <s v="Justin Solomon"/>
    <s v=""/>
    <s v=".pdf"/>
    <n v="62"/>
    <n v="14"/>
    <s v="Numerical Algorithms"/>
  </r>
  <r>
    <s v="W:\Livres\Informatique\Maths\Numerical Analysis (9th ed, 2011) - [Cengage Learning] - Richard L. Burden, J. Douglas Faires.pdf"/>
    <x v="0"/>
    <x v="51"/>
    <s v="Richard L. Burden, J. Douglas Faires"/>
    <s v=""/>
    <s v=".pdf"/>
    <n v="97"/>
    <n v="36"/>
    <s v="Numerical Analysis"/>
  </r>
  <r>
    <s v="W:\Livres\Informatique\Maths\Numerical Methods (3rd ed, 2002) - [Brooks Cole] - Richard L. Burden, J. Douglas Faires.pdf"/>
    <x v="16"/>
    <x v="141"/>
    <s v="Richard L. Burden, J. Douglas Faires"/>
    <s v=""/>
    <s v=".pdf"/>
    <n v="91"/>
    <n v="36"/>
    <s v="Numerical Methods"/>
  </r>
  <r>
    <s v="W:\Livres\Informatique\Maths\Numerical Methods (2009) - [New Age] - S.R.K. Iyengar, R.K. Jain.pdf"/>
    <x v="4"/>
    <x v="142"/>
    <s v="S.R.K. Iyengar, R.K. Jain"/>
    <s v=""/>
    <s v=".pdf"/>
    <n v="68"/>
    <n v="25"/>
    <s v="Numerical Methods"/>
  </r>
  <r>
    <s v="W:\Livres\Informatique\Maths\Numerical Recipes, The Art of Scientific Computing (3rd ed, 2007) - [Cambridge] - Press, Teukolsky, Vetterling, Flannery.pdf"/>
    <x v="9"/>
    <x v="17"/>
    <s v="Press, Teukolsky, Vetterling, Flannery"/>
    <s v=""/>
    <s v=".pdf"/>
    <n v="124"/>
    <n v="38"/>
    <s v="Numerical Recipes, The Art of Scientific Computing"/>
  </r>
  <r>
    <s v="W:\Livres\Informatique\Maths\Optimisation combinatoire, Théorie et algorithmes (2010) - [Springer] - Korte, Vygen.pdf"/>
    <x v="14"/>
    <x v="9"/>
    <s v="Korte, Vygen"/>
    <s v=""/>
    <s v=".pdf"/>
    <n v="88"/>
    <n v="12"/>
    <s v="Optimisation combinatoire, Théorie et algorithmes"/>
  </r>
  <r>
    <s v="W:\Livres\Informatique\Maths\Practical Optimization, Algorithms and Engineering Applications (2007) - [Springer] - Andreas Antoniou, Wu-Sheng Lu.pdf"/>
    <x v="9"/>
    <x v="9"/>
    <s v="Andreas Antoniou, Wu-Sheng Lu"/>
    <s v=""/>
    <s v=".pdf"/>
    <n v="119"/>
    <n v="29"/>
    <s v="Practical Optimization, Algorithms and Engineering Applications"/>
  </r>
  <r>
    <s v="W:\Livres\Informatique\Maths\Prime Numbers and Computer Methods for Factorization (2nd ed, 1994) - [Birkhäuser] - Hans Riesel.pdf"/>
    <x v="29"/>
    <x v="143"/>
    <s v="Hans Riesel"/>
    <s v=""/>
    <s v=".pdf"/>
    <n v="100"/>
    <n v="11"/>
    <s v="Prime Numbers and Computer Methods for Factorization"/>
  </r>
  <r>
    <s v="W:\Livres\Informatique\Maths\Pyramid Algorithms, A Dynamic Programming Approach to Curves and Surfaces for Geometric Modeling (2002) - Morgan.pdf"/>
    <x v="16"/>
    <x v="8"/>
    <s v="Morgan"/>
    <s v=""/>
    <s v=".pdf"/>
    <n v="116"/>
    <n v="6"/>
    <s v="Pyramid Algorithms, A Dynamic Programming Approach to Curves and Surfaces for Geometric Modeling"/>
  </r>
  <r>
    <s v="W:\Livres\Informatique\Maths\The Definitive Guide to How Computers Do Math - [Wiley] - Clive Maxfield, Alvin Brown.pdf"/>
    <x v="10"/>
    <x v="22"/>
    <s v="Clive Maxfield, Alvin Brown"/>
    <s v=""/>
    <s v=".pdf"/>
    <n v="89"/>
    <n v="27"/>
    <s v="The Definitive Guide to How Computers Do Math"/>
  </r>
  <r>
    <s v="W:\Livres\Informatique\Maths\What Every Computer Scientist Should Know About Floating Point Arithmetic (1992) - [ACM] - David Goldberg.pdf"/>
    <x v="27"/>
    <x v="144"/>
    <s v="David Goldberg"/>
    <s v=""/>
    <s v=".pdf"/>
    <n v="109"/>
    <n v="14"/>
    <s v="What Every Computer Scientist Should Know About Floating Point Arithmetic"/>
  </r>
  <r>
    <s v="W:\Livres\Informatique\Microsoft Books 2016\A Hitchhiker's Guide Microsoft StreamInsight Queries (2012) - [Microsoft] - Ramkumar Krishnan, Jonathan Goldstein, Alex Raizman.epub"/>
    <x v="8"/>
    <x v="48"/>
    <s v="Ramkumar Krishnan, Jonathan Goldstein, Alex Raizman"/>
    <s v=""/>
    <s v=".epub"/>
    <n v="132"/>
    <n v="51"/>
    <s v="A Hitchhiker's Guide Microsoft StreamInsight Queries"/>
  </r>
  <r>
    <s v="W:\Livres\Informatique\Microsoft Books 2016\A Hitchhiker's Guide Microsoft StreamInsight Queries (2012) - [Microsoft] - Ramkumar Krishnan, Jonathan Goldstein, Alex Raizman.pdf"/>
    <x v="8"/>
    <x v="48"/>
    <s v="Ramkumar Krishnan, Jonathan Goldstein, Alex Raizman"/>
    <s v=""/>
    <s v=".pdf"/>
    <n v="131"/>
    <n v="51"/>
    <s v="A Hitchhiker's Guide Microsoft StreamInsight Queries"/>
  </r>
  <r>
    <s v="W:\Livres\Informatique\Microsoft Books 2016\Configuring SharePoint Hybrid Capabilities (2016) - [Microsoft Press] - Jeremy Taylor, Neil Hodgkinson, Manas Biswas.pdf"/>
    <x v="2"/>
    <x v="13"/>
    <s v="Jeremy Taylor, Neil Hodgkinson, Manas Biswas"/>
    <s v=""/>
    <s v=".pdf"/>
    <n v="120"/>
    <n v="44"/>
    <s v="Configuring SharePoint Hybrid Capabilities"/>
  </r>
  <r>
    <s v="W:\Livres\Informatique\Microsoft Books 2016\Configuring SharePoint Hybrid Capabilities (2016) {Mobile format} - [Microsoft Press] - Jeremy Taylor, Neil Hodgkinson, Manas Biswas.pdf"/>
    <x v="2"/>
    <x v="13"/>
    <s v="Jeremy Taylor, Neil Hodgkinson, Manas Biswas"/>
    <s v="Mobile format"/>
    <s v=".pdf"/>
    <n v="136"/>
    <n v="44"/>
    <s v="Configuring SharePoint Hybrid Capabilities"/>
  </r>
  <r>
    <s v="W:\Livres\Informatique\Microsoft Books 2016\Creating Mobile Apps with Xamarin.Forms (2016) - [Microsoft Press] - Charles petzold.epub"/>
    <x v="2"/>
    <x v="13"/>
    <s v="Charles petzold"/>
    <s v=""/>
    <s v=".epub"/>
    <n v="89"/>
    <n v="15"/>
    <s v="Creating Mobile Apps with Xamarin.Forms"/>
  </r>
  <r>
    <s v="W:\Livres\Informatique\Microsoft Books 2016\Creating Mobile Apps with Xamarin.Forms (2016) - [Microsoft Press] - Charles petzold.pdf"/>
    <x v="2"/>
    <x v="13"/>
    <s v="Charles petzold"/>
    <s v=""/>
    <s v=".pdf"/>
    <n v="88"/>
    <n v="15"/>
    <s v="Creating Mobile Apps with Xamarin.Forms"/>
  </r>
  <r>
    <s v="W:\Livres\Informatique\Microsoft Books 2016\Creating Mobile Apps with Xamarin.Forms, Cross-platform C# development (2016) - [Microsoft Press] - Charles Petzold.pdf"/>
    <x v="2"/>
    <x v="13"/>
    <s v="Charles Petzold"/>
    <s v=""/>
    <s v=".pdf"/>
    <n v="119"/>
    <n v="15"/>
    <s v="Creating Mobile Apps with Xamarin.Forms, Cross-platform C# development"/>
  </r>
  <r>
    <s v="W:\Livres\Informatique\Microsoft Books 2016\CRM 2016 Administration Guide (2016) - [Microsoft].pdf"/>
    <x v="2"/>
    <x v="48"/>
    <s v="?"/>
    <s v=""/>
    <s v=".pdf"/>
    <n v="54"/>
    <n v="1"/>
    <s v="CRM 2016 Administration Guide"/>
  </r>
  <r>
    <s v="W:\Livres\Informatique\Microsoft Books 2016\Deploying Windows 10 (2016) - [Microsoft Press] - Della Monica, Rimmerman, Cesarini, Silveira.epub"/>
    <x v="2"/>
    <x v="13"/>
    <s v="Della Monica, Rimmerman, Cesarini, Silveira"/>
    <s v=""/>
    <s v=".epub"/>
    <n v="98"/>
    <n v="43"/>
    <s v="Deploying Windows 10"/>
  </r>
  <r>
    <s v="W:\Livres\Informatique\Microsoft Books 2016\Deploying Windows 10 (2016) - [Microsoft Press] - Della Monica, Rimmerman, Cesarini, Silveira.pdf"/>
    <x v="2"/>
    <x v="13"/>
    <s v="Della Monica, Rimmerman, Cesarini, Silveira"/>
    <s v=""/>
    <s v=".pdf"/>
    <n v="97"/>
    <n v="43"/>
    <s v="Deploying Windows 10"/>
  </r>
  <r>
    <s v="W:\Livres\Informatique\Microsoft Books 2016\Deployment guide for SharePoint 2013 (2014) - [Microsoft].epub"/>
    <x v="6"/>
    <x v="48"/>
    <s v="?"/>
    <s v=""/>
    <s v=".epub"/>
    <n v="62"/>
    <n v="1"/>
    <s v="Deployment guide for SharePoint 2013"/>
  </r>
  <r>
    <s v="W:\Livres\Informatique\Microsoft Books 2016\Deployment guide for SharePoint 2013 (2014) - [Microsoft].pdf"/>
    <x v="6"/>
    <x v="48"/>
    <s v="?"/>
    <s v=""/>
    <s v=".pdf"/>
    <n v="61"/>
    <n v="1"/>
    <s v="Deployment guide for SharePoint 2013"/>
  </r>
  <r>
    <s v="W:\Livres\Informatique\Microsoft Books 2016\Engineering for accessibility (2009) - [Microsoft].pdf"/>
    <x v="4"/>
    <x v="48"/>
    <s v="?"/>
    <s v=""/>
    <s v=".pdf"/>
    <n v="54"/>
    <n v="1"/>
    <s v="Engineering for accessibility"/>
  </r>
  <r>
    <s v="W:\Livres\Informatique\Microsoft Books 2016\Introducing Power BI (2016) - [Microsoft Press] - Alberto Ferrari, Marco Russo.pdf"/>
    <x v="2"/>
    <x v="13"/>
    <s v="Alberto Ferrari, Marco Russo"/>
    <s v=""/>
    <s v=".pdf"/>
    <n v="82"/>
    <n v="28"/>
    <s v="Introducing Power BI"/>
  </r>
  <r>
    <s v="W:\Livres\Informatique\Microsoft Books 2016\Introducing System Center 2012 (2013) - [Microsoft Press] - Mitch Tulloch, Symon Perriman, System Center Team.epub"/>
    <x v="5"/>
    <x v="13"/>
    <s v="Mitch Tulloch, Symon Perriman, System Center Team"/>
    <s v=""/>
    <s v=".epub"/>
    <n v="114"/>
    <n v="49"/>
    <s v="Introducing System Center 2012"/>
  </r>
  <r>
    <s v="W:\Livres\Informatique\Microsoft Books 2016\Introducing System Center 2012 (2013) - [Microsoft Press] - Mitch Tulloch, Symon Perriman, System Center Team.pdf"/>
    <x v="5"/>
    <x v="13"/>
    <s v="Mitch Tulloch, Symon Perriman, System Center Team"/>
    <s v=""/>
    <s v=".pdf"/>
    <n v="113"/>
    <n v="49"/>
    <s v="Introducing System Center 2012"/>
  </r>
  <r>
    <s v="W:\Livres\Informatique\Microsoft Books 2016\Introducing Windows 8 for IT Professionals (2012) - [Microsoft Press] - Jerry Honeycutt.epub"/>
    <x v="8"/>
    <x v="13"/>
    <s v="Jerry Honeycutt"/>
    <s v=""/>
    <s v=".epub"/>
    <n v="92"/>
    <n v="15"/>
    <s v="Introducing Windows 8 for IT Professionals"/>
  </r>
  <r>
    <s v="W:\Livres\Informatique\Microsoft Books 2016\Introducing Windows 8 for IT Professionals (2012) - [Microsoft Press] - Jerry Honeycutt.pdf"/>
    <x v="8"/>
    <x v="13"/>
    <s v="Jerry Honeycutt"/>
    <s v=""/>
    <s v=".pdf"/>
    <n v="91"/>
    <n v="15"/>
    <s v="Introducing Windows 8 for IT Professionals"/>
  </r>
  <r>
    <s v="W:\Livres\Informatique\Microsoft Books 2016\Introducing Windows 8.1 for IT Professionals (2013) - [Microsoft Press] - Ed Bott.epub"/>
    <x v="5"/>
    <x v="13"/>
    <s v="Ed Bott"/>
    <s v=""/>
    <s v=".epub"/>
    <n v="86"/>
    <n v="7"/>
    <s v="Introducing Windows 8.1 for IT Professionals"/>
  </r>
  <r>
    <s v="W:\Livres\Informatique\Microsoft Books 2016\Introducing Windows 8.1 for IT Professionals (2013) - [Microsoft Press] - Ed Bott.pdf"/>
    <x v="5"/>
    <x v="13"/>
    <s v="Ed Bott"/>
    <s v=""/>
    <s v=".pdf"/>
    <n v="85"/>
    <n v="7"/>
    <s v="Introducing Windows 8.1 for IT Professionals"/>
  </r>
  <r>
    <s v="W:\Livres\Informatique\Microsoft Books 2016\Introducing Windows 10 for IT Professionals (2016) - [Microsoft Press] - Ed Bott.epub"/>
    <x v="2"/>
    <x v="13"/>
    <s v="Ed Bott"/>
    <s v=""/>
    <s v=".epub"/>
    <n v="85"/>
    <n v="7"/>
    <s v="Introducing Windows 10 for IT Professionals"/>
  </r>
  <r>
    <s v="W:\Livres\Informatique\Microsoft Books 2016\Introducing Windows 10 for IT Professionals (2016) - [Microsoft Press] - Ed Bott.pdf"/>
    <x v="2"/>
    <x v="13"/>
    <s v="Ed Bott"/>
    <s v=""/>
    <s v=".pdf"/>
    <n v="84"/>
    <n v="7"/>
    <s v="Introducing Windows 10 for IT Professionals"/>
  </r>
  <r>
    <s v="W:\Livres\Informatique\Microsoft Books 2016\Managing Agile Open-Source Software Projects with Visual Studio Online (2015) - [Microsoft Press] - Blackman, Beeming, Fourie.epub"/>
    <x v="3"/>
    <x v="13"/>
    <s v="Blackman, Beeming, Fourie"/>
    <s v=""/>
    <s v=".epub"/>
    <n v="130"/>
    <n v="25"/>
    <s v="Managing Agile Open-Source Software Projects with Visual Studio Online"/>
  </r>
  <r>
    <s v="W:\Livres\Informatique\Microsoft Books 2016\Managing Agile Open-Source Software Projects with Visual Studio Online (2015) - [Microsoft Press] - Blackman, Beeming, Fourie.pdf"/>
    <x v="3"/>
    <x v="13"/>
    <s v="Blackman, Beeming, Fourie"/>
    <s v=""/>
    <s v=".pdf"/>
    <n v="129"/>
    <n v="25"/>
    <s v="Managing Agile Open-Source Software Projects with Visual Studio Online"/>
  </r>
  <r>
    <s v="W:\Livres\Informatique\Microsoft Books 2016\Master Data Services Capacity Guidelines (2012) - [Microsoft] - Yair Helman.epub"/>
    <x v="8"/>
    <x v="48"/>
    <s v="Yair Helman"/>
    <s v=""/>
    <s v=".epub"/>
    <n v="80"/>
    <n v="11"/>
    <s v="Master Data Services Capacity Guidelines"/>
  </r>
  <r>
    <s v="W:\Livres\Informatique\Microsoft Books 2016\Master Data Services Capacity Guidelines (2012) - [Microsoft] - Yair Helman.pdf"/>
    <x v="8"/>
    <x v="48"/>
    <s v="Yair Helman"/>
    <s v=""/>
    <s v=".pdf"/>
    <n v="79"/>
    <n v="11"/>
    <s v="Master Data Services Capacity Guidelines"/>
  </r>
  <r>
    <s v="W:\Livres\Informatique\Microsoft Books 2016\Master Data Services, SQL Server 2012 Books Online (2012) - [Microsoft].epub"/>
    <x v="8"/>
    <x v="48"/>
    <s v="?"/>
    <s v=""/>
    <s v=".epub"/>
    <n v="76"/>
    <n v="1"/>
    <s v="Master Data Services, SQL Server 2012 Books Online"/>
  </r>
  <r>
    <s v="W:\Livres\Informatique\Microsoft Books 2016\Master Data Services, SQL Server 2012 Books Online (2012) - [Microsoft].pdf"/>
    <x v="8"/>
    <x v="48"/>
    <s v="?"/>
    <s v=""/>
    <s v=".pdf"/>
    <n v="75"/>
    <n v="1"/>
    <s v="Master Data Services, SQL Server 2012 Books Online"/>
  </r>
  <r>
    <s v="W:\Livres\Informatique\Microsoft Books 2016\Microsoft System Center, Deploying Hyper-V with Software-Defined Storage and Networking (2015) - [Microsoft Press] - Mitch Tulloch.epub"/>
    <x v="3"/>
    <x v="13"/>
    <s v="Mitch Tulloch"/>
    <s v=""/>
    <s v=".epub"/>
    <n v="135"/>
    <n v="13"/>
    <s v="Microsoft System Center, Deploying Hyper-V with Software-Defined Storage and Networking"/>
  </r>
  <r>
    <s v="W:\Livres\Informatique\Microsoft Books 2016\Microsoft System Center, Deploying Hyper-V with Software-Defined Storage and Networking (2015) - [Microsoft Press] - Mitch Tulloch.pdf"/>
    <x v="3"/>
    <x v="13"/>
    <s v="Mitch Tulloch"/>
    <s v=""/>
    <s v=".pdf"/>
    <n v="134"/>
    <n v="13"/>
    <s v="Microsoft System Center, Deploying Hyper-V with Software-Defined Storage and Networking"/>
  </r>
  <r>
    <s v="W:\Livres\Informatique\Microsoft Books 2016\Microsoft System Center, Extending Operations Manager Reporting (2014) - [Microsoft Press] - Wallace, Jones, May, Lee, Tulloch.epub"/>
    <x v="6"/>
    <x v="13"/>
    <s v="Wallace, Jones, May, Lee, Tulloch"/>
    <s v=""/>
    <s v=".epub"/>
    <n v="131"/>
    <n v="33"/>
    <s v="Microsoft System Center, Extending Operations Manager Reporting"/>
  </r>
  <r>
    <s v="W:\Livres\Informatique\Microsoft Books 2016\Microsoft System Center, Extending Operations Manager Reporting (2014) - [Microsoft Press] - Wallace, Jones, May, Lee, Tulloch.pdf"/>
    <x v="6"/>
    <x v="13"/>
    <s v="Wallace, Jones, May, Lee, Tulloch"/>
    <s v=""/>
    <s v=".pdf"/>
    <n v="130"/>
    <n v="33"/>
    <s v="Microsoft System Center, Extending Operations Manager Reporting"/>
  </r>
  <r>
    <s v="W:\Livres\Informatique\Microsoft Books 2016\Microsoft System Center, Introduction to Microsoft Automation Solutions (2014) - [Microsoft Press] - Costello, Maunsell, Tulloch.epub"/>
    <x v="6"/>
    <x v="13"/>
    <s v="Costello, Maunsell, Tulloch"/>
    <s v=""/>
    <s v=".epub"/>
    <n v="133"/>
    <n v="27"/>
    <s v="Microsoft System Center, Introduction to Microsoft Automation Solutions"/>
  </r>
  <r>
    <s v="W:\Livres\Informatique\Microsoft Books 2016\Microsoft System Center, Introduction to Microsoft Automation Solutions (2014) - [Microsoft Press] - Costello, Maunsell, Tulloch.pdf"/>
    <x v="6"/>
    <x v="13"/>
    <s v="Costello, Maunsell, Tulloch"/>
    <s v=""/>
    <s v=".pdf"/>
    <n v="132"/>
    <n v="27"/>
    <s v="Microsoft System Center, Introduction to Microsoft Automation Solutions"/>
  </r>
  <r>
    <s v="W:\Livres\Informatique\Microsoft Books 2016\Microsoft System Center, Operations Manager Field Experience (2015) - [Microsoft Press] - Hermans, Sturtz, Sarbulescu, Tulloch.epub"/>
    <x v="3"/>
    <x v="13"/>
    <s v="Hermans, Sturtz, Sarbulescu, Tulloch"/>
    <s v=""/>
    <s v=".epub"/>
    <n v="131"/>
    <n v="36"/>
    <s v="Microsoft System Center, Operations Manager Field Experience"/>
  </r>
  <r>
    <s v="W:\Livres\Informatique\Microsoft Books 2016\Microsoft System Center, Operations Manager Field Experience (2015) - [Microsoft Press] - Hermans, Sturtz, Sarbulescu, Tulloch.pdf"/>
    <x v="3"/>
    <x v="13"/>
    <s v="Hermans, Sturtz, Sarbulescu, Tulloch"/>
    <s v=""/>
    <s v=".pdf"/>
    <n v="130"/>
    <n v="36"/>
    <s v="Microsoft System Center, Operations Manager Field Experience"/>
  </r>
  <r>
    <s v="W:\Livres\Informatique\Microsoft Books 2016\Microsoft System Center, Software Update Management Field Experience (2015) - [Microsoft Press] - Della Monica, Shilt, Rimmerman, Faldu.epub"/>
    <x v="3"/>
    <x v="13"/>
    <s v="Della Monica, Shilt, Rimmerman, Faldu"/>
    <s v=""/>
    <s v=".epub"/>
    <n v="140"/>
    <n v="37"/>
    <s v="Microsoft System Center, Software Update Management Field Experience"/>
  </r>
  <r>
    <s v="W:\Livres\Informatique\Microsoft Books 2016\Microsoft System Center, Software Update Management Field Experience (2015) - [Microsoft Press] - Della Monica, Shilt, Rimmerman, Faldu.pdf"/>
    <x v="3"/>
    <x v="13"/>
    <s v="Della Monica, Shilt, Rimmerman, Faldu"/>
    <s v=""/>
    <s v=".pdf"/>
    <n v="139"/>
    <n v="37"/>
    <s v="Microsoft System Center, Software Update Management Field Experience"/>
  </r>
  <r>
    <s v="W:\Livres\Informatique\Microsoft Books 2016\Moving to Microsoft Visual Studio 2010 (2011) - [Microsoft Press] - Patrice Pelland, Pascal Paré, Ken Haines.pdf"/>
    <x v="0"/>
    <x v="13"/>
    <s v="Patrice Pelland, Pascal Paré, Ken Haines"/>
    <s v=""/>
    <s v=".pdf"/>
    <n v="112"/>
    <n v="40"/>
    <s v="Moving to Microsoft Visual Studio 2010"/>
  </r>
  <r>
    <s v="W:\Livres\Informatique\Microsoft Books 2016\Office 2013, Access 2013 Quickstart Guide - [Microsoft].pdf"/>
    <x v="10"/>
    <x v="48"/>
    <s v="?"/>
    <s v=""/>
    <s v=".pdf"/>
    <n v="59"/>
    <n v="1"/>
    <s v="Office 2013, Access 2013 Quickstart Guide"/>
  </r>
  <r>
    <s v="W:\Livres\Informatique\Microsoft Books 2016\Office 2013, Create a Team Site Quickstart Guide - [Microsoft].pdf"/>
    <x v="10"/>
    <x v="48"/>
    <s v="?"/>
    <s v=""/>
    <s v=".pdf"/>
    <n v="66"/>
    <n v="1"/>
    <s v="Office 2013, Create a Team Site Quickstart Guide"/>
  </r>
  <r>
    <s v="W:\Livres\Informatique\Microsoft Books 2016\Office 2013, Excel 2013 Quickstart Guide - [Microsoft].pdf"/>
    <x v="10"/>
    <x v="48"/>
    <s v="?"/>
    <s v=""/>
    <s v=".pdf"/>
    <n v="58"/>
    <n v="1"/>
    <s v="Office 2013, Excel 2013 Quickstart Guide"/>
  </r>
  <r>
    <s v="W:\Livres\Informatique\Microsoft Books 2016\Office 2013, Lists Quickstart Guide - [Microsoft].pdf"/>
    <x v="10"/>
    <x v="48"/>
    <s v="?"/>
    <s v=""/>
    <s v=".pdf"/>
    <n v="53"/>
    <n v="1"/>
    <s v="Office 2013, Lists Quickstart Guide"/>
  </r>
  <r>
    <s v="W:\Livres\Informatique\Microsoft Books 2016\Office 2013, OneNote 2013 Quickstart Guide - [Microsoft].pdf"/>
    <x v="10"/>
    <x v="48"/>
    <s v="?"/>
    <s v=""/>
    <s v=".pdf"/>
    <n v="60"/>
    <n v="1"/>
    <s v="Office 2013, OneNote 2013 Quickstart Guide"/>
  </r>
  <r>
    <s v="W:\Livres\Informatique\Microsoft Books 2016\Office 2013, Outlook 2013 Quickstart Guide - [Microsoft].pdf"/>
    <x v="10"/>
    <x v="48"/>
    <s v="?"/>
    <s v=""/>
    <s v=".pdf"/>
    <n v="60"/>
    <n v="1"/>
    <s v="Office 2013, Outlook 2013 Quickstart Guide"/>
  </r>
  <r>
    <s v="W:\Livres\Informatique\Microsoft Books 2016\Office 2013, PowerPoint 2013 Quickstart Guide - [Microsoft].pdf"/>
    <x v="10"/>
    <x v="48"/>
    <s v="?"/>
    <s v=""/>
    <s v=".pdf"/>
    <n v="63"/>
    <n v="1"/>
    <s v="Office 2013, PowerPoint 2013 Quickstart Guide"/>
  </r>
  <r>
    <s v="W:\Livres\Informatique\Microsoft Books 2016\Office 2013, Project 2013 Quickstart Guide - [Microsoft].pdf"/>
    <x v="10"/>
    <x v="48"/>
    <s v="?"/>
    <s v=""/>
    <s v=".pdf"/>
    <n v="60"/>
    <n v="1"/>
    <s v="Office 2013, Project 2013 Quickstart Guide"/>
  </r>
  <r>
    <s v="W:\Livres\Informatique\Microsoft Books 2016\Office 2013, Publisher 2013 Quickstart Guide - [Microsoft].pdf"/>
    <x v="10"/>
    <x v="48"/>
    <s v="?"/>
    <s v=""/>
    <s v=".pdf"/>
    <n v="62"/>
    <n v="1"/>
    <s v="Office 2013, Publisher 2013 Quickstart Guide"/>
  </r>
  <r>
    <s v="W:\Livres\Informatique\Microsoft Books 2016\Office 2013, Store and Share Documents Quickstart Guide - [Microsoft].pdf"/>
    <x v="10"/>
    <x v="48"/>
    <s v="?"/>
    <s v=""/>
    <s v=".pdf"/>
    <n v="73"/>
    <n v="1"/>
    <s v="Office 2013, Store and Share Documents Quickstart Guide"/>
  </r>
  <r>
    <s v="W:\Livres\Informatique\Microsoft Books 2016\Office 2013, Word 2013 Quickstart Guide - [Microsoft].pdf"/>
    <x v="10"/>
    <x v="48"/>
    <s v="?"/>
    <s v=""/>
    <s v=".pdf"/>
    <n v="57"/>
    <n v="1"/>
    <s v="Office 2013, Word 2013 Quickstart Guide"/>
  </r>
  <r>
    <s v="W:\Livres\Informatique\Microsoft Books 2016\OneNote 2016 For Mac Quick Start Guide - [Microsoft].pdf"/>
    <x v="10"/>
    <x v="48"/>
    <s v="?"/>
    <s v=""/>
    <s v=".pdf"/>
    <n v="56"/>
    <n v="1"/>
    <s v="OneNote 2016 For Mac Quick Start Guide"/>
  </r>
  <r>
    <s v="W:\Livres\Informatique\Microsoft Books 2016\OneNote 2016 Quick Start Guide - [Microsoft].pdf"/>
    <x v="10"/>
    <x v="48"/>
    <s v="?"/>
    <s v=""/>
    <s v=".pdf"/>
    <n v="48"/>
    <n v="1"/>
    <s v="OneNote 2016 Quick Start Guide"/>
  </r>
  <r>
    <s v="W:\Livres\Informatique\Microsoft Books 2016\OneNote 2016 Tips Tricks - [Microsoft].pdf"/>
    <x v="10"/>
    <x v="48"/>
    <s v="?"/>
    <s v=""/>
    <s v=".pdf"/>
    <n v="42"/>
    <n v="1"/>
    <s v="OneNote 2016 Tips Tricks"/>
  </r>
  <r>
    <s v="W:\Livres\Informatique\Microsoft Books 2016\OneNote Mobile Quick Start Guide - [Microsoft].pdf"/>
    <x v="10"/>
    <x v="48"/>
    <s v="?"/>
    <s v=""/>
    <s v=".pdf"/>
    <n v="50"/>
    <n v="1"/>
    <s v="OneNote Mobile Quick Start Guide"/>
  </r>
  <r>
    <s v="W:\Livres\Informatique\Microsoft Books 2016\Outlook 2016 For Mac Quick Start Guide - [Microsoft].pdf"/>
    <x v="10"/>
    <x v="48"/>
    <s v="?"/>
    <s v=""/>
    <s v=".pdf"/>
    <n v="56"/>
    <n v="1"/>
    <s v="Outlook 2016 For Mac Quick Start Guide"/>
  </r>
  <r>
    <s v="W:\Livres\Informatique\Microsoft Books 2016\Outlook 2016 Quick Start Guide - [Microsoft].pdf"/>
    <x v="10"/>
    <x v="48"/>
    <s v="?"/>
    <s v=""/>
    <s v=".pdf"/>
    <n v="48"/>
    <n v="1"/>
    <s v="Outlook 2016 Quick Start Guide"/>
  </r>
  <r>
    <s v="W:\Livres\Informatique\Microsoft Books 2016\Outlook 2016 Tips Tricks - [Microsoft].pdf"/>
    <x v="10"/>
    <x v="48"/>
    <s v="?"/>
    <s v=""/>
    <s v=".pdf"/>
    <n v="42"/>
    <n v="1"/>
    <s v="Outlook 2016 Tips Tricks"/>
  </r>
  <r>
    <s v="W:\Livres\Informatique\Microsoft Books 2016\Planning SharePoint Hybrid 8.5 (2016) - [Microsoft Press] - Jeremy Taylor.pdf"/>
    <x v="2"/>
    <x v="13"/>
    <s v="Jeremy Taylor"/>
    <s v=""/>
    <s v=".pdf"/>
    <n v="77"/>
    <n v="13"/>
    <s v="Planning SharePoint Hybrid 8.5"/>
  </r>
  <r>
    <s v="W:\Livres\Informatique\Microsoft Books 2016\Planning SharePoint Hybrid 8.5 (2016) {Mobile format} - [Microsoft Press] - Jeremy Taylor.pdf"/>
    <x v="2"/>
    <x v="13"/>
    <s v="Jeremy Taylor"/>
    <s v="Mobile format"/>
    <s v=".pdf"/>
    <n v="93"/>
    <n v="13"/>
    <s v="Planning SharePoint Hybrid 8.5"/>
  </r>
  <r>
    <s v="W:\Livres\Informatique\Microsoft Books 2016\QuickStart, Learn DAX Basics in 30 Minutes (2012) - [Microsoft] - Owen Duncan.epub"/>
    <x v="8"/>
    <x v="48"/>
    <s v="Owen Duncan"/>
    <s v=""/>
    <s v=".epub"/>
    <n v="82"/>
    <n v="11"/>
    <s v="QuickStart, Learn DAX Basics in 30 Minutes"/>
  </r>
  <r>
    <s v="W:\Livres\Informatique\Microsoft Books 2016\QuickStart, Learn DAX Basics in 30 Minutes (2012) - [Microsoft] - Owen Duncan.pdf"/>
    <x v="8"/>
    <x v="48"/>
    <s v="Owen Duncan"/>
    <s v=""/>
    <s v=".pdf"/>
    <n v="81"/>
    <n v="11"/>
    <s v="QuickStart, Learn DAX Basics in 30 Minutes"/>
  </r>
  <r>
    <s v="W:\Livres\Informatique\Microsoft Books 2016\System Center, Building a Virtualized Network Solution (2nd ed, 2015) - [Microsoft Press] - Cain, Luescher, Flynn, Morales, Tulloch.epub"/>
    <x v="3"/>
    <x v="13"/>
    <s v="Cain, Luescher, Flynn, Morales, Tulloch"/>
    <s v=""/>
    <s v=".epub"/>
    <n v="136"/>
    <n v="39"/>
    <s v="System Center, Building a Virtualized Network Solution"/>
  </r>
  <r>
    <s v="W:\Livres\Informatique\Microsoft Books 2016\System Center, Building a Virtualized Network Solution (2nd ed, 2015) - [Microsoft Press] - Cain, Luescher, Flynn, Morales, Tulloch.pdf"/>
    <x v="3"/>
    <x v="13"/>
    <s v="Cain, Luescher, Flynn, Morales, Tulloch"/>
    <s v=""/>
    <s v=".pdf"/>
    <n v="135"/>
    <n v="39"/>
    <s v="System Center, Building a Virtualized Network Solution"/>
  </r>
  <r>
    <s v="W:\Livres\Informatique\Microsoft Books 2016\System Center, Configuration Manager Field Experience (2013) - [Microsoft Press] - Faldu, Raval, Linton, Pandey.epub"/>
    <x v="5"/>
    <x v="13"/>
    <s v="Faldu, Raval, Linton, Pandey"/>
    <s v=""/>
    <s v=".epub"/>
    <n v="116"/>
    <n v="28"/>
    <s v="System Center, Configuration Manager Field Experience"/>
  </r>
  <r>
    <s v="W:\Livres\Informatique\Microsoft Books 2016\System Center, Configuration Manager Field Experience (2013) - [Microsoft Press] - Faldu, Raval, Linton, Pandey.pdf"/>
    <x v="5"/>
    <x v="13"/>
    <s v="Faldu, Raval, Linton, Pandey"/>
    <s v=""/>
    <s v=".pdf"/>
    <n v="115"/>
    <n v="28"/>
    <s v="System Center, Configuration Manager Field Experience"/>
  </r>
  <r>
    <s v="W:\Livres\Informatique\Microsoft Books 2016\System Center, Designing Orchestrator Run Books (2013) - [Microsoft Press] - Ziembicki, Cushner, Rynes, Tulloch.epub"/>
    <x v="5"/>
    <x v="13"/>
    <s v="Ziembicki, Cushner, Rynes, Tulloch"/>
    <s v=""/>
    <s v=".epub"/>
    <n v="116"/>
    <n v="34"/>
    <s v="System Center, Designing Orchestrator Run Books"/>
  </r>
  <r>
    <s v="W:\Livres\Informatique\Microsoft Books 2016\System Center, Designing Orchestrator Run Books (2013) - [Microsoft Press] - Ziembicki, Cushner, Rynes, Tulloch.pdf"/>
    <x v="5"/>
    <x v="13"/>
    <s v="Ziembicki, Cushner, Rynes, Tulloch"/>
    <s v=""/>
    <s v=".pdf"/>
    <n v="115"/>
    <n v="34"/>
    <s v="System Center, Designing Orchestrator Run Books"/>
  </r>
  <r>
    <s v="W:\Livres\Informatique\Microsoft Books 2016\System Center, Optimizing Service Manager (2013) - [Microsoft Press] - Ellermann, Wilson, Nielsen, Clark.epub"/>
    <x v="5"/>
    <x v="13"/>
    <s v="Ellermann, Wilson, Nielsen, Clark"/>
    <s v=""/>
    <s v=".epub"/>
    <n v="109"/>
    <n v="33"/>
    <s v="System Center, Optimizing Service Manager"/>
  </r>
  <r>
    <s v="W:\Livres\Informatique\Microsoft Books 2016\System Center, Optimizing Service Manager (2013) - [Microsoft Press] - Ellermann, Wilson, Nielsen, Clark.pdf"/>
    <x v="5"/>
    <x v="13"/>
    <s v="Ellermann, Wilson, Nielsen, Clark"/>
    <s v=""/>
    <s v=".pdf"/>
    <n v="108"/>
    <n v="33"/>
    <s v="System Center, Optimizing Service Manager"/>
  </r>
  <r>
    <s v="W:\Livres\Informatique\Microsoft Books 2016\System Center, Troubleshooting Configuration Manager (2013) - [Microsoft Press] - Faldu, Kumar Pal, Della Monica, Pandey, Tulloch.epub"/>
    <x v="5"/>
    <x v="13"/>
    <s v="Faldu, Kumar Pal, Della Monica, Pandey, Tulloch"/>
    <s v=""/>
    <s v=".epub"/>
    <n v="134"/>
    <n v="47"/>
    <s v="System Center, Troubleshooting Configuration Manager"/>
  </r>
  <r>
    <s v="W:\Livres\Informatique\Microsoft Books 2016\System Center, Troubleshooting Configuration Manager (2013) - [Microsoft Press] - Faldu, Kumar Pal, Della Monica, Pandey, Tulloch.pdf"/>
    <x v="5"/>
    <x v="13"/>
    <s v="Faldu, Kumar Pal, Della Monica, Pandey, Tulloch"/>
    <s v=""/>
    <s v=".pdf"/>
    <n v="133"/>
    <n v="47"/>
    <s v="System Center, Troubleshooting Configuration Manager"/>
  </r>
  <r>
    <s v="W:\Livres\Informatique\Microsoft Books 2016\Understanding Virtualization Solutions (2nd ed, 2010) - [Microsoft Press] - Mike Tulloch.pdf"/>
    <x v="14"/>
    <x v="13"/>
    <s v="Mike Tulloch"/>
    <s v=""/>
    <s v=".pdf"/>
    <n v="92"/>
    <n v="12"/>
    <s v="Understanding Virtualization Solutions"/>
  </r>
  <r>
    <s v="W:\Livres\Informatique\Microsoft Books 2016\Windows 10 IT Pro Essentials, Top 10 tools (2016) - [Microsoft Press] - Ed Bott.pdf"/>
    <x v="2"/>
    <x v="13"/>
    <s v="Ed Bott"/>
    <s v=""/>
    <s v=".pdf"/>
    <n v="83"/>
    <n v="7"/>
    <s v="Windows 10 IT Pro Essentials, Top 10 tools"/>
  </r>
  <r>
    <s v="W:\Livres\Informatique\Microsoft Books 2016\Windows 10 IT Pro Essentials, Top 10 tools (2016) {Mobile Format} - [Microsoft Press] - Ed Bott.pdf"/>
    <x v="2"/>
    <x v="13"/>
    <s v="Ed Bott"/>
    <s v="Mobile format"/>
    <s v=".pdf"/>
    <n v="99"/>
    <n v="7"/>
    <s v="Windows 10 IT Pro Essentials, Top 10 tools"/>
  </r>
  <r>
    <s v="W:\Livres\Informatique\Microsoft Books 2016\Word 2016 for Mac Quick Start Guide - [Microsoft].pdf"/>
    <x v="10"/>
    <x v="48"/>
    <s v="?"/>
    <s v=""/>
    <s v=".pdf"/>
    <n v="53"/>
    <n v="1"/>
    <s v="Word 2016 for Mac Quick Start Guide"/>
  </r>
  <r>
    <s v="W:\Livres\Informatique\Microsoft Books 2016\Word 2016 Quick Start Guide - [Microsoft].pdf"/>
    <x v="10"/>
    <x v="48"/>
    <s v="?"/>
    <s v=""/>
    <s v=".pdf"/>
    <n v="45"/>
    <n v="1"/>
    <s v="Word 2016 Quick Start Guide"/>
  </r>
  <r>
    <s v="W:\Livres\Informatique\Microsoft Books 2016\Word Mobile Quick Start Guide - [Microsoft].pdf"/>
    <x v="10"/>
    <x v="48"/>
    <s v="?"/>
    <s v=""/>
    <s v=".pdf"/>
    <n v="47"/>
    <n v="1"/>
    <s v="Word Mobile Quick Start Guide"/>
  </r>
  <r>
    <s v="W:\Livres\Informatique\Microsoft Office\41 fiches pratiques pour maîtriser les fonctions essentielles d'Excel {Document} - Benjamin Rochereau.pdf"/>
    <x v="10"/>
    <x v="8"/>
    <s v="Benjamin Rochereau"/>
    <s v="Document"/>
    <s v=".pdf"/>
    <n v="105"/>
    <n v="18"/>
    <s v="41 fiches pratiques pour maîtriser les fonctions essentielles d'Excel"/>
  </r>
  <r>
    <s v="W:\Livres\Informatique\Microsoft Office\Access Database Design &amp; Programming (3rd ed, 2002) {Dump} - [O'Reilly] - Steven Roman.pdf"/>
    <x v="16"/>
    <x v="4"/>
    <s v="Steven Roman"/>
    <s v="Dump"/>
    <s v=".pdf"/>
    <n v="90"/>
    <n v="12"/>
    <s v="Access Database Design &amp; Programming"/>
  </r>
  <r>
    <s v="W:\Livres\Informatique\Microsoft Office\Construire un tableau de bord pertinent sous Excel (3è ed, 2013) - [Eyrolles] - Bernard Lebelle.pdf"/>
    <x v="5"/>
    <x v="6"/>
    <s v="Bernard Lebelle"/>
    <s v=""/>
    <s v=".pdf"/>
    <n v="99"/>
    <n v="15"/>
    <s v="Construire un tableau de bord pertinent sous Excel"/>
  </r>
  <r>
    <s v="W:\Livres\Informatique\Microsoft Office\Excel 2007 VBA Macro Programming (2010) - [McGraw-Hill] - Richard Shepherd.pdf"/>
    <x v="14"/>
    <x v="41"/>
    <s v="Richard Shepherd"/>
    <s v=""/>
    <s v=".pdf"/>
    <n v="78"/>
    <n v="16"/>
    <s v="Excel 2007 VBA Macro Programming"/>
  </r>
  <r>
    <s v="W:\Livres\Informatique\Microsoft Office\Excel 2013 Avancé (2013) - [Eyrolles] - Philippe Moreau.pdf"/>
    <x v="5"/>
    <x v="6"/>
    <s v="Philippe Moreau"/>
    <s v=""/>
    <s v=".pdf"/>
    <n v="59"/>
    <n v="15"/>
    <s v="Excel 2013 Avancé"/>
  </r>
  <r>
    <s v="W:\Livres\Informatique\Microsoft Office\Excel 2013 Initiation (2013) - [Eyrolles] - Philippe Moreau.pdf"/>
    <x v="5"/>
    <x v="6"/>
    <s v="Philippe Moreau"/>
    <s v=""/>
    <s v=".pdf"/>
    <n v="63"/>
    <n v="15"/>
    <s v="Excel 2013 Initiation"/>
  </r>
  <r>
    <s v="W:\Livres\Informatique\Microsoft Office\Excel 2013 programmation VBA (2014) - [Eyrolles] - Daniel-Jean David.pdf"/>
    <x v="6"/>
    <x v="6"/>
    <s v="Daniel-Jean David"/>
    <s v=""/>
    <s v=".pdf"/>
    <n v="72"/>
    <n v="17"/>
    <s v="Excel 2013 programmation VBA"/>
  </r>
  <r>
    <s v="W:\Livres\Informatique\Microsoft Office\Excel et le VBA (2010) - [Pearson] - Mikaël Bidault.pdf"/>
    <x v="14"/>
    <x v="7"/>
    <s v="Mikaël Bidault"/>
    <s v=""/>
    <s v=".pdf"/>
    <n v="55"/>
    <n v="14"/>
    <s v="Excel et le VBA"/>
  </r>
  <r>
    <s v="W:\Livres\Informatique\Microsoft Office\Excel expert, Fonctions, TCD, simulations, visualisation, bases de données (2è ed, 2014) - [Eyrolles] - Nathalie Barbary.pdf"/>
    <x v="6"/>
    <x v="6"/>
    <s v="Nathalie Barbary"/>
    <s v=""/>
    <s v=".pdf"/>
    <n v="124"/>
    <n v="16"/>
    <s v="Excel expert, Fonctions, TCD, simulations, visualisation, bases de données"/>
  </r>
  <r>
    <s v="W:\Livres\Informatique\Microsoft Office\Excel VBA Programming for Dummies (3rd ed, 2013) - [Wiley] - John Walkenbach.pdf"/>
    <x v="5"/>
    <x v="22"/>
    <s v="John Walkenbach"/>
    <s v=""/>
    <s v=".pdf"/>
    <n v="80"/>
    <n v="15"/>
    <s v="Excel VBA Programming for Dummies"/>
  </r>
  <r>
    <s v="W:\Livres\Informatique\Microsoft Office\Excel VBA Programming for Dummies (3rd ed, 2013), Example Files.rar"/>
    <x v="5"/>
    <x v="8"/>
    <s v="?"/>
    <s v=""/>
    <s v=".rar"/>
    <n v="67"/>
    <n v="1"/>
    <s v="Excel VBA Programming for Dummies"/>
  </r>
  <r>
    <s v="W:\Livres\Informatique\Microsoft Office\J'apprends à me servir de PowerPoint 2013 {Document} - Joël Green.epub"/>
    <x v="10"/>
    <x v="8"/>
    <s v="Joël Green"/>
    <s v="Document"/>
    <s v=".epub"/>
    <n v="70"/>
    <n v="10"/>
    <s v="J'apprends à me servir de PowerPoint 2013"/>
  </r>
  <r>
    <s v="W:\Livres\Informatique\Microsoft Office\J'apprends à me servir de PowerPoint 2013 {Document} - Joël Green.pdf"/>
    <x v="10"/>
    <x v="8"/>
    <s v="Joël Green"/>
    <s v="Document"/>
    <s v=".pdf"/>
    <n v="69"/>
    <n v="10"/>
    <s v="J'apprends à me servir de PowerPoint 2013"/>
  </r>
  <r>
    <s v="W:\Livres\Informatique\Microsoft Office\J'apprends à me servir de Word 2013 {Document} - Joël Green.pdf"/>
    <x v="10"/>
    <x v="8"/>
    <s v="Joël Green"/>
    <s v="Document"/>
    <s v=".pdf"/>
    <n v="63"/>
    <n v="10"/>
    <s v="J'apprends à me servir de Word 2013"/>
  </r>
  <r>
    <s v="W:\Livres\Informatique\Microsoft Office\Je me perfectionne avec Access 2013 {Document} - Joël Green.epub"/>
    <x v="10"/>
    <x v="8"/>
    <s v="Joël Green"/>
    <s v="Document"/>
    <s v=".epub"/>
    <n v="64"/>
    <n v="10"/>
    <s v="Je me perfectionne avec Access 2013"/>
  </r>
  <r>
    <s v="W:\Livres\Informatique\Microsoft Office\Je me perfectionne avec Access 2013 {Document} - Joël Green.pdf"/>
    <x v="10"/>
    <x v="8"/>
    <s v="Joël Green"/>
    <s v="Document"/>
    <s v=".pdf"/>
    <n v="63"/>
    <n v="10"/>
    <s v="Je me perfectionne avec Access 2013"/>
  </r>
  <r>
    <s v="W:\Livres\Informatique\Microsoft Office\Je me perfectionne avec Access 2016, Développer une application {Document} - Joël Green.epub"/>
    <x v="10"/>
    <x v="8"/>
    <s v="Joël Green"/>
    <s v="Document"/>
    <s v=".epub"/>
    <n v="92"/>
    <n v="10"/>
    <s v="Je me perfectionne avec Access 2016, Développer une application"/>
  </r>
  <r>
    <s v="W:\Livres\Informatique\Microsoft Office\Je me perfectionne avec Access 2016, Développer une application {Document} - Joël Green.pdf"/>
    <x v="10"/>
    <x v="8"/>
    <s v="Joël Green"/>
    <s v="Document"/>
    <s v=".pdf"/>
    <n v="91"/>
    <n v="10"/>
    <s v="Je me perfectionne avec Access 2016, Développer une application"/>
  </r>
  <r>
    <s v="W:\Livres\Informatique\Microsoft Office\Je me perfectionne avec Excel 2016, Graphiques, consolidation, plan, solveur {Document} - Joël Green.epub"/>
    <x v="10"/>
    <x v="8"/>
    <s v="Joël Green"/>
    <s v="Document"/>
    <s v=".epub"/>
    <n v="105"/>
    <n v="10"/>
    <s v="Je me perfectionne avec Excel 2016, Graphiques, consolidation, plan, solveur"/>
  </r>
  <r>
    <s v="W:\Livres\Informatique\Microsoft Office\Je me perfectionne avec Excel 2016, Graphiques, consolidation, plan, solveur {Document} - Joël Green.pdf"/>
    <x v="10"/>
    <x v="8"/>
    <s v="Joël Green"/>
    <s v="Document"/>
    <s v=".pdf"/>
    <n v="104"/>
    <n v="10"/>
    <s v="Je me perfectionne avec Excel 2016, Graphiques, consolidation, plan, solveur"/>
  </r>
  <r>
    <s v="W:\Livres\Informatique\Microsoft Office\Je me perfectionne avec Excel 2016, Traitement de données {Document} - Joël Green.epub"/>
    <x v="10"/>
    <x v="8"/>
    <s v="Joël Green"/>
    <s v="Document"/>
    <s v=".epub"/>
    <n v="86"/>
    <n v="10"/>
    <s v="Je me perfectionne avec Excel 2016, Traitement de données"/>
  </r>
  <r>
    <s v="W:\Livres\Informatique\Microsoft Office\Je me perfectionne avec Excel 2016, Traitement de données {Document} - Joël Green.pdf"/>
    <x v="10"/>
    <x v="8"/>
    <s v="Joël Green"/>
    <s v="Document"/>
    <s v=".pdf"/>
    <n v="85"/>
    <n v="10"/>
    <s v="Je me perfectionne avec Excel 2016, Traitement de données"/>
  </r>
  <r>
    <s v="W:\Livres\Informatique\Microsoft Office\Je me perfectionne avec Word 2016, Écrire un livre avec Word {Document} - Joël Green.epub"/>
    <x v="10"/>
    <x v="8"/>
    <s v="Joël Green"/>
    <s v="Document"/>
    <s v=".epub"/>
    <n v="89"/>
    <n v="10"/>
    <s v="Je me perfectionne avec Word 2016, Écrire un livre avec Word"/>
  </r>
  <r>
    <s v="W:\Livres\Informatique\Microsoft Office\Je me perfectionne avec Word 2016, Écrire un livre avec Word {Document} - Joël Green.pdf"/>
    <x v="10"/>
    <x v="8"/>
    <s v="Joël Green"/>
    <s v="Document"/>
    <s v=".pdf"/>
    <n v="88"/>
    <n v="10"/>
    <s v="Je me perfectionne avec Word 2016, Écrire un livre avec Word"/>
  </r>
  <r>
    <s v="W:\Livres\Informatique\Microsoft Office\Je me perfectionne avec Word 2016, Modèle, mailing, macros {Document} - Joël Green.epub"/>
    <x v="10"/>
    <x v="8"/>
    <s v="Joël Green"/>
    <s v="Document"/>
    <s v=".epub"/>
    <n v="87"/>
    <n v="10"/>
    <s v="Je me perfectionne avec Word 2016, Modèle, mailing, macros"/>
  </r>
  <r>
    <s v="W:\Livres\Informatique\Microsoft Office\Je me perfectionne avec Word 2016, Modèle, mailing, macros {Document} - Joël Green.pdf"/>
    <x v="10"/>
    <x v="8"/>
    <s v="Joël Green"/>
    <s v="Document"/>
    <s v=".pdf"/>
    <n v="86"/>
    <n v="10"/>
    <s v="Je me perfectionne avec Word 2016, Modèle, mailing, macros"/>
  </r>
  <r>
    <s v="W:\Livres\Informatique\Microsoft Office\Microsoft Office 365 (2011) - [Microsoft Press] - Katherine Murray.pdf"/>
    <x v="0"/>
    <x v="13"/>
    <s v="Katherine Murray"/>
    <s v=""/>
    <s v=".pdf"/>
    <n v="70"/>
    <n v="16"/>
    <s v="Microsoft Office 365"/>
  </r>
  <r>
    <s v="W:\Livres\Informatique\Microsoft Office\Modes opératoires Microsoft Office 2013, Office 365 et 2013 (2013) - [Le génie des glaciers] - Claude Terrier.pdf"/>
    <x v="5"/>
    <x v="145"/>
    <s v="Claude Terrier"/>
    <s v=""/>
    <s v=".pdf"/>
    <n v="113"/>
    <n v="14"/>
    <s v="Modes opératoires Microsoft Office 2013, Office 365 et 2013"/>
  </r>
  <r>
    <s v="W:\Livres\Informatique\Microsoft Office\Pourquoi PowerPoint ne sert à rien... Si on s'en sert mal (2016) - [Gereso] - Pascal Haumont.pdf"/>
    <x v="2"/>
    <x v="12"/>
    <s v="Pascal Haumont"/>
    <s v=""/>
    <s v=".pdf"/>
    <n v="96"/>
    <n v="14"/>
    <s v="Pourquoi PowerPoint ne sert à rien... Si on s'en sert mal"/>
  </r>
  <r>
    <s v="W:\Livres\Informatique\Microsoft Office\Prise en main de Microsoft Office Excel 2016 {Document} - Schadrac Kande.pdf"/>
    <x v="10"/>
    <x v="8"/>
    <s v="Schadrac Kande"/>
    <s v="Document"/>
    <s v=".pdf"/>
    <n v="76"/>
    <n v="14"/>
    <s v="Prise en main de Microsoft Office Excel 2016"/>
  </r>
  <r>
    <s v="W:\Livres\Informatique\Microsoft Office\Programmation linéaire avec Excel (2011) - [Eyrolles] - Christian Prins, Marc Sevaux.pdf"/>
    <x v="0"/>
    <x v="6"/>
    <s v="Christian Prins, Marc Sevaux"/>
    <s v=""/>
    <s v=".pdf"/>
    <n v="88"/>
    <n v="28"/>
    <s v="Programmation linéaire avec Excel"/>
  </r>
  <r>
    <s v="W:\Livres\Informatique\Microsoft Office\Project 2010 pour les nuls (2010) - [First] - Nancy C. Muir.pdf"/>
    <x v="14"/>
    <x v="78"/>
    <s v="Nancy C. Muir"/>
    <s v=""/>
    <s v=".pdf"/>
    <n v="63"/>
    <n v="13"/>
    <s v="Project 2010 pour les nuls"/>
  </r>
  <r>
    <s v="W:\Livres\Informatique\Microsoft Office\Réaliser des graphiques avec Excel, 30 modèles percutants (2016) - [Eyrolles] - Jean-Marc Lagoda, Frédéric Rosard.pdf"/>
    <x v="2"/>
    <x v="6"/>
    <s v="Jean-Marc Lagoda, Frédéric Rosard"/>
    <s v=""/>
    <s v=".pdf"/>
    <n v="117"/>
    <n v="33"/>
    <s v="Réaliser des graphiques avec Excel, 30 modèles percutants"/>
  </r>
  <r>
    <s v="W:\Livres\Informatique\Microsoft Office\Security and Privacy for Microsoft Office 2010 Users (2012) - [Microsoft Press] - Mitch Tulloch.epub"/>
    <x v="8"/>
    <x v="13"/>
    <s v="Mitch Tulloch"/>
    <s v=""/>
    <s v=".epub"/>
    <n v="100"/>
    <n v="13"/>
    <s v="Security and Privacy for Microsoft Office 2010 Users"/>
  </r>
  <r>
    <s v="W:\Livres\Informatique\Microsoft Office\Security and Privacy for Microsoft Office 2010 Users (2012) - [Microsoft Press] - Mitch Tulloch.pdf"/>
    <x v="8"/>
    <x v="13"/>
    <s v="Mitch Tulloch"/>
    <s v=""/>
    <s v=".pdf"/>
    <n v="99"/>
    <n v="13"/>
    <s v="Security and Privacy for Microsoft Office 2010 Users"/>
  </r>
  <r>
    <s v="W:\Livres\Informatique\Microsoft Office\SharePoint 2013, 40 recettes de pros (2014) - [Dunod] - Pierre Erol Giraudy.pdf"/>
    <x v="6"/>
    <x v="2"/>
    <s v="Pierre Erol Giraudy"/>
    <s v=""/>
    <s v=".pdf"/>
    <n v="79"/>
    <n v="19"/>
    <s v="SharePoint 2013, 40 recettes de pros"/>
  </r>
  <r>
    <s v="W:\Livres\Informatique\Microsoft Office\Travaux pratiques avec Excel 2007 et 2010 (2011) - [Dunod] - Fabrice Lemainque.pdf"/>
    <x v="0"/>
    <x v="2"/>
    <s v="Fabrice Lemainque"/>
    <s v=""/>
    <s v=".pdf"/>
    <n v="82"/>
    <n v="17"/>
    <s v="Travaux pratiques avec Excel 2007 et 2010"/>
  </r>
  <r>
    <s v="W:\Livres\Informatique\Microsoft Office\Travaux pratiques avec Excel 2007 et 2010, Fonctions avancées (2012) - [Dunod] - Fabrice Lemainque.pdf"/>
    <x v="8"/>
    <x v="2"/>
    <s v="Fabrice Lemainque"/>
    <s v=""/>
    <s v=".pdf"/>
    <n v="102"/>
    <n v="17"/>
    <s v="Travaux pratiques avec Excel 2007 et 2010, Fonctions avancées"/>
  </r>
  <r>
    <s v="W:\Livres\Informatique\Microsoft Office\Travaux pratiques avec Excel 2016 (2016) - [Dunod] - Fabrice Lemainque.pdf"/>
    <x v="2"/>
    <x v="2"/>
    <s v="Fabrice Lemainque"/>
    <s v=""/>
    <s v=".pdf"/>
    <n v="74"/>
    <n v="17"/>
    <s v="Travaux pratiques avec Excel 2016"/>
  </r>
  <r>
    <s v="W:\Livres\Informatique\Microsoft Office\Travaux pratiques avec PowerPoint 2007 à 2013 (2014) - [Dunod] - Christine Eberhardt.pdf"/>
    <x v="6"/>
    <x v="2"/>
    <s v="Christine Eberhardt"/>
    <s v=""/>
    <s v=".pdf"/>
    <n v="88"/>
    <n v="19"/>
    <s v="Travaux pratiques avec PowerPoint 2007 à 2013"/>
  </r>
  <r>
    <s v="W:\Livres\Informatique\Microsoft Office\Travaux pratiques avec Word 2013 (2014) - [Dunod] - Christine Eberhardt.pdf"/>
    <x v="6"/>
    <x v="2"/>
    <s v="Christine Eberhardt"/>
    <s v=""/>
    <s v=".pdf"/>
    <n v="75"/>
    <n v="19"/>
    <s v="Travaux pratiques avec Word 2013"/>
  </r>
  <r>
    <s v="W:\Livres\Informatique\Microsoft Office\Travaux pratiques avec Word 2016 (2016) - [Dunod] - Christine Eberhardt.pdf"/>
    <x v="2"/>
    <x v="2"/>
    <s v="Christine Eberhardt"/>
    <s v=""/>
    <s v=".pdf"/>
    <n v="75"/>
    <n v="19"/>
    <s v="Travaux pratiques avec Word 2016"/>
  </r>
  <r>
    <s v="W:\Livres\Informatique\Microsoft Office\VB VBA in a Nutshell (1998) - [O'Reilly] - Paul Lomax.pdf"/>
    <x v="12"/>
    <x v="4"/>
    <s v="Paul Lomax"/>
    <s v=""/>
    <s v=".pdf"/>
    <n v="57"/>
    <n v="10"/>
    <s v="VB VBA in a Nutshell"/>
  </r>
  <r>
    <s v="W:\Livres\Informatique\Microsoft Office\VBA pour Excel 2010, 2013 et 2016 (2016) - [Eyrolles] - Daniel Jean-David.pdf"/>
    <x v="2"/>
    <x v="6"/>
    <s v="Daniel Jean-David"/>
    <s v=""/>
    <s v=".pdf"/>
    <n v="77"/>
    <n v="17"/>
    <s v="VBA pour Excel 2010, 2013 et 2016"/>
  </r>
  <r>
    <s v="W:\Livres\Informatique\Microsoft Office\VBA pour Excel 2010, 2013 et 2016 (2016), Fichiers.zip"/>
    <x v="2"/>
    <x v="8"/>
    <s v="?"/>
    <s v=""/>
    <s v=".zip"/>
    <n v="54"/>
    <n v="1"/>
    <s v="VBA pour Excel 2010, 2013 et 2016"/>
  </r>
  <r>
    <s v="W:\Livres\Informatique\Microsoft Office\Writing Excel Macros with VBA (2nd ed, 2002) {Dump} - [O'Reilly] - Steven Roman.pdf"/>
    <x v="16"/>
    <x v="4"/>
    <s v="Steven Roman"/>
    <s v="Dump"/>
    <s v=".pdf"/>
    <n v="83"/>
    <n v="12"/>
    <s v="Writing Excel Macros with VBA"/>
  </r>
  <r>
    <s v="W:\Livres\Informatique\Neural Networks, Machine Learning, IA\Artificial Intelligence for Humans, Vol 3, Deep learning and neural networks (2015) - [Heaton Research] - Jeff Heaton.pdf"/>
    <x v="3"/>
    <x v="146"/>
    <s v="Jeff Heaton"/>
    <s v=""/>
    <s v=".pdf"/>
    <n v="121"/>
    <n v="11"/>
    <s v="Artificial Intelligence for Humans, Vol 3, Deep learning and neural networks"/>
  </r>
  <r>
    <s v="W:\Livres\Informatique\Neural Networks, Machine Learning, IA\Big Data et Machine Learning (2015) - [Dunod] - Lemberger, Batty, Morel, Rafaëlli.pdf"/>
    <x v="3"/>
    <x v="2"/>
    <s v="Lemberger, Batty, Morel, Rafaëlli"/>
    <s v=""/>
    <s v=".pdf"/>
    <n v="85"/>
    <n v="33"/>
    <s v="Big Data et Machine Learning"/>
  </r>
  <r>
    <s v="W:\Livres\Informatique\Neural Networks, Machine Learning, IA\Deep Learning in Python - LazyProgrammer.epub"/>
    <x v="10"/>
    <x v="8"/>
    <s v="LazyProgrammer"/>
    <s v=""/>
    <s v=".epub"/>
    <n v="45"/>
    <n v="14"/>
    <s v="Deep Learning in Python"/>
  </r>
  <r>
    <s v="W:\Livres\Informatique\Neural Networks, Machine Learning, IA\Deep Learning in Python - LazyProgrammer.pdf"/>
    <x v="10"/>
    <x v="8"/>
    <s v="LazyProgrammer"/>
    <s v=""/>
    <s v=".pdf"/>
    <n v="44"/>
    <n v="14"/>
    <s v="Deep Learning in Python"/>
  </r>
  <r>
    <s v="W:\Livres\Informatique\Neural Networks, Machine Learning, IA\Exploring Neural Networks with C# (2015) - [CRC Press] - Tadeusiewicz, Chaki.pdf"/>
    <x v="3"/>
    <x v="21"/>
    <s v="Tadeusiewicz, Chaki"/>
    <s v=""/>
    <s v=".pdf"/>
    <n v="80"/>
    <n v="19"/>
    <s v="Exploring Neural Networks with C#"/>
  </r>
  <r>
    <s v="W:\Livres\Informatique\Neural Networks, Machine Learning, IA\F# for Machine Learning (2016) - [Packt] - Sudipta Mukherjee.pdf"/>
    <x v="2"/>
    <x v="14"/>
    <s v="Sudipta Mukherjee"/>
    <s v=""/>
    <s v=".pdf"/>
    <n v="64"/>
    <n v="17"/>
    <s v="F# for Machine Learning"/>
  </r>
  <r>
    <s v="W:\Livres\Informatique\Neural Networks, Machine Learning, IA\FPGA Implementations of Neural Networks (2006) - [Springer] - Amos R. Omondi, Jagath C. Rajapakse.pdf"/>
    <x v="17"/>
    <x v="9"/>
    <s v="Amos R. Omondi, Jagath C. Rajapakse"/>
    <s v=""/>
    <s v=".pdf"/>
    <n v="101"/>
    <n v="35"/>
    <s v="FPGA Implementations of Neural Networks"/>
  </r>
  <r>
    <s v="W:\Livres\Informatique\Neural Networks, Machine Learning, IA\Intelligence artificielle et informatique théorique (2è ed, 2002) - [Cépaduès] - Alliot, Schiex, Brisset, Garcia.pdf"/>
    <x v="16"/>
    <x v="147"/>
    <s v="Alliot, Schiex, Brisset, Garcia"/>
    <s v=""/>
    <s v=".pdf"/>
    <n v="116"/>
    <n v="31"/>
    <s v="Intelligence artificielle et informatique théorique"/>
  </r>
  <r>
    <s v="W:\Livres\Informatique\Neural Networks, Machine Learning, IA\Neural Networks for Pattern Recognition (1995) {Scan} - [Clarendon Press] - Christopher M. Bishop.pdf"/>
    <x v="28"/>
    <x v="148"/>
    <s v="Christopher M. Bishop"/>
    <s v="Scan"/>
    <s v=".pdf"/>
    <n v="101"/>
    <n v="21"/>
    <s v="Neural Networks for Pattern Recognition"/>
  </r>
  <r>
    <s v="W:\Livres\Informatique\Neural Networks, Machine Learning, IA\Panorama de l'intelligence artificielle\Panorama de l'IA, 01, Représentation des connaissances et formalisation des raisonnements (2014) - [Cépaduès] - Pierre Marquis, Odile Papini.pdf"/>
    <x v="6"/>
    <x v="147"/>
    <s v="Pierre Marquis, Odile Papini"/>
    <s v=""/>
    <s v=".pdf"/>
    <n v="144"/>
    <n v="28"/>
    <s v="Panorama de l'IA, 01, Représentation des connaissances et formalisation des raisonnements"/>
  </r>
  <r>
    <s v="W:\Livres\Informatique\Neural Networks, Machine Learning, IA\Panorama de l'intelligence artificielle\Panorama de l'IA, 02, Algorithmes pour l'intelligence artificielle (2014) - [Cépaduès] - Pierre Marquis, Odile Papini.pdf"/>
    <x v="6"/>
    <x v="147"/>
    <s v="Pierre Marquis, Odile Papini"/>
    <s v=""/>
    <s v=".pdf"/>
    <n v="121"/>
    <n v="28"/>
    <s v="Panorama de l'IA, 02, Algorithmes pour l'intelligence artificielle"/>
  </r>
  <r>
    <s v="W:\Livres\Informatique\Neural Networks, Machine Learning, IA\Panorama de l'intelligence artificielle\Panorama de l'IA, 03, L'intelligence artificielle, frontières et applications (2014) - [Cépaduès] - Pierre Marquis, Odile Papini.pdf"/>
    <x v="6"/>
    <x v="147"/>
    <s v="Pierre Marquis, Odile Papini"/>
    <s v=""/>
    <s v=".pdf"/>
    <n v="132"/>
    <n v="28"/>
    <s v="Panorama de l'IA, 03, L'intelligence artificielle, frontières et applications"/>
  </r>
  <r>
    <s v="W:\Livres\Informatique\Réseaux, Ethernet, WiFi\802.11 Wireless Networks, The Definitive Guide (2002) - [O'Reilly] - Matthew Gast.pdf"/>
    <x v="16"/>
    <x v="4"/>
    <s v="Matthew Gast"/>
    <s v=""/>
    <s v=".pdf"/>
    <n v="85"/>
    <n v="12"/>
    <s v="802.11 Wireless Networks, The Definitive Guide"/>
  </r>
  <r>
    <s v="W:\Livres\Informatique\Réseaux, Ethernet, WiFi\Apprenez le fonctionnement des réseaux TCP IP (2013) - [Le site du zéro] - Romain Guichard.pdf"/>
    <x v="5"/>
    <x v="49"/>
    <s v="Romain Guichard"/>
    <s v=""/>
    <s v=".pdf"/>
    <n v="94"/>
    <n v="15"/>
    <s v="Apprenez le fonctionnement des réseaux TCP IP"/>
  </r>
  <r>
    <s v="W:\Livres\Informatique\Réseaux, Ethernet, WiFi\Architecture des réseaux (2009) - [Pearson] - Danièle Dromard, Dominique Seret.pdf"/>
    <x v="4"/>
    <x v="7"/>
    <s v="Danièle Dromard, Dominique Seret"/>
    <s v=""/>
    <s v=".pdf"/>
    <n v="82"/>
    <n v="32"/>
    <s v="Architecture des réseaux"/>
  </r>
  <r>
    <s v="W:\Livres\Informatique\Réseaux, Ethernet, WiFi\Cisco IOS Access Lists (2001) - [O'Reilly] - Jeff Sedayao.pdf"/>
    <x v="15"/>
    <x v="4"/>
    <s v="Jeff Sedayao"/>
    <s v=""/>
    <s v=".pdf"/>
    <n v="61"/>
    <n v="12"/>
    <s v="Cisco IOS Access Lists"/>
  </r>
  <r>
    <s v="W:\Livres\Informatique\Réseaux, Ethernet, WiFi\Cisco IOS in a Nutshell (2001) {Dump} - [O'Reilly] - James Boney.pdf"/>
    <x v="15"/>
    <x v="4"/>
    <s v="James Boney"/>
    <s v="Dump"/>
    <s v=".pdf"/>
    <n v="68"/>
    <n v="11"/>
    <s v="Cisco IOS in a Nutshell"/>
  </r>
  <r>
    <s v="W:\Livres\Informatique\Réseaux, Ethernet, WiFi\Computer Networks, A Systems Approach (2nd ed, 2008) - [Elsevier] - Emad Aboelela.pdf"/>
    <x v="13"/>
    <x v="1"/>
    <s v="Emad Aboelela"/>
    <s v=""/>
    <s v=".pdf"/>
    <n v="85"/>
    <n v="13"/>
    <s v="Computer Networks, A Systems Approach"/>
  </r>
  <r>
    <s v="W:\Livres\Informatique\Réseaux, Ethernet, WiFi\Designing Large-Scale LANs (2001) - [O'Reilly] - Kevin Dooley.pdf"/>
    <x v="15"/>
    <x v="4"/>
    <s v="Kevin Dooley"/>
    <s v=""/>
    <s v=".pdf"/>
    <n v="65"/>
    <n v="12"/>
    <s v="Designing Large-Scale LANs"/>
  </r>
  <r>
    <s v="W:\Livres\Informatique\Réseaux, Ethernet, WiFi\Ethernet Definitive Guide (2000) {Dump} - [O'Reilly] - Charles E. Spurgeon.pdf"/>
    <x v="7"/>
    <x v="4"/>
    <s v="Charles E. Spurgeon"/>
    <s v="Dump"/>
    <s v=".pdf"/>
    <n v="78"/>
    <n v="19"/>
    <s v="Ethernet Definitive Guide"/>
  </r>
  <r>
    <s v="W:\Livres\Informatique\Réseaux, Ethernet, WiFi\IPv6 Essentials (2002) - [O'Reilly] - Silvia Hagen.pdf"/>
    <x v="16"/>
    <x v="4"/>
    <s v="Silvia Hagen"/>
    <s v=""/>
    <s v=".pdf"/>
    <n v="54"/>
    <n v="12"/>
    <s v="IPv6 Essentials"/>
  </r>
  <r>
    <s v="W:\Livres\Informatique\Réseaux, Ethernet, WiFi\Les réseaux (6è ed, 2008) - [Eyrolles] - Guy Pujolle.pdf"/>
    <x v="13"/>
    <x v="6"/>
    <s v="Guy Pujolle"/>
    <s v=""/>
    <s v=".pdf"/>
    <n v="56"/>
    <n v="11"/>
    <s v="Les réseaux"/>
  </r>
  <r>
    <s v="W:\Livres\Informatique\Réseaux, Ethernet, WiFi\Les réseaux (8è ed, 2014) - [Eyrolles] - Guy Pujolle.pdf"/>
    <x v="6"/>
    <x v="6"/>
    <s v="Guy Pujolle"/>
    <s v=""/>
    <s v=".pdf"/>
    <n v="56"/>
    <n v="11"/>
    <s v="Les réseaux"/>
  </r>
  <r>
    <s v="W:\Livres\Informatique\Réseaux, Ethernet, WiFi\Network Processors, Architecture, Programming, and Implementation (2008) - [Elsevier] - Ran Giladi.pdf"/>
    <x v="13"/>
    <x v="1"/>
    <s v="Ran Giladi"/>
    <s v=""/>
    <s v=".pdf"/>
    <n v="102"/>
    <n v="10"/>
    <s v="Network Processors, Architecture, Programming, and Implementation"/>
  </r>
  <r>
    <s v="W:\Livres\Informatique\Réseaux, Ethernet, WiFi\Network Troubleshooting Tools (2001) {Dump} - [O'Reilly] - Joseph D. Sloan.pdf"/>
    <x v="15"/>
    <x v="4"/>
    <s v="Joseph D. Sloan"/>
    <s v="Dump"/>
    <s v=".pdf"/>
    <n v="78"/>
    <n v="15"/>
    <s v="Network Troubleshooting Tools"/>
  </r>
  <r>
    <s v="W:\Livres\Informatique\Réseaux, Ethernet, WiFi\Network Warrior (2nd ed, 2011) - [O'Reilly] - Gary A. Donahue.pdf"/>
    <x v="0"/>
    <x v="4"/>
    <s v="Gary A. Donahue"/>
    <s v=""/>
    <s v=".pdf"/>
    <n v="65"/>
    <n v="15"/>
    <s v="Network Warrior"/>
  </r>
  <r>
    <s v="W:\Livres\Informatique\Réseaux, Ethernet, WiFi\Networking Self-teaching Guide (2009) - [Wiley] - James Edwards, Richard Bramante.pdf"/>
    <x v="4"/>
    <x v="22"/>
    <s v="James Edwards, Richard Bramante"/>
    <s v=""/>
    <s v=".pdf"/>
    <n v="85"/>
    <n v="31"/>
    <s v="Networking Self-teaching Guide"/>
  </r>
  <r>
    <s v="W:\Livres\Informatique\Réseaux, Ethernet, WiFi\Peer to Peer (2001) - Andy Oram.pdf"/>
    <x v="15"/>
    <x v="8"/>
    <s v="Andy Oram"/>
    <s v=""/>
    <s v=".pdf"/>
    <n v="35"/>
    <n v="9"/>
    <s v="Peer to Peer"/>
  </r>
  <r>
    <s v="W:\Livres\Informatique\Réseaux, Ethernet, WiFi\Practical TCP-IP and Ethernet Networking (2003) - [Elsevier] - Deon Reynders, Edwin Wright.pdf"/>
    <x v="25"/>
    <x v="1"/>
    <s v="Deon Reynders, Edwin Wright"/>
    <s v=""/>
    <s v=".pdf"/>
    <n v="94"/>
    <n v="27"/>
    <s v="Practical TCP-IP and Ethernet Networking"/>
  </r>
  <r>
    <s v="W:\Livres\Informatique\Réseaux, Ethernet, WiFi\Running IPv6 (2006) - [Apress] - Iljitsch van Beijnum.pdf"/>
    <x v="17"/>
    <x v="42"/>
    <s v="Iljitsch van Beijnum"/>
    <s v=""/>
    <s v=".pdf"/>
    <n v="57"/>
    <n v="20"/>
    <s v="Running IPv6"/>
  </r>
  <r>
    <s v="W:\Livres\Informatique\Réseaux, Ethernet, WiFi\TCP-IP Clearly Explained (4th ed, 2003) - [Elsevier] - Pete Loshin.pdf"/>
    <x v="25"/>
    <x v="1"/>
    <s v="Pete Loshin"/>
    <s v=""/>
    <s v=".pdf"/>
    <n v="70"/>
    <n v="11"/>
    <s v="TCP-IP Clearly Explained"/>
  </r>
  <r>
    <s v="W:\Livres\Informatique\Réseaux, Ethernet, WiFi\TCP-IP Foundations (2004) - [Sybex] - Andrew G. Blank.pdf"/>
    <x v="26"/>
    <x v="91"/>
    <s v="Andrew G. Blank"/>
    <s v=""/>
    <s v=".pdf"/>
    <n v="57"/>
    <n v="15"/>
    <s v="TCP-IP Foundations"/>
  </r>
  <r>
    <s v="W:\Livres\Informatique\Réseaux, Ethernet, WiFi\TCP-IP Sockets in C (2nd ed, 2009) - [Elsevier] - Michael J. Donahoo, Kenneth L. Calvert.pdf"/>
    <x v="4"/>
    <x v="1"/>
    <s v="Michael J. Donahoo, Kenneth L. Calvert"/>
    <s v=""/>
    <s v=".pdf"/>
    <n v="92"/>
    <n v="38"/>
    <s v="TCP-IP Sockets in C"/>
  </r>
  <r>
    <s v="W:\Livres\Informatique\Réseaux, Ethernet, WiFi\The Linux TCP-IP Stack, Networking for Embedded Systems (2004) - [Charles River Media] - Thomas F. Herbert.pdf"/>
    <x v="26"/>
    <x v="64"/>
    <s v="Thomas F. Herbert"/>
    <s v=""/>
    <s v=".pdf"/>
    <n v="110"/>
    <n v="17"/>
    <s v="The Linux TCP-IP Stack, Networking for Embedded Systems"/>
  </r>
  <r>
    <s v="W:\Livres\Informatique\Réseaux, Ethernet, WiFi\The TCP-IP Guide (2005) - Charles M. Kozierok.pdf"/>
    <x v="1"/>
    <x v="8"/>
    <s v="Charles M. Kozierok"/>
    <s v=""/>
    <s v=".pdf"/>
    <n v="49"/>
    <n v="19"/>
    <s v="The TCP-IP Guide"/>
  </r>
  <r>
    <s v="W:\Livres\Informatique\Réseaux, Ethernet, WiFi\Tools for Teaching Computer Networking and Hardware Concepts (2006) - [Information Science] - Nurul I. Sarkar.pdf"/>
    <x v="17"/>
    <x v="149"/>
    <s v="Nurul I. Sarkar"/>
    <s v=""/>
    <s v=".pdf"/>
    <n v="113"/>
    <n v="15"/>
    <s v="Tools for Teaching Computer Networking and Hardware Concepts"/>
  </r>
  <r>
    <s v="W:\Livres\Informatique\Réseaux, Ethernet, WiFi\Tout sur les réseaux et Internet (2012) - [Dunod] - Pillou, Lemainque.pdf"/>
    <x v="8"/>
    <x v="2"/>
    <s v="Pillou, Lemainque"/>
    <s v=""/>
    <s v=".pdf"/>
    <n v="73"/>
    <n v="17"/>
    <s v="Tout sur les réseaux et Internet"/>
  </r>
  <r>
    <s v="W:\Livres\Informatique\Réseaux, Ethernet, WiFi\Tout sur les réseaux sans fil (2009) - [Dunod] - Fabrice Lemainque.pdf"/>
    <x v="4"/>
    <x v="2"/>
    <s v="Fabrice Lemainque"/>
    <s v=""/>
    <s v=".pdf"/>
    <n v="70"/>
    <n v="17"/>
    <s v="Tout sur les réseaux sans fil"/>
  </r>
  <r>
    <s v="W:\Livres\Informatique\Réseaux, Ethernet, WiFi\Understanding TCP-IP (2006) - [Packt] - Libor Dostálek, Alena Kabelová.pdf"/>
    <x v="17"/>
    <x v="14"/>
    <s v="Libor Dostálek, Alena Kabelová"/>
    <s v=""/>
    <s v=".pdf"/>
    <n v="74"/>
    <n v="30"/>
    <s v="Understanding TCP-IP"/>
  </r>
  <r>
    <s v="W:\Livres\Informatique\Réseaux, Ethernet, WiFi\Virtual Private Networks (2nd ed, 1999) - [O'Reilly] - Charlie Scott, Paul Wolfe, Mike Erwin.pdf"/>
    <x v="11"/>
    <x v="4"/>
    <s v="Charlie Scott, Paul Wolfe, Mike Erwin"/>
    <s v=""/>
    <s v=".pdf"/>
    <n v="96"/>
    <n v="37"/>
    <s v="Virtual Private Networks"/>
  </r>
  <r>
    <s v="W:\Livres\Informatique\Réseaux, Ethernet, WiFi\WiFi professionnel, La norme 802.11, le déploiement, la sécurité (3è ed, 2009) - [Dunod] - Aurélien Géron.pdf"/>
    <x v="4"/>
    <x v="2"/>
    <s v="Aurélien Géron"/>
    <s v=""/>
    <s v=".pdf"/>
    <n v="109"/>
    <n v="14"/>
    <s v="WiFi professionnel, La norme 802.11, le déploiement, la sécurité"/>
  </r>
  <r>
    <s v="W:\Livres\Informatique\Sécurité, Cryptographie, Hacking\10 clés pour la sécurité de l'information, ISO 27001 (2012) - [Afnor] - Claude Pinet.pdf"/>
    <x v="8"/>
    <x v="11"/>
    <s v="Claude Pinet"/>
    <s v=""/>
    <s v=".pdf"/>
    <n v="88"/>
    <n v="12"/>
    <s v="10 clés pour la sécurité de l'information, ISO 27001"/>
  </r>
  <r>
    <s v="W:\Livres\Informatique\Sécurité, Cryptographie, Hacking\A Buffer Overflow Study, Attacks and Defenses (2002) - Pierre-Alain Fayolle, Vincent Glaume.pdf"/>
    <x v="16"/>
    <x v="8"/>
    <s v="Pierre-Alain Fayolle, Vincent Glaume"/>
    <s v=""/>
    <s v=".pdf"/>
    <n v="95"/>
    <n v="36"/>
    <s v="A Buffer Overflow Study, Attacks and Defenses"/>
  </r>
  <r>
    <s v="W:\Livres\Informatique\Sécurité, Cryptographie, Hacking\Buffer Overflow Attacks, Detect, Exploit, Prevent (2005) - [Syngress] - James C. Foster.pdf"/>
    <x v="1"/>
    <x v="127"/>
    <s v="James C. Foster"/>
    <s v=""/>
    <s v=".pdf"/>
    <n v="91"/>
    <n v="15"/>
    <s v="Buffer Overflow Attacks, Detect, Exploit, Prevent"/>
  </r>
  <r>
    <s v="W:\Livres\Informatique\Sécurité, Cryptographie, Hacking\Building Internet Firewalls (2nd ed, 2000) - [O'Reilly] - Zwicky, Cooper, Brent Chapman.pdf"/>
    <x v="7"/>
    <x v="4"/>
    <s v="Zwicky, Cooper, Brent Chapman"/>
    <s v=""/>
    <s v=".pdf"/>
    <n v="91"/>
    <n v="29"/>
    <s v="Building Internet Firewalls"/>
  </r>
  <r>
    <s v="W:\Livres\Informatique\Sécurité, Cryptographie, Hacking\CD And DVD Forensics (2007) - [Syngress] - Paul Crowley.pdf"/>
    <x v="9"/>
    <x v="127"/>
    <s v="Paul Crowley"/>
    <s v=""/>
    <s v=".pdf"/>
    <n v="59"/>
    <n v="12"/>
    <s v="CD And DVD Forensics"/>
  </r>
  <r>
    <s v="W:\Livres\Informatique\Sécurité, Cryptographie, Hacking\Image and Video Encryption (2005) - [Springer] - Andreas Uhl, Andreas Pommer.pdf"/>
    <x v="1"/>
    <x v="9"/>
    <s v="Andreas Uhl, Andreas Pommer"/>
    <s v=""/>
    <s v=".pdf"/>
    <n v="80"/>
    <n v="27"/>
    <s v="Image and Video Encryption"/>
  </r>
  <r>
    <s v="W:\Livres\Informatique\Sécurité, Cryptographie, Hacking\IT Security Metrics (2010) - [McGraw-Hill] - Lance Hayden.pdf"/>
    <x v="14"/>
    <x v="41"/>
    <s v="Lance Hayden"/>
    <s v=""/>
    <s v=".pdf"/>
    <n v="61"/>
    <n v="12"/>
    <s v="IT Security Metrics"/>
  </r>
  <r>
    <s v="W:\Livres\Informatique\Sécurité, Cryptographie, Hacking\Le piratage de A à Z {Scan} - [Edigo].pdf"/>
    <x v="10"/>
    <x v="150"/>
    <s v="?"/>
    <s v="Scan"/>
    <s v=".pdf"/>
    <n v="41"/>
    <n v="1"/>
    <s v="Le piratage de A à Z"/>
  </r>
  <r>
    <s v="W:\Livres\Informatique\Sécurité, Cryptographie, Hacking\Maximum Apache Security (2002) - [Sams].pdf"/>
    <x v="16"/>
    <x v="52"/>
    <s v="?"/>
    <s v=""/>
    <s v=".pdf"/>
    <n v="43"/>
    <n v="1"/>
    <s v="Maximum Apache Security"/>
  </r>
  <r>
    <s v="W:\Livres\Informatique\Sécurité, Cryptographie, Hacking\Maximum Linux Security (2nd ed, 2001) - [Sams].pdf"/>
    <x v="15"/>
    <x v="52"/>
    <s v="?"/>
    <s v=""/>
    <s v=".pdf"/>
    <n v="50"/>
    <n v="1"/>
    <s v="Maximum Linux Security"/>
  </r>
  <r>
    <s v="W:\Livres\Informatique\Sécurité, Cryptographie, Hacking\Network Security with OpenSSL (2002) {Dump} - [O'Reilly] - Pravir Chandra, Matt Messier, John Viega.pdf"/>
    <x v="16"/>
    <x v="4"/>
    <s v="Pravir Chandra, Matt Messier, John Viega"/>
    <s v="Dump"/>
    <s v=".pdf"/>
    <n v="103"/>
    <n v="40"/>
    <s v="Network Security with OpenSSL"/>
  </r>
  <r>
    <s v="W:\Livres\Informatique\Sécurité, Cryptographie, Hacking\PGP &amp; GPG Email for the Practical Paranoid (2006) - [No Starch] - Michael W. Lucas.pdf"/>
    <x v="17"/>
    <x v="15"/>
    <s v="Michael W. Lucas"/>
    <s v=""/>
    <s v=".pdf"/>
    <n v="86"/>
    <n v="16"/>
    <s v="PGP &amp; GPG Email for the Practical Paranoid"/>
  </r>
  <r>
    <s v="W:\Livres\Informatique\Sécurité, Cryptographie, Hacking\Sécurité de la dématérialisation (2012) - [Eyrolles] - Dimitri Mouton.pdf"/>
    <x v="8"/>
    <x v="6"/>
    <s v="Dimitri Mouton"/>
    <s v=""/>
    <s v=".pdf"/>
    <n v="73"/>
    <n v="14"/>
    <s v="Sécurité de la dématérialisation"/>
  </r>
  <r>
    <s v="W:\Livres\Informatique\Sécurité, Cryptographie, Hacking\Sécurité informatique, Principes et méthodes à l'usage des DSI (4è ed, 2013) - [Eyrolles] - Laurent Bloch, Christophe Wolfhugel.pdf"/>
    <x v="5"/>
    <x v="6"/>
    <s v="Laurent Bloch, Christophe Wolfhugel"/>
    <s v=""/>
    <s v=".pdf"/>
    <n v="131"/>
    <n v="35"/>
    <s v="Sécurité informatique, Principes et méthodes à l'usage des DSI"/>
  </r>
  <r>
    <s v="W:\Livres\Informatique\Sécurité, Cryptographie, Hacking\SSL and TLS Essentials, Securing the Web (2000) - [Wiley] - Stephen Thomas.pdf"/>
    <x v="7"/>
    <x v="22"/>
    <s v="Stephen Thomas"/>
    <s v=""/>
    <s v=".pdf"/>
    <n v="78"/>
    <n v="14"/>
    <s v="SSL and TLS Essentials, Securing the Web"/>
  </r>
  <r>
    <s v="W:\Livres\Informatique\Sécurité, Cryptographie, Hacking\Télécommunications et écoutes, Étude sur la confidentialité des communications à distance (2008) - James.pdf"/>
    <x v="13"/>
    <x v="8"/>
    <s v="James"/>
    <s v=""/>
    <s v=".pdf"/>
    <n v="108"/>
    <n v="5"/>
    <s v="Télécommunications et écoutes, Étude sur la confidentialité des communications à distance"/>
  </r>
  <r>
    <s v="W:\Livres\Informatique\Sécurité, Cryptographie, Hacking\The Art of Deception, Controlling the Human Element of Security (2003) - [Wiley] - Kevin D. Mitnick, William L. Simon.pdf"/>
    <x v="25"/>
    <x v="22"/>
    <s v="Kevin D. Mitnick, William L. Simon"/>
    <s v=""/>
    <s v=".pdf"/>
    <n v="121"/>
    <n v="34"/>
    <s v="The Art of Deception, Controlling the Human Element of Security"/>
  </r>
  <r>
    <s v="W:\Livres\Informatique\Sécurité, Cryptographie, Hacking\The Art of Intrusion (2005) - [Wiley] - Kevin D. Mitnick, William L. Simon.pdf"/>
    <x v="1"/>
    <x v="22"/>
    <s v="Kevin D. Mitnick, William L. Simon"/>
    <s v=""/>
    <s v=".pdf"/>
    <n v="78"/>
    <n v="34"/>
    <s v="The Art of Intrusion"/>
  </r>
  <r>
    <s v="W:\Livres\Informatique\Sécurité, Cryptographie, Hacking\Tout sur la sécurité informatique (3è ed, 2013) - [Dunod] - Pillou, Bay.pdf"/>
    <x v="5"/>
    <x v="2"/>
    <s v="Pillou, Bay"/>
    <s v=""/>
    <s v=".pdf"/>
    <n v="75"/>
    <n v="11"/>
    <s v="Tout sur la sécurité informatique"/>
  </r>
  <r>
    <s v="W:\Livres\Informatique\Sécurité, Cryptographie, Hacking\Tout sur la sécurité informatique (4è ed, 2016) - [Dunod] - Pillou, Bay.pdf"/>
    <x v="2"/>
    <x v="2"/>
    <s v="Pillou, Bay"/>
    <s v=""/>
    <s v=".pdf"/>
    <n v="75"/>
    <n v="11"/>
    <s v="Tout sur la sécurité informatique"/>
  </r>
  <r>
    <s v="W:\Livres\Informatique\Sécurité, Cryptographie, Hacking\Virus informatiques (2è ed, 2009) - [Springer] - Éric Filiol.pdf"/>
    <x v="4"/>
    <x v="9"/>
    <s v="Éric Filiol"/>
    <s v=""/>
    <s v=".pdf"/>
    <n v="64"/>
    <n v="11"/>
    <s v="Virus informatiques"/>
  </r>
  <r>
    <s v="W:\Livres\Informatique\Sécurité, Cryptographie, Hacking\Cryptographie\Applied Cryptography and Network Security (2005) - [Springer] - Markus Jakobsson, Moti Yung, Jianying Zhou.pdf"/>
    <x v="1"/>
    <x v="9"/>
    <s v="Markus Jakobsson, Moti Yung, Jianying Zhou"/>
    <s v=""/>
    <s v=".pdf"/>
    <n v="110"/>
    <n v="42"/>
    <s v="Applied Cryptography and Network Security"/>
  </r>
  <r>
    <s v="W:\Livres\Informatique\Sécurité, Cryptographie, Hacking\Cryptographie\Complexity and Cryptography, An Introduction (2006) - [Cambridge] - John Talbot, Dominic Welsh.pdf"/>
    <x v="17"/>
    <x v="17"/>
    <s v="John Talbot, Dominic Welsh"/>
    <s v=""/>
    <s v=".pdf"/>
    <n v="98"/>
    <n v="26"/>
    <s v="Complexity and Cryptography, An Introduction"/>
  </r>
  <r>
    <s v="W:\Livres\Informatique\Sécurité, Cryptographie, Hacking\Cryptographie\Contemporary Cryptography (2005) - [Artech House] - Rolf Oppliger.pdf"/>
    <x v="1"/>
    <x v="75"/>
    <s v="Rolf Oppliger"/>
    <s v=""/>
    <s v=".pdf"/>
    <n v="69"/>
    <n v="13"/>
    <s v="Contemporary Cryptography"/>
  </r>
  <r>
    <s v="W:\Livres\Informatique\Sécurité, Cryptographie, Hacking\Cryptographie\Cracking Codes and Cryptograms for Dummies (2010) - [Wiley] - Denise Sutherland, Mark E. Koltko-Rivera.pdf"/>
    <x v="14"/>
    <x v="22"/>
    <s v="Denise Sutherland, Mark E. Koltko-Rivera"/>
    <s v=""/>
    <s v=".pdf"/>
    <n v="106"/>
    <n v="40"/>
    <s v="Cracking Codes and Cryptograms for Dummies"/>
  </r>
  <r>
    <s v="W:\Livres\Informatique\Sécurité, Cryptographie, Hacking\Cryptographie\Crypto, How the Code Rebels Beat the Government Saving Privacy in the Digital Age (2002) - [Penguin] - Steven Levy.pdf"/>
    <x v="16"/>
    <x v="151"/>
    <s v="Steven Levy"/>
    <s v=""/>
    <s v=".pdf"/>
    <n v="118"/>
    <n v="11"/>
    <s v="Crypto, How the Code Rebels Beat the Government Saving Privacy in the Digital Age"/>
  </r>
  <r>
    <s v="W:\Livres\Informatique\Sécurité, Cryptographie, Hacking\Cryptographie\Cryptography and Network Security, Principles and Practices (4th ed, 2006) {Webdump} - [Prentice Hall] - William Stallings.pdf"/>
    <x v="17"/>
    <x v="20"/>
    <s v="William Stallings"/>
    <s v="Webdump"/>
    <s v=".pdf"/>
    <n v="126"/>
    <n v="17"/>
    <s v="Cryptography and Network Security, Principles and Practices"/>
  </r>
  <r>
    <s v="W:\Livres\Informatique\Sécurité, Cryptographie, Hacking\Cryptographie\Cryptography and Network Security, Principles and Practices (5th ed, 2011) - [Prentice Hall] - William Stallings.pdf"/>
    <x v="0"/>
    <x v="20"/>
    <s v="William Stallings"/>
    <s v=""/>
    <s v=".pdf"/>
    <n v="116"/>
    <n v="17"/>
    <s v="Cryptography and Network Security, Principles and Practices"/>
  </r>
  <r>
    <s v="W:\Livres\Informatique\Sécurité, Cryptographie, Hacking\Cryptographie\Cryptography and Public Key Infrastructure on the Internet (2001) - [Wiley] - Klaus Schmeh.pdf"/>
    <x v="15"/>
    <x v="22"/>
    <s v="Klaus Schmeh"/>
    <s v=""/>
    <s v=".pdf"/>
    <n v="94"/>
    <n v="12"/>
    <s v="Cryptography and Public Key Infrastructure on the Internet"/>
  </r>
  <r>
    <s v="W:\Livres\Informatique\Sécurité, Cryptographie, Hacking\Cryptographie\Cryptography for Developers (2007) - [Syngress] - Tom St Denis.pdf"/>
    <x v="9"/>
    <x v="127"/>
    <s v="Tom St Denis"/>
    <s v=""/>
    <s v=".pdf"/>
    <n v="66"/>
    <n v="12"/>
    <s v="Cryptography for Developers"/>
  </r>
  <r>
    <s v="W:\Livres\Informatique\Sécurité, Cryptographie, Hacking\Cryptographie\Cryptography, Theory and Practice (1995) {Dump} - [CRC Press] - Douglas Stinson.pdf"/>
    <x v="28"/>
    <x v="21"/>
    <s v="Douglas Stinson"/>
    <s v="Dump"/>
    <s v=".pdf"/>
    <n v="83"/>
    <n v="15"/>
    <s v="Cryptography, Theory and Practice"/>
  </r>
  <r>
    <s v="W:\Livres\Informatique\Sécurité, Cryptographie, Hacking\Cryptographie\Encyclopedia of Cryptography and Security (2nd ed, 2011) - [Springer] - Henk van Tilborg, Sushil Jajodia.pdf"/>
    <x v="0"/>
    <x v="9"/>
    <s v="Henk van Tilborg, Sushil Jajodia"/>
    <s v=""/>
    <s v=".pdf"/>
    <n v="108"/>
    <n v="32"/>
    <s v="Encyclopedia of Cryptography and Security"/>
  </r>
  <r>
    <s v="W:\Livres\Informatique\Sécurité, Cryptographie, Hacking\Cryptographie\Foundations of Cryptography, A Primer (2005) - [Now] - Oded Goldreich.pdf"/>
    <x v="1"/>
    <x v="152"/>
    <s v="Oded Goldreich"/>
    <s v=""/>
    <s v=".pdf"/>
    <n v="73"/>
    <n v="14"/>
    <s v="Foundations of Cryptography, A Primer"/>
  </r>
  <r>
    <s v="W:\Livres\Informatique\Sécurité, Cryptographie, Hacking\Cryptographie\Guide to Elliptic Curve Cryptography (2004) - [Springer] - Darrel Hankerson, Alfred Menezes, Scott Vanstone.pdf"/>
    <x v="26"/>
    <x v="9"/>
    <s v="Darrel Hankerson, Alfred Menezes, Scott Vanstone"/>
    <s v=""/>
    <s v=".pdf"/>
    <n v="111"/>
    <n v="48"/>
    <s v="Guide to Elliptic Curve Cryptography"/>
  </r>
  <r>
    <s v="W:\Livres\Informatique\Sécurité, Cryptographie, Hacking\Cryptographie\Handbook of Applied Cryptography (1996) - [CRC Press] - A. Menezes, P. van Oorschot, S. Vanstone.pdf"/>
    <x v="22"/>
    <x v="21"/>
    <s v="A. Menezes, P. van Oorschot, S. Vanstone"/>
    <s v=""/>
    <s v=".pdf"/>
    <n v="100"/>
    <n v="40"/>
    <s v="Handbook of Applied Cryptography"/>
  </r>
  <r>
    <s v="W:\Livres\Informatique\Sécurité, Cryptographie, Hacking\Cryptographie\Introduction à la cryptographie (2009) - [Développez.com] - Raymond.pdf"/>
    <x v="4"/>
    <x v="74"/>
    <s v="Raymond"/>
    <s v=""/>
    <s v=".pdf"/>
    <n v="71"/>
    <n v="7"/>
    <s v="Introduction à la cryptographie"/>
  </r>
  <r>
    <s v="W:\Livres\Informatique\Sécurité, Cryptographie, Hacking\Cryptographie\Introduction to Cryptography with Java Applets (2003) - [Jones &amp; Bartlett] - David Bishop.pdf"/>
    <x v="25"/>
    <x v="79"/>
    <s v="David Bishop"/>
    <s v=""/>
    <s v=".pdf"/>
    <n v="93"/>
    <n v="12"/>
    <s v="Introduction to Cryptography with Java Applets"/>
  </r>
  <r>
    <s v="W:\Livres\Informatique\Sécurité, Cryptographie, Hacking\Cryptographie\Java Cryptography (1998) - [O'Reilly] - Jonathan Knudsen.pdf"/>
    <x v="12"/>
    <x v="4"/>
    <s v="Jonathan Knudsen"/>
    <s v=""/>
    <s v=".pdf"/>
    <n v="60"/>
    <n v="16"/>
    <s v="Java Cryptography"/>
  </r>
  <r>
    <s v="W:\Livres\Informatique\Sécurité, Cryptographie, Hacking\Cryptographie\Malicious Cryptography, Exposing Cryptovirology (2004) - [Wiley] - Adam Young, Moti Yung.pdf"/>
    <x v="26"/>
    <x v="22"/>
    <s v="Adam Young, Moti Yung"/>
    <s v=""/>
    <s v=".pdf"/>
    <n v="92"/>
    <n v="21"/>
    <s v="Malicious Cryptography, Exposing Cryptovirology"/>
  </r>
  <r>
    <s v="W:\Livres\Informatique\Sécurité, Cryptographie, Hacking\Cryptographie\Modern Cryptography Theory and Practice (2003) {Dump} - [Prentice Hall] - Wenbo Mao.pdf"/>
    <x v="25"/>
    <x v="20"/>
    <s v="Wenbo Mao"/>
    <s v="Dump"/>
    <s v=".pdf"/>
    <n v="87"/>
    <n v="9"/>
    <s v="Modern Cryptography Theory and Practice"/>
  </r>
  <r>
    <s v="W:\Livres\Informatique\Sécurité, Cryptographie, Hacking\Cryptographie\Practical Cryptography, Algorithms and Implementations Using C++ (2014) - [CRC Press] - Saiful Azad, Al-Sakib Khan Pathan.pdf"/>
    <x v="6"/>
    <x v="21"/>
    <s v="Saiful Azad, Al-Sakib Khan Pathan"/>
    <s v=""/>
    <s v=".pdf"/>
    <n v="125"/>
    <n v="33"/>
    <s v="Practical Cryptography, Algorithms and Implementations Using C++"/>
  </r>
  <r>
    <s v="W:\Livres\Informatique\Sécurité, Cryptographie, Hacking\Cryptographie\Progress on Cryptography, 25 Years of Cryptography in China (2004) - [Kluwer Academic Publishers] - Kefei Chen.pdf"/>
    <x v="26"/>
    <x v="153"/>
    <s v="Kefei Chen"/>
    <s v=""/>
    <s v=".pdf"/>
    <n v="114"/>
    <n v="10"/>
    <s v="Progress on Cryptography, 25 Years of Cryptography in China"/>
  </r>
  <r>
    <s v="W:\Livres\Informatique\Sécurité, Cryptographie, Hacking\Cryptographie\Quantum Communications and Cryptography (2006) - [CRC Press] - Alexander V. Sergienko.pdf"/>
    <x v="17"/>
    <x v="21"/>
    <s v="Alexander V. Sergienko"/>
    <s v=""/>
    <s v=".pdf"/>
    <n v="89"/>
    <n v="22"/>
    <s v="Quantum Communications and Cryptography"/>
  </r>
  <r>
    <s v="W:\Livres\Informatique\Sécurité, Cryptographie, Hacking\Cryptographie\Studies in Complexity and Cryptography (2011) - [Springer] - Oded Goldreich et al.pdf"/>
    <x v="0"/>
    <x v="9"/>
    <s v="Oded Goldreich et al"/>
    <s v=""/>
    <s v=".pdf"/>
    <n v="85"/>
    <n v="20"/>
    <s v="Studies in Complexity and Cryptography"/>
  </r>
  <r>
    <s v="W:\Livres\Informatique\Sécurité, Cryptographie, Hacking\Cryptographie\The CryptoParty handbook (1st ed, 2012).pdf"/>
    <x v="8"/>
    <x v="8"/>
    <s v="?"/>
    <s v=""/>
    <s v=".pdf"/>
    <n v="43"/>
    <n v="1"/>
    <s v="The CryptoParty handbook"/>
  </r>
  <r>
    <s v="W:\Livres\Informatique\Sécurité, Cryptographie, Hacking\Cryptographie\Visual Cryptography and Secret Image Sharing (2012) - [CRC Press] - Stelvio Cimato, Ching-Nung Yang.pdf"/>
    <x v="8"/>
    <x v="21"/>
    <s v="Stelvio Cimato, Ching-Nung Yang"/>
    <s v=""/>
    <s v=".pdf"/>
    <n v="103"/>
    <n v="31"/>
    <s v="Visual Cryptography and Secret Image Sharing"/>
  </r>
  <r>
    <s v="W:\Livres\Informatique\Sécurité, Cryptographie, Hacking\Hacking\Dissecting the Hack, The F0rb1dd3n Network (2010) - [Elsevier] - Jayson E. Street, Kent Nabors.pdf"/>
    <x v="14"/>
    <x v="1"/>
    <s v="Jayson E. Street, Kent Nabors"/>
    <s v=""/>
    <s v=".pdf"/>
    <n v="98"/>
    <n v="29"/>
    <s v="Dissecting the Hack, The F0rb1dd3n Network"/>
  </r>
  <r>
    <s v="W:\Livres\Informatique\Sécurité, Cryptographie, Hacking\Hacking\Hackers, Au coeur de la résistance numérique (2013) - [Au Diable Vauvert] - Amaelle Guiton.pdf"/>
    <x v="5"/>
    <x v="154"/>
    <s v="Amaelle Guiton"/>
    <s v=""/>
    <s v=".pdf"/>
    <n v="94"/>
    <n v="14"/>
    <s v="Hackers, Au coeur de la résistance numérique"/>
  </r>
  <r>
    <s v="W:\Livres\Informatique\Sécurité, Cryptographie, Hacking\Hacking\Hacking interdit (2010) - [Micro Application] - Alexandre Gomez-Urbina.pdf"/>
    <x v="14"/>
    <x v="50"/>
    <s v="Alexandre Gomez-Urbina"/>
    <s v=""/>
    <s v=".pdf"/>
    <n v="74"/>
    <n v="22"/>
    <s v="Hacking interdit"/>
  </r>
  <r>
    <s v="W:\Livres\Informatique\Sécurité, Cryptographie, Hacking\Hacking\Hacking Wireless Networks for Dummies (2005) - [Wiley] - Beaver, Davis.epub"/>
    <x v="1"/>
    <x v="22"/>
    <s v="Beaver, Davis"/>
    <s v=""/>
    <s v=".epub"/>
    <n v="75"/>
    <n v="13"/>
    <s v="Hacking Wireless Networks for Dummies"/>
  </r>
  <r>
    <s v="W:\Livres\Informatique\Sécurité, Cryptographie, Hacking\Hacking\Hacking Wireless Networks for Dummies (2005) - [Wiley] - Beaver, Davis.pdf"/>
    <x v="1"/>
    <x v="22"/>
    <s v="Beaver, Davis"/>
    <s v=""/>
    <s v=".pdf"/>
    <n v="74"/>
    <n v="13"/>
    <s v="Hacking Wireless Networks for Dummies"/>
  </r>
  <r>
    <s v="W:\Livres\Informatique\Sécurité, Cryptographie, Hacking\Hacking\Hacking, The Art of Exploitation (2nd ed, 2008) - [No Starch] - Jon Erickson.pdf"/>
    <x v="13"/>
    <x v="15"/>
    <s v="Jon Erickson"/>
    <s v=""/>
    <s v=".pdf"/>
    <n v="80"/>
    <n v="12"/>
    <s v="Hacking, The Art of Exploitation"/>
  </r>
  <r>
    <s v="W:\Livres\Informatique\Sécurité, Cryptographie, Hacking\Hacking\Hardware Hacking, Have Fun While Voiding Your Warranty (2004) - [Syngress] - Joe Grand, Ryan Russell.pdf"/>
    <x v="26"/>
    <x v="127"/>
    <s v="Joe Grand, Ryan Russell"/>
    <s v=""/>
    <s v=".pdf"/>
    <n v="104"/>
    <n v="23"/>
    <s v="Hardware Hacking, Have Fun While Voiding Your Warranty"/>
  </r>
  <r>
    <s v="W:\Livres\Informatique\Sécurité, Cryptographie, Hacking\Hacking\Maximum Security, A Hacker's Guide to Protecting You - [Sams].pdf"/>
    <x v="10"/>
    <x v="52"/>
    <s v="?"/>
    <s v=""/>
    <s v=".pdf"/>
    <n v="65"/>
    <n v="1"/>
    <s v="Maximum Security, A Hacker's Guide to Protecting You"/>
  </r>
  <r>
    <s v="W:\Livres\Informatique\Sécurité, Cryptographie, Hacking\Hacking\Practical Hacking Techniques and Countermeasures (2007) - [Auerbach] - Mark D. Spivey.pdf"/>
    <x v="9"/>
    <x v="57"/>
    <s v="Mark D. Spivey"/>
    <s v=""/>
    <s v=".pdf"/>
    <n v="89"/>
    <n v="14"/>
    <s v="Practical Hacking Techniques and Countermeasures"/>
  </r>
  <r>
    <s v="W:\Livres\Informatique\Sécurité, Cryptographie, Hacking\Hacking\Sécurité Informatique, Ethical Hacking (2009) - [ENI].pdf"/>
    <x v="4"/>
    <x v="18"/>
    <s v="?"/>
    <s v=""/>
    <s v=".pdf"/>
    <n v="57"/>
    <n v="1"/>
    <s v="Sécurité Informatique, Ethical Hacking"/>
  </r>
  <r>
    <s v="W:\Livres\Informatique\Sécurité, Cryptographie, Hacking\Hacking\The Hacker Playbook, Practical Guide to Penetration Testing (2014) - [Secure Planet] - Peter Kim.pdf"/>
    <x v="6"/>
    <x v="155"/>
    <s v="Peter Kim"/>
    <s v=""/>
    <s v=".pdf"/>
    <n v="100"/>
    <n v="9"/>
    <s v="The Hacker Playbook, Practical Guide to Penetration Testing"/>
  </r>
  <r>
    <s v="W:\Livres\Informatique\Sécurité, Cryptographie, Hacking\Hacking\The Hacker's Manual (2015) - [Future] - Guru Guide.pdf"/>
    <x v="3"/>
    <x v="156"/>
    <s v="Guru Guide"/>
    <s v=""/>
    <s v=".pdf"/>
    <n v="54"/>
    <n v="10"/>
    <s v="The Hacker's Manual"/>
  </r>
  <r>
    <s v="W:\Livres\Informatique\Sécurité, Cryptographie, Hacking\Hacking\The Hacker's Manual (2015) - [Future] - Tech Active.pdf"/>
    <x v="3"/>
    <x v="156"/>
    <s v="Tech Active"/>
    <s v=""/>
    <s v=".pdf"/>
    <n v="55"/>
    <n v="11"/>
    <s v="The Hacker's Manual"/>
  </r>
  <r>
    <s v="W:\Livres\Informatique\Sécurité, Cryptographie, Hacking\Hacking\Understanding Network Hacks, Attack and Defense with Pyton (2014) - [Springer] - Bastian Ballmann.pdf"/>
    <x v="6"/>
    <x v="9"/>
    <s v="Bastian Ballmann"/>
    <s v=""/>
    <s v=".pdf"/>
    <n v="101"/>
    <n v="16"/>
    <s v="Understanding Network Hacks, Attack and Defense with Pyton"/>
  </r>
  <r>
    <s v="W:\Livres\Informatique\Systèmes d'exploitation\Distributed Operating Systems (1995) {Scan} - [Pearson] - Andrew S. Tanenbaum.pdf"/>
    <x v="28"/>
    <x v="7"/>
    <s v="Andrew S. Tanenbaum"/>
    <s v="Scan"/>
    <s v=".pdf"/>
    <n v="81"/>
    <n v="19"/>
    <s v="Distributed Operating Systems"/>
  </r>
  <r>
    <s v="W:\Livres\Informatique\Systèmes d'exploitation\Modern Operating Systems (2nd ed, 2001) {Scan} - [Prentice Hall] - Andrew S. Tanenbaum.pdf"/>
    <x v="15"/>
    <x v="20"/>
    <s v="Andrew S. Tanenbaum"/>
    <s v="Scan"/>
    <s v=".pdf"/>
    <n v="90"/>
    <n v="19"/>
    <s v="Modern Operating Systems"/>
  </r>
  <r>
    <s v="W:\Livres\Informatique\Systèmes d'exploitation\Operating System Concepts (7th ed, 2005) - [Wiley] - Silberschatz, Galvin, Gagne.pdf"/>
    <x v="1"/>
    <x v="22"/>
    <s v="Silberschatz, Galvin, Gagne"/>
    <s v=""/>
    <s v=".pdf"/>
    <n v="84"/>
    <n v="27"/>
    <s v="Operating System Concepts"/>
  </r>
  <r>
    <s v="W:\Livres\Informatique\Systèmes d'exploitation\Practical File System Design with the Be File System (1999) - [Morgan Kaufmann] - Dominic Giampaolo.pdf"/>
    <x v="11"/>
    <x v="54"/>
    <s v="Dominic Giampaolo"/>
    <s v=""/>
    <s v=".pdf"/>
    <n v="103"/>
    <n v="17"/>
    <s v="Practical File System Design with the Be File System"/>
  </r>
  <r>
    <s v="W:\Livres\Informatique\Systèmes d'exploitation\The Little Book of Semaphores (2nd ed, 2008) - Allen B. Downey.pdf"/>
    <x v="13"/>
    <x v="8"/>
    <s v="Allen B. Downey"/>
    <s v=""/>
    <s v=".pdf"/>
    <n v="66"/>
    <n v="15"/>
    <s v="The Little Book of Semaphores"/>
  </r>
  <r>
    <s v="W:\Livres\Informatique\Systèmes d'exploitation\Android\Android, le guide ultime (2013) - [Les Applications Android] - Jean-Louis Dell'Oro, Michael Picard.pdf"/>
    <x v="5"/>
    <x v="157"/>
    <s v="Jean-Louis Dell'Oro, Michael Picard"/>
    <s v=""/>
    <s v=".pdf"/>
    <n v="102"/>
    <n v="35"/>
    <s v="Android, le guide ultime"/>
  </r>
  <r>
    <s v="W:\Livres\Informatique\Systèmes d'exploitation\Android\Google Android 4 efficace (2è ed, 2013) - [Eyrolles] - Arnaud Fraque.pdf"/>
    <x v="5"/>
    <x v="6"/>
    <s v="Arnaud Fraque"/>
    <s v=""/>
    <s v=".pdf"/>
    <n v="72"/>
    <n v="13"/>
    <s v="Google Android 4 efficace"/>
  </r>
  <r>
    <s v="W:\Livres\Informatique\Systèmes d'exploitation\Android\Le guide pratique des tablettes Android (2014) - [Eyrolles] - Fabrice Neuman, Jacques Harbonn.pdf"/>
    <x v="6"/>
    <x v="6"/>
    <s v="Fabrice Neuman, Jacques Harbonn"/>
    <s v=""/>
    <s v=".pdf"/>
    <n v="97"/>
    <n v="31"/>
    <s v="Le guide pratique des tablettes Android"/>
  </r>
  <r>
    <s v="W:\Livres\Informatique\Systèmes d'exploitation\Android\Le guide pratique des tablettes Android (2016) - [Eyrolles] - Fabrice Neuman, José Roda.pdf"/>
    <x v="2"/>
    <x v="6"/>
    <s v="Fabrice Neuman, José Roda"/>
    <s v=""/>
    <s v=".pdf"/>
    <n v="91"/>
    <n v="25"/>
    <s v="Le guide pratique des tablettes Android"/>
  </r>
  <r>
    <s v="W:\Livres\Informatique\Systèmes d'exploitation\iOS\Le guide pratique iPad et iOS9 (2016) - [Eyrolles] - Fabrice Neuman.pdf"/>
    <x v="2"/>
    <x v="6"/>
    <s v="Fabrice Neuman"/>
    <s v=""/>
    <s v=".pdf"/>
    <n v="71"/>
    <n v="14"/>
    <s v="Le guide pratique iPad et iOS9"/>
  </r>
  <r>
    <s v="W:\Livres\Informatique\Systèmes d'exploitation\iOS\Travailler avec un iPad (2011) - [Dunod] - Jean-Christophe Courte.pdf"/>
    <x v="0"/>
    <x v="2"/>
    <s v="Jean-Christophe Courte"/>
    <s v=""/>
    <s v=".pdf"/>
    <n v="69"/>
    <n v="22"/>
    <s v="Travailler avec un iPad"/>
  </r>
  <r>
    <s v="W:\Livres\Informatique\Systèmes d'exploitation\Linux\Beginning the Linux Command Line (2nd ed, 2015) - [Apress] - Sander van Vugt.pdf"/>
    <x v="3"/>
    <x v="42"/>
    <s v="Sander van Vugt"/>
    <s v=""/>
    <s v=".pdf"/>
    <n v="80"/>
    <n v="15"/>
    <s v="Beginning the Linux Command Line"/>
  </r>
  <r>
    <s v="W:\Livres\Informatique\Systèmes d'exploitation\Linux\Beginning Ubuntu Linux (6th ed, 2011) - [Apress] - Emilio Raggi, Keir Thomas, Sander van Vugt.pdf"/>
    <x v="0"/>
    <x v="42"/>
    <s v="Emilio Raggi, Keir Thomas, Sander van Vugt"/>
    <s v=""/>
    <s v=".pdf"/>
    <n v="97"/>
    <n v="42"/>
    <s v="Beginning Ubuntu Linux"/>
  </r>
  <r>
    <s v="W:\Livres\Informatique\Systèmes d'exploitation\Linux\CompTIA Linux+ Complete Study Guide (2010) - [Wiley] - Roderick W. Smith.pdf"/>
    <x v="14"/>
    <x v="22"/>
    <s v="Roderick W. Smith"/>
    <s v=""/>
    <s v=".pdf"/>
    <n v="76"/>
    <n v="17"/>
    <s v="CompTIA Linux+ Complete Study Guide"/>
  </r>
  <r>
    <s v="W:\Livres\Informatique\Systèmes d'exploitation\Linux\Hack Proofing Linux, A Guide to Open Source Security (2001) - [Syngress] - James Stanger, Patrick T. Lane.pdf"/>
    <x v="15"/>
    <x v="127"/>
    <s v="James Stanger, Patrick T. Lane"/>
    <s v=""/>
    <s v=".pdf"/>
    <n v="109"/>
    <n v="30"/>
    <s v="Hack Proofing Linux, A Guide to Open Source Security"/>
  </r>
  <r>
    <s v="W:\Livres\Informatique\Systèmes d'exploitation\Linux\Hacking Exposed Linux (3rd ed, 2008) - [McGraw-Hill] - Isecom.pdf"/>
    <x v="13"/>
    <x v="41"/>
    <s v="Isecom"/>
    <s v=""/>
    <s v=".pdf"/>
    <n v="65"/>
    <n v="6"/>
    <s v="Hacking Exposed Linux"/>
  </r>
  <r>
    <s v="W:\Livres\Informatique\Systèmes d'exploitation\Linux\Hardening Linux (2005) - [Apress] - James Turnbull.pdf"/>
    <x v="1"/>
    <x v="42"/>
    <s v="James Turnbull"/>
    <s v=""/>
    <s v=".pdf"/>
    <n v="54"/>
    <n v="14"/>
    <s v="Hardening Linux"/>
  </r>
  <r>
    <s v="W:\Livres\Informatique\Systèmes d'exploitation\Linux\How Linux Works (2nd ed, 2015) - [No Starch] - Brian Ward.pdf"/>
    <x v="3"/>
    <x v="15"/>
    <s v="Brian Ward"/>
    <s v=""/>
    <s v=".pdf"/>
    <n v="61"/>
    <n v="10"/>
    <s v="How Linux Works"/>
  </r>
  <r>
    <s v="W:\Livres\Informatique\Systèmes d'exploitation\Linux\Linux 2.0, API système et fonctionnement du noyau (1998) {Scan} - [Eyrolles] - Card, Dumas, Mével.pdf"/>
    <x v="12"/>
    <x v="6"/>
    <s v="Card, Dumas, Mével"/>
    <s v="Scan"/>
    <s v=".pdf"/>
    <n v="101"/>
    <n v="18"/>
    <s v="Linux 2.0, API système et fonctionnement du noyau"/>
  </r>
  <r>
    <s v="W:\Livres\Informatique\Systèmes d'exploitation\Linux\Linux 101 Hacks (2009) - Ramesh Natarajan.pdf"/>
    <x v="4"/>
    <x v="8"/>
    <s v="Ramesh Natarajan"/>
    <s v=""/>
    <s v=".pdf"/>
    <n v="45"/>
    <n v="16"/>
    <s v="Linux 101 Hacks"/>
  </r>
  <r>
    <s v="W:\Livres\Informatique\Systèmes d'exploitation\Linux\Linux Bible (2010) - [Wiley] - Christopher Negus.pdf"/>
    <x v="14"/>
    <x v="22"/>
    <s v="Christopher Negus"/>
    <s v=""/>
    <s v=".pdf"/>
    <n v="52"/>
    <n v="17"/>
    <s v="Linux Bible"/>
  </r>
  <r>
    <s v="W:\Livres\Informatique\Systèmes d'exploitation\Linux\Linux Bible 2009 Edition, Boot up to Ubuntu, Fedora, KNOPPIX, Debian, SUSE and 13 Other Distributions (2009) - [Wiley] - Christopher Negus.pdf"/>
    <x v="4"/>
    <x v="22"/>
    <s v="Christopher Negus"/>
    <s v=""/>
    <s v=".pdf"/>
    <n v="142"/>
    <n v="17"/>
    <s v="Linux Bible 2009 Edition, Boot up to Ubuntu, Fedora, KNOPPIX, Debian, SUSE and 13 Other Distributions"/>
  </r>
  <r>
    <s v="W:\Livres\Informatique\Systèmes d'exploitation\Linux\Linux Firewalls (2007) - [No Starch] - Michal Rash.pdf"/>
    <x v="9"/>
    <x v="15"/>
    <s v="Michal Rash"/>
    <s v=""/>
    <s v=".pdf"/>
    <n v="54"/>
    <n v="11"/>
    <s v="Linux Firewalls"/>
  </r>
  <r>
    <s v="W:\Livres\Informatique\Systèmes d'exploitation\Linux\Linux for Dummies (9th ed, 2009) - [Wiley] - Richard Blum.pdf"/>
    <x v="4"/>
    <x v="22"/>
    <s v="Richard Blum"/>
    <s v=""/>
    <s v=".pdf"/>
    <n v="61"/>
    <n v="12"/>
    <s v="Linux for Dummies"/>
  </r>
  <r>
    <s v="W:\Livres\Informatique\Systèmes d'exploitation\Linux\Linux in a Nutshell (6th ed, 2009) - [O'Reilly] - Ellen Siever, Stephen Figgins, Robert Love, Arnold Robbins.pdf"/>
    <x v="4"/>
    <x v="4"/>
    <s v="Ellen Siever, Stephen Figgins, Robert Love, Arnold Robbins"/>
    <s v=""/>
    <s v=".pdf"/>
    <n v="112"/>
    <n v="58"/>
    <s v="Linux in a Nutshell"/>
  </r>
  <r>
    <s v="W:\Livres\Informatique\Systèmes d'exploitation\Linux\Linux Network Administrator's Guide (2nd ed, 2000) {Dump} - [O'Reilly] - Olaf Kirch, Terry Dawson.pdf"/>
    <x v="7"/>
    <x v="4"/>
    <s v="Olaf Kirch, Terry Dawson"/>
    <s v="Dump"/>
    <s v=".pdf"/>
    <n v="101"/>
    <n v="24"/>
    <s v="Linux Network Administrator's Guide"/>
  </r>
  <r>
    <s v="W:\Livres\Informatique\Systèmes d'exploitation\Linux\Linux Networking Cookbook (2008) - [O'Reilly] - Carla Schroder.pdf"/>
    <x v="13"/>
    <x v="4"/>
    <s v="Carla Schroder"/>
    <s v=""/>
    <s v=".pdf"/>
    <n v="66"/>
    <n v="14"/>
    <s v="Linux Networking Cookbook"/>
  </r>
  <r>
    <s v="W:\Livres\Informatique\Systèmes d'exploitation\Linux\Linux Operations and Administration (2013) - [Cengage Learning] - Basta, Finamore, Palladino.pdf"/>
    <x v="5"/>
    <x v="51"/>
    <s v="Basta, Finamore, Palladino"/>
    <s v=""/>
    <s v=".pdf"/>
    <n v="96"/>
    <n v="26"/>
    <s v="Linux Operations and Administration"/>
  </r>
  <r>
    <s v="W:\Livres\Informatique\Systèmes d'exploitation\Linux\Linux Pocket Guide, Essential Commands (2nd ed, 2012) - [O'Reilly] - Daniel J. Barrett.pdf"/>
    <x v="8"/>
    <x v="4"/>
    <s v="Daniel J. Barrett"/>
    <s v=""/>
    <s v=".pdf"/>
    <n v="90"/>
    <n v="17"/>
    <s v="Linux Pocket Guide, Essential Commands"/>
  </r>
  <r>
    <s v="W:\Livres\Informatique\Systèmes d'exploitation\Linux\Linux Pocket Guide, Essential Commands (3rd ed, 2016) - [O'Reilly] - Daniel Barrett.pdf"/>
    <x v="2"/>
    <x v="4"/>
    <s v="Daniel Barrett"/>
    <s v=""/>
    <s v=".pdf"/>
    <n v="87"/>
    <n v="14"/>
    <s v="Linux Pocket Guide, Essential Commands"/>
  </r>
  <r>
    <s v="W:\Livres\Informatique\Systèmes d'exploitation\Linux\Linux Server Hacks (2003), 100 Industrual-Strength Tips &amp; Tools - [O'Reilly] - Rob Flickenger.pdf"/>
    <x v="25"/>
    <x v="4"/>
    <s v="Rob Flickenger"/>
    <s v=""/>
    <s v=".pdf"/>
    <n v="97"/>
    <n v="14"/>
    <s v="Linux Server Hacks"/>
  </r>
  <r>
    <s v="W:\Livres\Informatique\Systèmes d'exploitation\Linux\Linux System Administration (2007) - [O'Reilly] - Tom Adelstein, Bill Lubanovic.pdf"/>
    <x v="9"/>
    <x v="4"/>
    <s v="Tom Adelstein, Bill Lubanovic"/>
    <s v=""/>
    <s v=".pdf"/>
    <n v="83"/>
    <n v="29"/>
    <s v="Linux System Administration"/>
  </r>
  <r>
    <s v="W:\Livres\Informatique\Systèmes d'exploitation\Linux\Linux, Maîtrisez l'administration du système (2è ed, 2009) - [ENI] - Sébastien Rohaut.pdf"/>
    <x v="4"/>
    <x v="18"/>
    <s v="Sébastien Rohaut"/>
    <s v=""/>
    <s v=".pdf"/>
    <n v="89"/>
    <n v="16"/>
    <s v="Linux, Maîtrisez l'administration du système"/>
  </r>
  <r>
    <s v="W:\Livres\Informatique\Systèmes d'exploitation\Linux\Linux, The Complete Reference (6th ed, 2008) - [McGraw-Hill] - Richard Petersen.pdf"/>
    <x v="13"/>
    <x v="41"/>
    <s v="Richard Petersen"/>
    <s v=""/>
    <s v=".pdf"/>
    <n v="83"/>
    <n v="16"/>
    <s v="Linux, The Complete Reference"/>
  </r>
  <r>
    <s v="W:\Livres\Informatique\Systèmes d'exploitation\Linux\Linux+ Guide to Linux Certification (3rd ed, 2012) - [Cengage Learning] - Jason W. Eckert.pdf"/>
    <x v="8"/>
    <x v="51"/>
    <s v="Jason W. Eckert"/>
    <s v=""/>
    <s v=".pdf"/>
    <n v="93"/>
    <n v="15"/>
    <s v="Linux+ Guide to Linux Certification"/>
  </r>
  <r>
    <s v="W:\Livres\Informatique\Systèmes d'exploitation\Linux\LPIC 1, Linux Professional Institute Certification Study Guide (2nd ed, 2009) - [Wiley] - Roderick W. Smith.pdf"/>
    <x v="4"/>
    <x v="22"/>
    <s v="Roderick W. Smith"/>
    <s v=""/>
    <s v=".pdf"/>
    <n v="111"/>
    <n v="17"/>
    <s v="LPIC 1, Linux Professional Institute Certification Study Guide"/>
  </r>
  <r>
    <s v="W:\Livres\Informatique\Systèmes d'exploitation\Linux\LPIC 2, Linux Professional Institute Certification Study Guide (2011) - [Wiley] - Roderick W. Smith.pdf"/>
    <x v="0"/>
    <x v="22"/>
    <s v="Roderick W. Smith"/>
    <s v=""/>
    <s v=".pdf"/>
    <n v="103"/>
    <n v="17"/>
    <s v="LPIC 2, Linux Professional Institute Certification Study Guide"/>
  </r>
  <r>
    <s v="W:\Livres\Informatique\Systèmes d'exploitation\Linux\Managing NFS and NIS (2nd ed, 2001) - [O'Reilly] - Stern, Eisler, Labiaga.pdf"/>
    <x v="15"/>
    <x v="4"/>
    <s v="Stern, Eisler, Labiaga"/>
    <s v=""/>
    <s v=".pdf"/>
    <n v="77"/>
    <n v="22"/>
    <s v="Managing NFS and NIS"/>
  </r>
  <r>
    <s v="W:\Livres\Informatique\Systèmes d'exploitation\Linux\Managing RAID on Linux (2003) - [O'Reilly] - Derek Vadala.pdf"/>
    <x v="25"/>
    <x v="4"/>
    <s v="Derek Vadala"/>
    <s v=""/>
    <s v=".pdf"/>
    <n v="61"/>
    <n v="12"/>
    <s v="Managing RAID on Linux"/>
  </r>
  <r>
    <s v="W:\Livres\Informatique\Systèmes d'exploitation\Linux\Pro Linux System Administration (2009) - [Apress] - James Turnbull, Peter Lieverdink, Dennis Matotek.pdf"/>
    <x v="4"/>
    <x v="42"/>
    <s v="James Turnbull, Peter Lieverdink, Dennis Matotek"/>
    <s v=""/>
    <s v=".pdf"/>
    <n v="104"/>
    <n v="48"/>
    <s v="Pro Linux System Administration"/>
  </r>
  <r>
    <s v="W:\Livres\Informatique\Systèmes d'exploitation\Linux\Python for Unix and Linux System Administration (2008) - [O'Reilly] - Noah Gift, Jeremy M. Jones.pdf"/>
    <x v="13"/>
    <x v="4"/>
    <s v="Noah Gift, Jeremy M. Jones"/>
    <s v=""/>
    <s v=".pdf"/>
    <n v="100"/>
    <n v="26"/>
    <s v="Python for Unix and Linux System Administration"/>
  </r>
  <r>
    <s v="W:\Livres\Informatique\Systèmes d'exploitation\Linux\Running Linux (4th ed, 2003) - [O'Reilly] - Kalle Dalheimer, Dawson, Kaufman, Welsh.pdf"/>
    <x v="25"/>
    <x v="4"/>
    <s v="Kalle Dalheimer, Dawson, Kaufman, Welsh"/>
    <s v=""/>
    <s v=".pdf"/>
    <n v="87"/>
    <n v="39"/>
    <s v="Running Linux"/>
  </r>
  <r>
    <s v="W:\Livres\Informatique\Systèmes d'exploitation\Linux\Running Linux (5th ed, 2006) - [O'Reilly] - Matthias Kalle Dalheimer, Matt Welsh.pdf"/>
    <x v="17"/>
    <x v="4"/>
    <s v="Matthias Kalle Dalheimer, Matt Welsh"/>
    <s v=""/>
    <s v=".pdf"/>
    <n v="84"/>
    <n v="36"/>
    <s v="Running Linux"/>
  </r>
  <r>
    <s v="W:\Livres\Informatique\Systèmes d'exploitation\Linux\Solutions temps réel sous Linux (2è ed, 2016) - [Eyrolles] - Christophe Blaess.pdf"/>
    <x v="2"/>
    <x v="6"/>
    <s v="Christophe Blaess"/>
    <s v=""/>
    <s v=".pdf"/>
    <n v="82"/>
    <n v="17"/>
    <s v="Solutions temps réel sous Linux"/>
  </r>
  <r>
    <s v="W:\Livres\Informatique\Systèmes d'exploitation\Linux\SSH, The Secure Shell, The Definitive Guide (2001) {Dump} - [O'Reilly] - Daniel J. Barrett, Richard Silverman.pdf"/>
    <x v="15"/>
    <x v="4"/>
    <s v="Daniel J. Barrett, Richard Silverman"/>
    <s v="Dump"/>
    <s v=".pdf"/>
    <n v="113"/>
    <n v="36"/>
    <s v="SSH, The Secure Shell, The Definitive Guide"/>
  </r>
  <r>
    <s v="W:\Livres\Informatique\Systèmes d'exploitation\Linux\Teach Yourself Unix Shell Programming in 24 Hours (1999) - [Sams] - Sriranga Veeraraghavan.pdf"/>
    <x v="11"/>
    <x v="52"/>
    <s v="Sriranga Veeraraghavan"/>
    <s v=""/>
    <s v=".pdf"/>
    <n v="94"/>
    <n v="22"/>
    <s v="Teach Yourself Unix Shell Programming in 24 Hours"/>
  </r>
  <r>
    <s v="W:\Livres\Informatique\Systèmes d'exploitation\Linux\The Complete FreeBSD (4th ed, 2003) - [O'Reilly] - Greg Lehey.pdf"/>
    <x v="25"/>
    <x v="4"/>
    <s v="Greg Lehey"/>
    <s v=""/>
    <s v=".pdf"/>
    <n v="65"/>
    <n v="10"/>
    <s v="The Complete FreeBSD"/>
  </r>
  <r>
    <s v="W:\Livres\Informatique\Systèmes d'exploitation\Linux\The Design of the Unix Operating System (1986) {Scan} - [Prentice Hall] - Maurice J Bach.pdf"/>
    <x v="20"/>
    <x v="20"/>
    <s v="Maurice J Bach"/>
    <s v="Scan"/>
    <s v=".pdf"/>
    <n v="92"/>
    <n v="14"/>
    <s v="The Design of the Unix Operating System"/>
  </r>
  <r>
    <s v="W:\Livres\Informatique\Systèmes d'exploitation\Linux\Ubuntu Linux Secrets (2009) - [Wiley] - Richard Blum.pdf"/>
    <x v="4"/>
    <x v="22"/>
    <s v="Richard Blum"/>
    <s v=""/>
    <s v=".pdf"/>
    <n v="56"/>
    <n v="12"/>
    <s v="Ubuntu Linux Secrets"/>
  </r>
  <r>
    <s v="W:\Livres\Informatique\Systèmes d'exploitation\Linux\Ubuntu Made Easy, A Project-Based Introduction to Linux (2012) - [No Starch] - Rickford Grant, Phil Bull.pdf"/>
    <x v="8"/>
    <x v="15"/>
    <s v="Rickford Grant, Phil Bull"/>
    <s v=""/>
    <s v=".pdf"/>
    <n v="108"/>
    <n v="25"/>
    <s v="Ubuntu Made Easy, A Project-Based Introduction to Linux"/>
  </r>
  <r>
    <s v="W:\Livres\Informatique\Systèmes d'exploitation\Linux\Understanding the Linux Kernel (2nd ed, 2002) {Dump} - [O'Reilly] - Daniel P. Bovet, Marco Cesati.pdf"/>
    <x v="16"/>
    <x v="4"/>
    <s v="Daniel P. Bovet, Marco Cesati"/>
    <s v="Dump"/>
    <s v=".pdf"/>
    <n v="101"/>
    <n v="29"/>
    <s v="Understanding the Linux Kernel"/>
  </r>
  <r>
    <s v="W:\Livres\Informatique\Systèmes d'exploitation\Linux\Understanding the Linux Kernel (2000) - [O'Reilly] - Daniel P. Bovet, Marco Cesati.pdf"/>
    <x v="7"/>
    <x v="4"/>
    <s v="Daniel P. Bovet, Marco Cesati"/>
    <s v=""/>
    <s v=".pdf"/>
    <n v="86"/>
    <n v="29"/>
    <s v="Understanding the Linux Kernel"/>
  </r>
  <r>
    <s v="W:\Livres\Informatique\Systèmes d'exploitation\Linux\Unix Filesystems, Evolution, Design and Implementation (2003) - [Wiley] - Steve D. Pate.pdf"/>
    <x v="25"/>
    <x v="22"/>
    <s v="Steve D. Pate"/>
    <s v=""/>
    <s v=".pdf"/>
    <n v="91"/>
    <n v="13"/>
    <s v="Unix Filesystems, Evolution, Design and Implementation"/>
  </r>
  <r>
    <s v="W:\Livres\Informatique\Systèmes d'exploitation\Mac\À la découverte de Mac OS X Mavericks, Spécial grands débutants (2014) - [Eyrolles] - Mathieu Lavant.pdf"/>
    <x v="6"/>
    <x v="6"/>
    <s v="Mathieu Lavant"/>
    <s v=""/>
    <s v=".pdf"/>
    <n v="104"/>
    <n v="14"/>
    <s v="À la découverte de Mac OS X Mavericks, Spécial grands débutants"/>
  </r>
  <r>
    <s v="W:\Livres\Informatique\Systèmes d'exploitation\Mac\Le guide pratique Mac OS X El Capitan Version 10.11 (2016) - [Eyrolles] - Fabrice Neuman.pdf"/>
    <x v="2"/>
    <x v="6"/>
    <s v="Fabrice Neuman"/>
    <s v=""/>
    <s v=".pdf"/>
    <n v="92"/>
    <n v="14"/>
    <s v="Le guide pratique Mac OS X El Capitan Version 10.11"/>
  </r>
  <r>
    <s v="W:\Livres\Informatique\Systèmes d'exploitation\Mac\Le guide pratique Mac OS X Yosemite (2015) - [Eyrolles] - Neuman, Forgeard-Grignon, Roda.pdf"/>
    <x v="3"/>
    <x v="6"/>
    <s v="Neuman, Forgeard-Grignon, Roda"/>
    <s v=""/>
    <s v=".pdf"/>
    <n v="92"/>
    <n v="30"/>
    <s v="Le guide pratique Mac OS X Yosemite"/>
  </r>
  <r>
    <s v="W:\Livres\Informatique\Systèmes d'exploitation\Mac\Mac OS X for Unix Geeks (2003) - [O'Reilly] - Brian Jepson, Ernest E. Rothman.pdf"/>
    <x v="25"/>
    <x v="4"/>
    <s v="Brian Jepson, Ernest E. Rothman"/>
    <s v=""/>
    <s v=".pdf"/>
    <n v="81"/>
    <n v="31"/>
    <s v="Mac OS X for Unix Geeks"/>
  </r>
  <r>
    <s v="W:\Livres\Informatique\Systèmes d'exploitation\Windows\À la découverte de Windows 10 anniversaire (2016) - [Eyrolles] - Mathieu Lavant.pdf"/>
    <x v="2"/>
    <x v="6"/>
    <s v="Mathieu Lavant"/>
    <s v=""/>
    <s v=".pdf"/>
    <n v="83"/>
    <n v="14"/>
    <s v="À la découverte de Windows 10 anniversaire"/>
  </r>
  <r>
    <s v="W:\Livres\Informatique\Systèmes d'exploitation\Windows\DHCP for Windows 2000 (2001) - [O'Reilly] - Neall Alcott.pdf"/>
    <x v="15"/>
    <x v="4"/>
    <s v="Neall Alcott"/>
    <s v=""/>
    <s v=".pdf"/>
    <n v="60"/>
    <n v="12"/>
    <s v="DHCP for Windows 2000"/>
  </r>
  <r>
    <s v="W:\Livres\Informatique\Systèmes d'exploitation\Windows\DNS on Windows 2000 (2nd ed, 2001) {Dump} - [O'Reilly] - Matt Larson.pdf"/>
    <x v="15"/>
    <x v="4"/>
    <s v="Matt Larson"/>
    <s v="Dump"/>
    <s v=".pdf"/>
    <n v="72"/>
    <n v="11"/>
    <s v="DNS on Windows 2000"/>
  </r>
  <r>
    <s v="W:\Livres\Informatique\Systèmes d'exploitation\Windows\Essential PowerShell (2008) - [Addison-Wesley] - Holger Schwichtenberg.pdf"/>
    <x v="13"/>
    <x v="19"/>
    <s v="Holger Schwichtenberg"/>
    <s v=""/>
    <s v=".pdf"/>
    <n v="74"/>
    <n v="21"/>
    <s v="Essential PowerShell"/>
  </r>
  <r>
    <s v="W:\Livres\Informatique\Systèmes d'exploitation\Windows\Introducing Widows 10 for IT Professionals (2015) {Preview} - [Microsoft Press] - Ed Bott.epub"/>
    <x v="3"/>
    <x v="13"/>
    <s v="Ed Bott"/>
    <s v="Preview"/>
    <s v=".epub"/>
    <n v="94"/>
    <n v="7"/>
    <s v="Introducing Widows 10 for IT Professionals"/>
  </r>
  <r>
    <s v="W:\Livres\Informatique\Systèmes d'exploitation\Windows\Introducing Widows 10 for IT Professionals (2015) {Preview} - [Microsoft Press] - Ed Bott.pdf"/>
    <x v="3"/>
    <x v="13"/>
    <s v="Ed Bott"/>
    <s v="Preview"/>
    <s v=".pdf"/>
    <n v="93"/>
    <n v="7"/>
    <s v="Introducing Widows 10 for IT Professionals"/>
  </r>
  <r>
    <s v="W:\Livres\Informatique\Systèmes d'exploitation\Windows\Le guide pratique Windows 8 (2014) - [Eyrolles] - Fabrice Neuman.pdf"/>
    <x v="6"/>
    <x v="6"/>
    <s v="Fabrice Neuman"/>
    <s v=""/>
    <s v=".pdf"/>
    <n v="68"/>
    <n v="14"/>
    <s v="Le guide pratique Windows 8"/>
  </r>
  <r>
    <s v="W:\Livres\Informatique\Systèmes d'exploitation\Windows\Le guide pratique Windows 10 (2015) - [Eyrolles] - Fabrice Neuman.pdf"/>
    <x v="3"/>
    <x v="6"/>
    <s v="Fabrice Neuman"/>
    <s v=""/>
    <s v=".pdf"/>
    <n v="69"/>
    <n v="14"/>
    <s v="Le guide pratique Windows 10"/>
  </r>
  <r>
    <s v="W:\Livres\Informatique\Systèmes d'exploitation\Windows\Managing the Windows 2000 Registry (2000) - [O'Reilly] - Paul Robichaux.pdf"/>
    <x v="7"/>
    <x v="4"/>
    <s v="Paul Robichaux"/>
    <s v=""/>
    <s v=".pdf"/>
    <n v="75"/>
    <n v="14"/>
    <s v="Managing the Windows 2000 Registry"/>
  </r>
  <r>
    <s v="W:\Livres\Informatique\Systèmes d'exploitation\Windows\Mastering PowerShell (2009) - [BBS Technologies] - Tobias Weltner.pdf"/>
    <x v="4"/>
    <x v="158"/>
    <s v="Tobias Weltner"/>
    <s v=""/>
    <s v=".pdf"/>
    <n v="69"/>
    <n v="14"/>
    <s v="Mastering PowerShell"/>
  </r>
  <r>
    <s v="W:\Livres\Informatique\Systèmes d'exploitation\Windows\Metro Revealed, Building Windows 8 Apps with HTML5 and JavaScript (2012) - [Apress] - Adam Freeman.pdf"/>
    <x v="8"/>
    <x v="42"/>
    <s v="Adam Freeman"/>
    <s v=""/>
    <s v=".pdf"/>
    <n v="102"/>
    <n v="12"/>
    <s v="Metro Revealed, Building Windows 8 Apps with HTML5 and JavaScript"/>
  </r>
  <r>
    <s v="W:\Livres\Informatique\Systèmes d'exploitation\Windows\Microsoft PowerShell, VBScript and JScript Bible (2009) - [Wiley] - William R. Stanek, James O'Neill, Jeffrey Rosen.pdf"/>
    <x v="4"/>
    <x v="22"/>
    <s v="William R. Stanek, James O'Neill, Jeffrey Rosen"/>
    <s v=""/>
    <s v=".pdf"/>
    <n v="119"/>
    <n v="47"/>
    <s v="Microsoft PowerShell, VBScript and JScript Bible"/>
  </r>
  <r>
    <s v="W:\Livres\Informatique\Systèmes d'exploitation\Windows\Microsoft Windows PowerShell Programming for Absolute Beginner (2007) - [Thomson] - Jerry Lee Ford.pdf"/>
    <x v="9"/>
    <x v="31"/>
    <s v="Jerry Lee Ford"/>
    <s v=""/>
    <s v=".pdf"/>
    <n v="102"/>
    <n v="14"/>
    <s v="Microsoft Windows PowerShell Programming for Absolute Beginner"/>
  </r>
  <r>
    <s v="W:\Livres\Informatique\Systèmes d'exploitation\Windows\Virtualisation du poste de travail Windows 7 et 8 avec Windows Server 2012 (2013) - [Eyrolles] - Bories, Laachir, Lafeil, Thieblemont, Vitrant.pdf"/>
    <x v="5"/>
    <x v="6"/>
    <s v="Bories, Laachir, Lafeil, Thieblemont, Vitrant"/>
    <s v=""/>
    <s v=".pdf"/>
    <n v="146"/>
    <n v="45"/>
    <s v="Virtualisation du poste de travail Windows 7 et 8 avec Windows Server 2012"/>
  </r>
  <r>
    <s v="W:\Livres\Informatique\Systèmes d'exploitation\Windows\Windows 7 Power Users Guide (2009) - [The Long Climb] - Mike Halsey.pdf"/>
    <x v="4"/>
    <x v="159"/>
    <s v="Mike Halsey"/>
    <s v=""/>
    <s v=".pdf"/>
    <n v="71"/>
    <n v="11"/>
    <s v="Windows 7 Power Users Guide"/>
  </r>
  <r>
    <s v="W:\Livres\Informatique\Systèmes d'exploitation\Windows\Windows 8 avancé (2013) - [Eyrolles] - Louis-Guillaume Morand.pdf"/>
    <x v="5"/>
    <x v="6"/>
    <s v="Louis-Guillaume Morand"/>
    <s v=""/>
    <s v=".pdf"/>
    <n v="65"/>
    <n v="22"/>
    <s v="Windows 8 avancé"/>
  </r>
  <r>
    <s v="W:\Livres\Informatique\Systèmes d'exploitation\Windows\Windows 8 utilisateur, Guide de formation avec cas pratiques (2013) - [Eyrolles] - Philippe Moreau.pdf"/>
    <x v="5"/>
    <x v="6"/>
    <s v="Philippe Moreau"/>
    <s v=""/>
    <s v=".pdf"/>
    <n v="102"/>
    <n v="15"/>
    <s v="Windows 8 utilisateur, Guide de formation avec cas pratiques"/>
  </r>
  <r>
    <s v="W:\Livres\Informatique\Systèmes d'exploitation\Windows\Windows 10 et Internet pour les nuls (2015) - [First] - Levine, Young, Baroudi, Rathbone.pdf"/>
    <x v="3"/>
    <x v="78"/>
    <s v="Levine, Young, Baroudi, Rathbone"/>
    <s v=""/>
    <s v=".pdf"/>
    <n v="92"/>
    <n v="32"/>
    <s v="Windows 10 et Internet pour les nuls"/>
  </r>
  <r>
    <s v="W:\Livres\Informatique\Systèmes d'exploitation\Windows\Windows 10 pas à pas pour les nuls (2015) - [First] - Bernard Jolivalt.epub"/>
    <x v="3"/>
    <x v="78"/>
    <s v="Bernard Jolivalt"/>
    <s v=""/>
    <s v=".epub"/>
    <n v="75"/>
    <n v="16"/>
    <s v="Windows 10 pas à pas pour les nuls"/>
  </r>
  <r>
    <s v="W:\Livres\Informatique\Systèmes d'exploitation\Windows\Windows 10 pour les nuls (2015) - [First] - Andy Rathbone.epub"/>
    <x v="3"/>
    <x v="78"/>
    <s v="Andy Rathbone"/>
    <s v=""/>
    <s v=".epub"/>
    <n v="62"/>
    <n v="13"/>
    <s v="Windows 10 pour les nuls"/>
  </r>
  <r>
    <s v="W:\Livres\Informatique\Systèmes d'exploitation\Windows\Windows 10 tout en un pour les nuls (2015) - [First] - Woody Leonhard.pdf"/>
    <x v="3"/>
    <x v="78"/>
    <s v="Woody Leonhard"/>
    <s v=""/>
    <s v=".pdf"/>
    <n v="73"/>
    <n v="14"/>
    <s v="Windows 10 tout en un pour les nuls"/>
  </r>
  <r>
    <s v="W:\Livres\Informatique\Systèmes d'exploitation\Windows\Windows 2000 Administration in a Nutshell (2001) {Dump} - [O'Reilly] - Mitch Tulloch.pdf"/>
    <x v="15"/>
    <x v="4"/>
    <s v="Mitch Tulloch"/>
    <s v="Dump"/>
    <s v=".pdf"/>
    <n v="88"/>
    <n v="13"/>
    <s v="Windows 2000 Administration in a Nutshell"/>
  </r>
  <r>
    <s v="W:\Livres\Informatique\Systèmes d'exploitation\Windows\Windows 2000 Commands Pocket Reference (2001) {Dump} - [O'Reilly] - Æleen Frisch.pdf"/>
    <x v="15"/>
    <x v="4"/>
    <s v="Æleen Frisch"/>
    <s v="Dump"/>
    <s v=".pdf"/>
    <n v="84"/>
    <n v="12"/>
    <s v="Windows 2000 Commands Pocket Reference"/>
  </r>
  <r>
    <s v="W:\Livres\Informatique\Systèmes d'exploitation\Windows\Windows 2000 Quick Fixes (2002) - [O'Reilly] - Jim Boyce.pdf"/>
    <x v="16"/>
    <x v="4"/>
    <s v="Jim Boyce"/>
    <s v=""/>
    <s v=".pdf"/>
    <n v="60"/>
    <n v="9"/>
    <s v="Windows 2000 Quick Fixes"/>
  </r>
  <r>
    <s v="W:\Livres\Informatique\Systèmes d'exploitation\Windows\Windows Administration at the Command Line (2006) - [Sybex] - John Paul Mueller.epub"/>
    <x v="17"/>
    <x v="91"/>
    <s v="John Paul Mueller"/>
    <s v=""/>
    <s v=".epub"/>
    <n v="84"/>
    <n v="17"/>
    <s v="Windows Administration at the Command Line"/>
  </r>
  <r>
    <s v="W:\Livres\Informatique\Systèmes d'exploitation\Windows\Windows Administration at the Command Line (2006) - [Sybex] - John Paul Mueller.pdf"/>
    <x v="17"/>
    <x v="91"/>
    <s v="John Paul Mueller"/>
    <s v=""/>
    <s v=".pdf"/>
    <n v="83"/>
    <n v="17"/>
    <s v="Windows Administration at the Command Line"/>
  </r>
  <r>
    <s v="W:\Livres\Informatique\Systèmes d'exploitation\Windows\Windows Internals (5th ed, 2009) - [Microsoft Press] - Mark Russinovich, David A. Solomon, Alex Ionescu.pdf"/>
    <x v="4"/>
    <x v="13"/>
    <s v="Mark Russinovich, David A. Solomon, Alex Ionescu"/>
    <s v=""/>
    <s v=".pdf"/>
    <n v="107"/>
    <n v="48"/>
    <s v="Windows Internals"/>
  </r>
  <r>
    <s v="W:\Livres\Informatique\Systèmes d'exploitation\Windows\Windows Internals, Part 1 (6th ed, 2012) - [Microsoft Press] - Mark Russinovich, David A. Solomon, Alex Ionescu.pdf"/>
    <x v="8"/>
    <x v="13"/>
    <s v="Mark Russinovich, David A. Solomon, Alex Ionescu"/>
    <s v=""/>
    <s v=".pdf"/>
    <n v="115"/>
    <n v="48"/>
    <s v="Windows Internals, Part 1"/>
  </r>
  <r>
    <s v="W:\Livres\Informatique\Systèmes d'exploitation\Windows\Windows Internals, Part 2 (6th ed, 2012) - [Microsoft Press] - Mark Russinovich, David A. Solomon, Alex Ionescu.pdf"/>
    <x v="8"/>
    <x v="13"/>
    <s v="Mark Russinovich, David A. Solomon, Alex Ionescu"/>
    <s v=""/>
    <s v=".pdf"/>
    <n v="115"/>
    <n v="48"/>
    <s v="Windows Internals, Part 2"/>
  </r>
  <r>
    <s v="W:\Livres\Informatique\Systèmes d'exploitation\Windows\Windows Vista Annoyances Tips, Secrets, and Solutions (2007) - [O'Reilly] - David A. Karp.pdf"/>
    <x v="9"/>
    <x v="4"/>
    <s v="David A. Karp"/>
    <s v=""/>
    <s v=".pdf"/>
    <n v="93"/>
    <n v="13"/>
    <s v="Windows Vista Annoyances Tips, Secrets, and Solutions"/>
  </r>
  <r>
    <s v="W:\Livres\Informatique\Systèmes d'exploitation\Windows\Windows Server\Introducing Widows Server 2012 (2012) - [Microsoft Press] - Mitch Tulloch.epub"/>
    <x v="8"/>
    <x v="13"/>
    <s v="Mitch Tulloch"/>
    <s v=""/>
    <s v=".epub"/>
    <n v="78"/>
    <n v="13"/>
    <s v="Introducing Widows Server 2012"/>
  </r>
  <r>
    <s v="W:\Livres\Informatique\Systèmes d'exploitation\Windows\Windows Server\Introducing Widows Server 2012 (2012) - [Microsoft Press] - Mitch Tulloch.pdf"/>
    <x v="8"/>
    <x v="13"/>
    <s v="Mitch Tulloch"/>
    <s v=""/>
    <s v=".pdf"/>
    <n v="77"/>
    <n v="13"/>
    <s v="Introducing Widows Server 2012"/>
  </r>
  <r>
    <s v="W:\Livres\Informatique\Systèmes d'exploitation\Windows\Windows Server\Introducing Windows Server 2008 R2 (2010) - [Microsoft Press] - Charlie Russel, Craig Zacker.epub"/>
    <x v="14"/>
    <x v="13"/>
    <s v="Charlie Russel, Craig Zacker"/>
    <s v=""/>
    <s v=".epub"/>
    <n v="97"/>
    <n v="28"/>
    <s v="Introducing Windows Server 2008 R2"/>
  </r>
  <r>
    <s v="W:\Livres\Informatique\Systèmes d'exploitation\Windows\Windows Server\Introducing Windows Server 2008 R2 (2010) - [Microsoft Press] - Charlie Russel, Craig Zacker.pdf"/>
    <x v="14"/>
    <x v="13"/>
    <s v="Charlie Russel, Craig Zacker"/>
    <s v=""/>
    <s v=".pdf"/>
    <n v="96"/>
    <n v="28"/>
    <s v="Introducing Windows Server 2008 R2"/>
  </r>
  <r>
    <s v="W:\Livres\Informatique\Systèmes d'exploitation\Windows\Windows Server\Introducing Windows Server 2012 R2, Technical Overview - Mitch Tulloch.epub"/>
    <x v="10"/>
    <x v="8"/>
    <s v="Mitch Tulloch"/>
    <s v=""/>
    <s v=".epub"/>
    <n v="75"/>
    <n v="13"/>
    <s v="Introducing Windows Server 2012 R2, Technical Overview"/>
  </r>
  <r>
    <s v="W:\Livres\Informatique\Systèmes d'exploitation\Windows\Windows Server\Introducing Windows Server 2012, R2 Technical Overview (2013) - [Microsoft Press] - Mitch Tulloch.pdf"/>
    <x v="5"/>
    <x v="13"/>
    <s v="Mitch Tulloch"/>
    <s v=""/>
    <s v=".pdf"/>
    <n v="101"/>
    <n v="13"/>
    <s v="Introducing Windows Server 2012, R2 Technical Overview"/>
  </r>
  <r>
    <s v="W:\Livres\Informatique\Systèmes d'exploitation\Windows\Windows Server\Introducing Windows Server 2016, Technical Preview (2016) - [Microsoft Press] - John McCabe.pdf"/>
    <x v="2"/>
    <x v="13"/>
    <s v="John McCabe"/>
    <s v=""/>
    <s v=".pdf"/>
    <n v="95"/>
    <n v="11"/>
    <s v="Introducing Windows Server 2016, Technical Preview"/>
  </r>
  <r>
    <s v="W:\Livres\Informatique\Systèmes d'exploitation\Windows\Windows Server\Introducing Windows Server 2016, Technical Preview (2016) {Format eBook} - [Microsoft Press] - John McCabe.pdf"/>
    <x v="2"/>
    <x v="13"/>
    <s v="John McCabe"/>
    <s v="Format eBook"/>
    <s v=".pdf"/>
    <n v="110"/>
    <n v="11"/>
    <s v="Introducing Windows Server 2016, Technical Preview"/>
  </r>
  <r>
    <s v="W:\Livres\Informatique\Systèmes d'exploitation\Windows\Windows Server\Windows Server 2008 Inside Out (2008) - [Microsoft Press] - William Staneck.pdf"/>
    <x v="13"/>
    <x v="13"/>
    <s v="William Staneck"/>
    <s v=""/>
    <s v=".pdf"/>
    <n v="79"/>
    <n v="15"/>
    <s v="Windows Server 2008 Inside Out"/>
  </r>
  <r>
    <s v="W:\Livres\Informatique\Systèmes d'exploitation\Windows\Windows Server\Windows Server 2008 Inside Out (2008), Scripts.rar"/>
    <x v="13"/>
    <x v="8"/>
    <s v="?"/>
    <s v=""/>
    <s v=".rar"/>
    <n v="50"/>
    <n v="1"/>
    <s v="Windows Server 2008 Inside Out"/>
  </r>
  <r>
    <s v="W:\Livres\Informatique\Web, HTML, CSS, Javascript, PHP, Ajax\60 règles d'or pour réussir son site web (2014) - [Dunod] - Jean-Marc Hardy, Jacqueline Léo Lesage.pdf"/>
    <x v="6"/>
    <x v="2"/>
    <s v="Jean-Marc Hardy, Jacqueline Léo Lesage"/>
    <s v=""/>
    <s v=".pdf"/>
    <n v="102"/>
    <n v="38"/>
    <s v="60 règles d'or pour réussir son site web"/>
  </r>
  <r>
    <s v="W:\Livres\Informatique\Web, HTML, CSS, Javascript, PHP, Ajax\Accessibilité Web, Normes et bonnes pratiques (2012) - [Eyrolles] - Armony Altinier.pdf"/>
    <x v="8"/>
    <x v="6"/>
    <s v="Armony Altinier"/>
    <s v=""/>
    <s v=".pdf"/>
    <n v="87"/>
    <n v="15"/>
    <s v="Accessibilité Web, Normes et bonnes pratiques"/>
  </r>
  <r>
    <s v="W:\Livres\Informatique\Web, HTML, CSS, Javascript, PHP, Ajax\Ajax for Dummies (2006) - [Wiley] - Steve Holzner.pdf"/>
    <x v="17"/>
    <x v="22"/>
    <s v="Steve Holzner"/>
    <s v=""/>
    <s v=".pdf"/>
    <n v="53"/>
    <n v="13"/>
    <s v="Ajax for Dummies"/>
  </r>
  <r>
    <s v="W:\Livres\Informatique\Web, HTML, CSS, Javascript, PHP, Ajax\Apprendre la programmation Web avec Python et Django (2012) - [Eyrolles] - Pierre Alexis, Hugues Bersini.pdf"/>
    <x v="8"/>
    <x v="6"/>
    <s v="Pierre Alexis, Hugues Bersini"/>
    <s v=""/>
    <s v=".pdf"/>
    <n v="108"/>
    <n v="29"/>
    <s v="Apprendre la programmation Web avec Python et Django"/>
  </r>
  <r>
    <s v="W:\Livres\Informatique\Web, HTML, CSS, Javascript, PHP, Ajax\ASP in a Nutshell (1999) - [O'Reilly] - Keyton Weissinger.pdf"/>
    <x v="11"/>
    <x v="4"/>
    <s v="Keyton Weissinger"/>
    <s v=""/>
    <s v=".pdf"/>
    <n v="61"/>
    <n v="17"/>
    <s v="ASP in a Nutshell"/>
  </r>
  <r>
    <s v="W:\Livres\Informatique\Web, HTML, CSS, Javascript, PHP, Ajax\ASP.Net (2003) - [Eyrolles] - Thomas Petillon.pdf"/>
    <x v="25"/>
    <x v="6"/>
    <s v="Thomas Petillon"/>
    <s v=""/>
    <s v=".pdf"/>
    <n v="49"/>
    <n v="15"/>
    <s v="ASP.Net"/>
  </r>
  <r>
    <s v="W:\Livres\Informatique\Web, HTML, CSS, Javascript, PHP, Ajax\Async JavaScript (2012) - [The Pragmatic Programmers] - Trevor Burnham.pdf"/>
    <x v="8"/>
    <x v="44"/>
    <s v="Trevor Burnham"/>
    <s v=""/>
    <s v=".pdf"/>
    <n v="74"/>
    <n v="14"/>
    <s v="Async JavaScript"/>
  </r>
  <r>
    <s v="W:\Livres\Informatique\Web, HTML, CSS, Javascript, PHP, Ajax\Beginning ASP.Net 4.5 in C# and VB (2013) - [Wiley] - Imar Spaanjaars.pdf"/>
    <x v="5"/>
    <x v="22"/>
    <s v="Imar Spaanjaars"/>
    <s v=""/>
    <s v=".pdf"/>
    <n v="73"/>
    <n v="15"/>
    <s v="Beginning ASP.Net 4.5 in C# and VB"/>
  </r>
  <r>
    <s v="W:\Livres\Informatique\Web, HTML, CSS, Javascript, PHP, Ajax\Beginning ASP.Net in VB (2012) - [Apress] - Matthew MacDonald.pdf"/>
    <x v="8"/>
    <x v="42"/>
    <s v="Matthew MacDonald"/>
    <s v=""/>
    <s v=".pdf"/>
    <n v="65"/>
    <n v="17"/>
    <s v="Beginning ASP.Net in VB"/>
  </r>
  <r>
    <s v="W:\Livres\Informatique\Web, HTML, CSS, Javascript, PHP, Ajax\Beginning CSS (3rd ed, 2011) - [Wiley] - Ian Pouncey, Richard York.pdf"/>
    <x v="0"/>
    <x v="22"/>
    <s v="Ian Pouncey, Richard York"/>
    <s v=""/>
    <s v=".pdf"/>
    <n v="70"/>
    <n v="25"/>
    <s v="Beginning CSS"/>
  </r>
  <r>
    <s v="W:\Livres\Informatique\Web, HTML, CSS, Javascript, PHP, Ajax\Beginning JavaScript (4th ed, 2010) - [Wiley] - Paul Wilton, Jeremy McPeak.pdf"/>
    <x v="14"/>
    <x v="22"/>
    <s v="Paul Wilton, Jeremy McPeak"/>
    <s v=""/>
    <s v=".pdf"/>
    <n v="78"/>
    <n v="26"/>
    <s v="Beginning JavaScript"/>
  </r>
  <r>
    <s v="W:\Livres\Informatique\Web, HTML, CSS, Javascript, PHP, Ajax\Beginning JavaScript (5th ed, 2015) - [Wiley] - Paul Wilton, Jeremy McPeak.pdf"/>
    <x v="3"/>
    <x v="22"/>
    <s v="Paul Wilton, Jeremy McPeak"/>
    <s v=""/>
    <s v=".pdf"/>
    <n v="78"/>
    <n v="26"/>
    <s v="Beginning JavaScript"/>
  </r>
  <r>
    <s v="W:\Livres\Informatique\Web, HTML, CSS, Javascript, PHP, Ajax\Beginning JavaScript and CSS Development with jQuery (2009) - [Wiley] - Richard York.pdf"/>
    <x v="4"/>
    <x v="22"/>
    <s v="Richard York"/>
    <s v=""/>
    <s v=".pdf"/>
    <n v="88"/>
    <n v="12"/>
    <s v="Beginning JavaScript and CSS Development with jQuery"/>
  </r>
  <r>
    <s v="W:\Livres\Informatique\Web, HTML, CSS, Javascript, PHP, Ajax\Beginning JavaScript with DOM Scripting and Ajax (2nd ed, 2013) - [Apress] - Russ Ferguson, Christian Heilmann.pdf"/>
    <x v="5"/>
    <x v="42"/>
    <s v="Russ Ferguson, Christian Heilmann"/>
    <s v=""/>
    <s v=".pdf"/>
    <n v="114"/>
    <n v="33"/>
    <s v="Beginning JavaScript with DOM Scripting and Ajax"/>
  </r>
  <r>
    <s v="W:\Livres\Informatique\Web, HTML, CSS, Javascript, PHP, Ajax\Beginning jQuery (2013) - [Apress] - Jack Franklin.pdf"/>
    <x v="5"/>
    <x v="42"/>
    <s v="Jack Franklin"/>
    <s v=""/>
    <s v=".pdf"/>
    <n v="54"/>
    <n v="13"/>
    <s v="Beginning jQuery"/>
  </r>
  <r>
    <s v="W:\Livres\Informatique\Web, HTML, CSS, Javascript, PHP, Ajax\Beginning PhoneGap, Mobile Web Framework for JavaScript and HTML5 (2012) - [Apress] - Rohit Ghatol, Yogesh Patel.pdf"/>
    <x v="8"/>
    <x v="42"/>
    <s v="Rohit Ghatol, Yogesh Patel"/>
    <s v=""/>
    <s v=".pdf"/>
    <n v="116"/>
    <n v="26"/>
    <s v="Beginning PhoneGap, Mobile Web Framework for JavaScript and HTML5"/>
  </r>
  <r>
    <s v="W:\Livres\Informatique\Web, HTML, CSS, Javascript, PHP, Ajax\Bonnes pratiques des standards du Web (2010) - [Pearson] - Dan Cederholm.pdf"/>
    <x v="14"/>
    <x v="7"/>
    <s v="Dan Cederholm"/>
    <s v=""/>
    <s v=".pdf"/>
    <n v="76"/>
    <n v="13"/>
    <s v="Bonnes pratiques des standards du Web"/>
  </r>
  <r>
    <s v="W:\Livres\Informatique\Web, HTML, CSS, Javascript, PHP, Ajax\CGI Programming (1996) {Webdump} - [O'Reilly] - Shishir Gundavaram.pdf"/>
    <x v="22"/>
    <x v="4"/>
    <s v="Shishir Gundavaram"/>
    <s v="Webdump"/>
    <s v=".pdf"/>
    <n v="70"/>
    <n v="18"/>
    <s v="CGI Programming"/>
  </r>
  <r>
    <s v="W:\Livres\Informatique\Web, HTML, CSS, Javascript, PHP, Ajax\CSS 2, Pratique du Design Web (2è ed, 2007) - [Eyrolles] - Raphaël Goetter.pdf"/>
    <x v="9"/>
    <x v="6"/>
    <s v="Raphaël Goetter"/>
    <s v=""/>
    <s v=".pdf"/>
    <n v="78"/>
    <n v="15"/>
    <s v="CSS 2, Pratique du Design Web"/>
  </r>
  <r>
    <s v="W:\Livres\Informatique\Web, HTML, CSS, Javascript, PHP, Ajax\CSS3 pour les web designers (2è ed, 2016) - [Eyrolles] - Dan Cederholm.pdf"/>
    <x v="2"/>
    <x v="6"/>
    <s v="Dan Cederholm"/>
    <s v=""/>
    <s v=".pdf"/>
    <n v="74"/>
    <n v="13"/>
    <s v="CSS3 pour les web designers"/>
  </r>
  <r>
    <s v="W:\Livres\Informatique\Web, HTML, CSS, Javascript, PHP, Ajax\CSS3 pour les web designers (2è ed, 2016), Errata.rar"/>
    <x v="2"/>
    <x v="8"/>
    <s v="?"/>
    <s v=""/>
    <s v=".rar"/>
    <n v="53"/>
    <n v="1"/>
    <s v="CSS3 pour les web designers"/>
  </r>
  <r>
    <s v="W:\Livres\Informatique\Web, HTML, CSS, Javascript, PHP, Ajax\Designing Active Server Pages (2000) - [O'Reilly] - Scott Mitchell.pdf"/>
    <x v="7"/>
    <x v="4"/>
    <s v="Scott Mitchell"/>
    <s v=""/>
    <s v=".pdf"/>
    <n v="70"/>
    <n v="14"/>
    <s v="Designing Active Server Pages"/>
  </r>
  <r>
    <s v="W:\Livres\Informatique\Web, HTML, CSS, Javascript, PHP, Ajax\Developing ASP Components (2nd ed, 2001) - [O'Reilly] - Shelley Powers.pdf"/>
    <x v="15"/>
    <x v="4"/>
    <s v="Shelley Powers"/>
    <s v=""/>
    <s v=".pdf"/>
    <n v="74"/>
    <n v="14"/>
    <s v="Developing ASP Components"/>
  </r>
  <r>
    <s v="W:\Livres\Informatique\Web, HTML, CSS, Javascript, PHP, Ajax\Développer avec Symfony 2 (2015) - [Eyrolles] - Clément Camin.pdf"/>
    <x v="3"/>
    <x v="6"/>
    <s v="Clément Camin"/>
    <s v=""/>
    <s v=".pdf"/>
    <n v="65"/>
    <n v="13"/>
    <s v="Développer avec Symfony 2"/>
  </r>
  <r>
    <s v="W:\Livres\Informatique\Web, HTML, CSS, Javascript, PHP, Ajax\Développez en Ajax (2006) - [Eyrolles] - Michel Plasse.pdf"/>
    <x v="17"/>
    <x v="6"/>
    <s v="Michel Plasse"/>
    <s v=""/>
    <s v=".pdf"/>
    <n v="58"/>
    <n v="13"/>
    <s v="Développez en Ajax"/>
  </r>
  <r>
    <s v="W:\Livres\Informatique\Web, HTML, CSS, Javascript, PHP, Ajax\Dynamic HTML, The Definitive Reference (1998) - [O'Reilly] - Danny Goodman.pdf"/>
    <x v="12"/>
    <x v="4"/>
    <s v="Danny Goodman"/>
    <s v=""/>
    <s v=".pdf"/>
    <n v="78"/>
    <n v="13"/>
    <s v="Dynamic HTML, The Definitive Reference"/>
  </r>
  <r>
    <s v="W:\Livres\Informatique\Web, HTML, CSS, Javascript, PHP, Ajax\Eloquent JavaScript, A Modern Introduction to Programming (2014) - [No Starch] - Marijn Haverbeke.pdf"/>
    <x v="6"/>
    <x v="15"/>
    <s v="Marijn Haverbeke"/>
    <s v=""/>
    <s v=".pdf"/>
    <n v="101"/>
    <n v="16"/>
    <s v="Eloquent JavaScript, A Modern Introduction to Programming"/>
  </r>
  <r>
    <s v="W:\Livres\Informatique\Web, HTML, CSS, Javascript, PHP, Ajax\Foundations of Ajax (2006) - [Apress] - Ryan Asleson, Nathaniel T. Schutta.pdf"/>
    <x v="17"/>
    <x v="42"/>
    <s v="Ryan Asleson, Nathaniel T. Schutta"/>
    <s v=""/>
    <s v=".pdf"/>
    <n v="78"/>
    <n v="34"/>
    <s v="Foundations of Ajax"/>
  </r>
  <r>
    <s v="W:\Livres\Informatique\Web, HTML, CSS, Javascript, PHP, Ajax\GIS for Web Developers (2007) - [The Pragmatic Programmers] - Scott Davis.pdf"/>
    <x v="9"/>
    <x v="44"/>
    <s v="Scott Davis"/>
    <s v=""/>
    <s v=".pdf"/>
    <n v="77"/>
    <n v="11"/>
    <s v="GIS for Web Developers"/>
  </r>
  <r>
    <s v="W:\Livres\Informatique\Web, HTML, CSS, Javascript, PHP, Ajax\Guide to HTML JavaScript and PHP, For Scientists and Engineers (2011) - [Springer] - Marc Rochkind.pdf"/>
    <x v="0"/>
    <x v="9"/>
    <s v="Marc Rochkind"/>
    <s v=""/>
    <s v=".pdf"/>
    <n v="102"/>
    <n v="13"/>
    <s v="Guide to HTML JavaScript and PHP, For Scientists and Engineers"/>
  </r>
  <r>
    <s v="W:\Livres\Informatique\Web, HTML, CSS, Javascript, PHP, Ajax\Head First HTML and CSS (2nd ed, 2012) - [O'Reilly] - Elisabeth Robson, Eric Freeman.pdf"/>
    <x v="8"/>
    <x v="4"/>
    <s v="Elisabeth Robson, Eric Freeman"/>
    <s v=""/>
    <s v=".pdf"/>
    <n v="88"/>
    <n v="30"/>
    <s v="Head First HTML and CSS"/>
  </r>
  <r>
    <s v="W:\Livres\Informatique\Web, HTML, CSS, Javascript, PHP, Ajax\Head First HTML with CSS &amp; XHTML (2006) - [O'Reilly] - Elisabeth Robson, Eric Freeman.pdf"/>
    <x v="17"/>
    <x v="4"/>
    <s v="Elisabeth Robson, Eric Freeman"/>
    <s v=""/>
    <s v=".pdf"/>
    <n v="89"/>
    <n v="30"/>
    <s v="Head First HTML with CSS &amp; XHTML"/>
  </r>
  <r>
    <s v="W:\Livres\Informatique\Web, HTML, CSS, Javascript, PHP, Ajax\Head First JavaScript (2008) - [O'Reilly] - Michael Morrison.pdf"/>
    <x v="13"/>
    <x v="4"/>
    <s v="Michael Morrison"/>
    <s v=""/>
    <s v=".pdf"/>
    <n v="64"/>
    <n v="16"/>
    <s v="Head First JavaScript"/>
  </r>
  <r>
    <s v="W:\Livres\Informatique\Web, HTML, CSS, Javascript, PHP, Ajax\Head First Web Design (2009) - [O'Reilly] - Ethan Watrall, Jeff Siarto.pdf"/>
    <x v="4"/>
    <x v="4"/>
    <s v="Ethan Watrall, Jeff Siarto"/>
    <s v=""/>
    <s v=".pdf"/>
    <n v="74"/>
    <n v="26"/>
    <s v="Head First Web Design"/>
  </r>
  <r>
    <s v="W:\Livres\Informatique\Web, HTML, CSS, Javascript, PHP, Ajax\Hello JavaScript Programming Fundamentals (2016) - [Leanpub] - Rick Hernandez.epub"/>
    <x v="2"/>
    <x v="160"/>
    <s v="Rick Hernandez"/>
    <s v=""/>
    <s v=".epub"/>
    <n v="82"/>
    <n v="14"/>
    <s v="Hello JavaScript Programming Fundamentals"/>
  </r>
  <r>
    <s v="W:\Livres\Informatique\Web, HTML, CSS, Javascript, PHP, Ajax\Hello JavaScript Programming Fundamentals (2016) - [Leanpub] - Rick Hernandez.pdf"/>
    <x v="2"/>
    <x v="160"/>
    <s v="Rick Hernandez"/>
    <s v=""/>
    <s v=".pdf"/>
    <n v="81"/>
    <n v="14"/>
    <s v="Hello JavaScript Programming Fundamentals"/>
  </r>
  <r>
    <s v="W:\Livres\Informatique\Web, HTML, CSS, Javascript, PHP, Ajax\HTML &amp; CSS, The Good Parts (2010) - [O'Reilly] - Ben Henick.pdf"/>
    <x v="14"/>
    <x v="4"/>
    <s v="Ben Henick"/>
    <s v=""/>
    <s v=".pdf"/>
    <n v="63"/>
    <n v="10"/>
    <s v="HTML &amp; CSS, The Good Parts"/>
  </r>
  <r>
    <s v="W:\Livres\Informatique\Web, HTML, CSS, Javascript, PHP, Ajax\HTML &amp; XHTML Pocket Reference (4th ed, 2010) - [O'Reilly] - Jennifer Niederst Robbins.pdf"/>
    <x v="14"/>
    <x v="4"/>
    <s v="Jennifer Niederst Robbins"/>
    <s v=""/>
    <s v=".pdf"/>
    <n v="89"/>
    <n v="25"/>
    <s v="HTML &amp; XHTML Pocket Reference"/>
  </r>
  <r>
    <s v="W:\Livres\Informatique\Web, HTML, CSS, Javascript, PHP, Ajax\HTML Pocket Reference (2nd ed, 2002) - [O'Reilly] - Jennifer Niederst.pdf"/>
    <x v="16"/>
    <x v="4"/>
    <s v="Jennifer Niederst"/>
    <s v=""/>
    <s v=".pdf"/>
    <n v="73"/>
    <n v="17"/>
    <s v="HTML Pocket Reference"/>
  </r>
  <r>
    <s v="W:\Livres\Informatique\Web, HTML, CSS, Javascript, PHP, Ajax\HTML, A Beginner's Guide (4th ed, 2009) - [McGraw-Hill] - Wendy Willard.pdf"/>
    <x v="4"/>
    <x v="41"/>
    <s v="Wendy Willard"/>
    <s v=""/>
    <s v=".pdf"/>
    <n v="75"/>
    <n v="13"/>
    <s v="HTML, A Beginner's Guide"/>
  </r>
  <r>
    <s v="W:\Livres\Informatique\Web, HTML, CSS, Javascript, PHP, Ajax\HTML, XHTML, and CSS Bible (5th ed, 2010) - [Wiley] - Steven M. Schafer.pdf"/>
    <x v="14"/>
    <x v="22"/>
    <s v="Steven M. Schafer"/>
    <s v=""/>
    <s v=".pdf"/>
    <n v="75"/>
    <n v="17"/>
    <s v="HTML, XHTML, and CSS Bible"/>
  </r>
  <r>
    <s v="W:\Livres\Informatique\Web, HTML, CSS, Javascript, PHP, Ajax\HTML5 Animation with Javascript (2011) - [Apress] - Billy Lamberta.pdf"/>
    <x v="0"/>
    <x v="42"/>
    <s v="Billy Lamberta"/>
    <s v=""/>
    <s v=".pdf"/>
    <n v="70"/>
    <n v="14"/>
    <s v="HTML5 Animation with Javascript"/>
  </r>
  <r>
    <s v="W:\Livres\Informatique\Web, HTML, CSS, Javascript, PHP, Ajax\HTML5 et CSS3, Cours et exercices corrigés (2012) - [Eyrolles] - Jean Engels.pdf"/>
    <x v="8"/>
    <x v="6"/>
    <s v="Jean Engels"/>
    <s v=""/>
    <s v=".pdf"/>
    <n v="80"/>
    <n v="11"/>
    <s v="HTML5 et CSS3, Cours et exercices corrigés"/>
  </r>
  <r>
    <s v="W:\Livres\Informatique\Web, HTML, CSS, Javascript, PHP, Ajax\HTML5 et CSS3, Cours et exercices corrigés (2012), Exemples HTML5.zip"/>
    <x v="8"/>
    <x v="8"/>
    <s v="?"/>
    <s v=""/>
    <s v=".zip"/>
    <n v="69"/>
    <n v="1"/>
    <s v="HTML5 et CSS3, Cours et exercices corrigés"/>
  </r>
  <r>
    <s v="W:\Livres\Informatique\Web, HTML, CSS, Javascript, PHP, Ajax\HTML5, De la page Web à l'application Web (2è ed, 2012) - [Dunod] - Jean-Pierre Vincent, Jonathan Verrecchia.pdf"/>
    <x v="8"/>
    <x v="2"/>
    <s v="Jean-Pierre Vincent, Jonathan Verrecchia"/>
    <s v=""/>
    <s v=".pdf"/>
    <n v="112"/>
    <n v="40"/>
    <s v="HTML5, De la page Web à l'application Web"/>
  </r>
  <r>
    <s v="W:\Livres\Informatique\Web, HTML, CSS, Javascript, PHP, Ajax\HTML5, Une référence pour le développeur Web (2011) - [Eyrolles] - Rodolphe Rimelé.pdf"/>
    <x v="0"/>
    <x v="6"/>
    <s v="Rodolphe Rimelé"/>
    <s v=""/>
    <s v=".pdf"/>
    <n v="86"/>
    <n v="15"/>
    <s v="HTML5, Une référence pour le développeur Web"/>
  </r>
  <r>
    <s v="W:\Livres\Informatique\Web, HTML, CSS, Javascript, PHP, Ajax\Introduction to Tornado (2012) - [O'Reilly] - Michael Dory, Adam Parrish, and Brendan Berg.pdf"/>
    <x v="8"/>
    <x v="4"/>
    <s v="Michael Dory, Adam Parrish, and Brendan Berg"/>
    <s v=""/>
    <s v=".pdf"/>
    <n v="94"/>
    <n v="44"/>
    <s v="Introduction to Tornado"/>
  </r>
  <r>
    <s v="W:\Livres\Informatique\Web, HTML, CSS, Javascript, PHP, Ajax\JavaScript and jQuery, The Missing Manual (2nd ed, 2012) - [O'Reilly] - David Sawyer McFarland.pdf"/>
    <x v="8"/>
    <x v="4"/>
    <s v="David Sawyer McFarland"/>
    <s v=""/>
    <s v=".pdf"/>
    <n v="98"/>
    <n v="22"/>
    <s v="JavaScript and jQuery, The Missing Manual"/>
  </r>
  <r>
    <s v="W:\Livres\Informatique\Web, HTML, CSS, Javascript, PHP, Ajax\JavaScript Application Cookbook (1999) {Dump} - [O'Reilly] - Jerry Bradenbaugh.pdf"/>
    <x v="11"/>
    <x v="4"/>
    <s v="Jerry Bradenbaugh"/>
    <s v="Dump"/>
    <s v=".pdf"/>
    <n v="82"/>
    <n v="17"/>
    <s v="JavaScript Application Cookbook"/>
  </r>
  <r>
    <s v="W:\Livres\Informatique\Web, HTML, CSS, Javascript, PHP, Ajax\Javascript by Example (2nd ed, 2011) - [Prentice Hall] - Ellie Quigley.pdf"/>
    <x v="0"/>
    <x v="20"/>
    <s v="Ellie Quigley"/>
    <s v=""/>
    <s v=".pdf"/>
    <n v="74"/>
    <n v="13"/>
    <s v="Javascript by Example"/>
  </r>
  <r>
    <s v="W:\Livres\Informatique\Web, HTML, CSS, Javascript, PHP, Ajax\JavaScript Enlightenment (2013) - [O'Reilly] - Cody Lindley.pdf"/>
    <x v="5"/>
    <x v="4"/>
    <s v="Cody Lindley"/>
    <s v=""/>
    <s v=".pdf"/>
    <n v="63"/>
    <n v="12"/>
    <s v="JavaScript Enlightenment"/>
  </r>
  <r>
    <s v="W:\Livres\Informatique\Web, HTML, CSS, Javascript, PHP, Ajax\JavaScript Pocket Reference (3rd ed, 2012) - [O'Reilly] - David Flanagan.pdf"/>
    <x v="8"/>
    <x v="4"/>
    <s v="David Flanagan"/>
    <s v=""/>
    <s v=".pdf"/>
    <n v="76"/>
    <n v="14"/>
    <s v="JavaScript Pocket Reference"/>
  </r>
  <r>
    <s v="W:\Livres\Informatique\Web, HTML, CSS, Javascript, PHP, Ajax\JavaScript pour le Web 2.0 (2007) - [Eyrolles] - Thierry Templier, ArnaudGougeon.pdf"/>
    <x v="9"/>
    <x v="6"/>
    <s v="Thierry Templier, ArnaudGougeon"/>
    <s v=""/>
    <s v=".pdf"/>
    <n v="84"/>
    <n v="31"/>
    <s v="JavaScript pour le Web 2.0"/>
  </r>
  <r>
    <s v="W:\Livres\Informatique\Web, HTML, CSS, Javascript, PHP, Ajax\JavaScript Step by Step (2nd ed, 2010) - [O'Reilly] - Steve Suehring.pdf"/>
    <x v="14"/>
    <x v="4"/>
    <s v="Steve Suehring"/>
    <s v=""/>
    <s v=".pdf"/>
    <n v="72"/>
    <n v="14"/>
    <s v="JavaScript Step by Step"/>
  </r>
  <r>
    <s v="W:\Livres\Informatique\Web, HTML, CSS, Javascript, PHP, Ajax\JavaScript, The Ultimate Crash Course (2016) - JM Shepal.epub"/>
    <x v="2"/>
    <x v="8"/>
    <s v="JM Shepal"/>
    <s v=""/>
    <s v=".epub"/>
    <n v="61"/>
    <n v="9"/>
    <s v="JavaScript, The Ultimate Crash Course"/>
  </r>
  <r>
    <s v="W:\Livres\Informatique\Web, HTML, CSS, Javascript, PHP, Ajax\JavaScript, The Ultimate Crash Course (2016) - JM Shepal.pdf"/>
    <x v="2"/>
    <x v="8"/>
    <s v="JM Shepal"/>
    <s v=""/>
    <s v=".pdf"/>
    <n v="60"/>
    <n v="9"/>
    <s v="JavaScript, The Ultimate Crash Course"/>
  </r>
  <r>
    <s v="W:\Livres\Informatique\Web, HTML, CSS, Javascript, PHP, Ajax\Learn CSS in a Day - [Acodemy].pdf"/>
    <x v="10"/>
    <x v="105"/>
    <s v="?"/>
    <s v=""/>
    <s v=".pdf"/>
    <n v="34"/>
    <n v="1"/>
    <s v="Learn CSS in a Day"/>
  </r>
  <r>
    <s v="W:\Livres\Informatique\Web, HTML, CSS, Javascript, PHP, Ajax\Learn HTML in a Day (2015) - [Acodemy].pdf"/>
    <x v="3"/>
    <x v="105"/>
    <s v="?"/>
    <s v=""/>
    <s v=".pdf"/>
    <n v="42"/>
    <n v="1"/>
    <s v="Learn HTML in a Day"/>
  </r>
  <r>
    <s v="W:\Livres\Informatique\Web, HTML, CSS, Javascript, PHP, Ajax\Learn Javascript in a Day (2015) - [Acodemy].pdf"/>
    <x v="3"/>
    <x v="105"/>
    <s v="?"/>
    <s v=""/>
    <s v=".pdf"/>
    <n v="48"/>
    <n v="1"/>
    <s v="Learn Javascript in a Day"/>
  </r>
  <r>
    <s v="W:\Livres\Informatique\Web, HTML, CSS, Javascript, PHP, Ajax\Learn JSON in a Day (2015) - [Acodemy].pdf"/>
    <x v="3"/>
    <x v="105"/>
    <s v="?"/>
    <s v=""/>
    <s v=".pdf"/>
    <n v="42"/>
    <n v="1"/>
    <s v="Learn JSON in a Day"/>
  </r>
  <r>
    <s v="W:\Livres\Informatique\Web, HTML, CSS, Javascript, PHP, Ajax\Learn PHP in a Day (2015) - [Acodemy].pdf"/>
    <x v="3"/>
    <x v="105"/>
    <s v="?"/>
    <s v=""/>
    <s v=".pdf"/>
    <n v="41"/>
    <n v="1"/>
    <s v="Learn PHP in a Day"/>
  </r>
  <r>
    <s v="W:\Livres\Informatique\Web, HTML, CSS, Javascript, PHP, Ajax\Learning Web Design, A Beginners Guide (4th ed, 2012) - [O'Reilly] - Jennifer Niederst Robbins.pdf"/>
    <x v="8"/>
    <x v="4"/>
    <s v="Jennifer Niederst Robbins"/>
    <s v=""/>
    <s v=".pdf"/>
    <n v="98"/>
    <n v="25"/>
    <s v="Learning Web Design, A Beginners Guide"/>
  </r>
  <r>
    <s v="W:\Livres\Informatique\Web, HTML, CSS, Javascript, PHP, Ajax\Learning WML &amp; WMLScript (2000) {Dump} - [O'Reilly] - Martin Frost.pdf"/>
    <x v="7"/>
    <x v="4"/>
    <s v="Martin Frost"/>
    <s v="Dump"/>
    <s v=".pdf"/>
    <n v="70"/>
    <n v="12"/>
    <s v="Learning WML &amp; WMLScript"/>
  </r>
  <r>
    <s v="W:\Livres\Informatique\Web, HTML, CSS, Javascript, PHP, Ajax\Les Cahiers du Programmeur, PHP 5 (2005) - [Eyrolles] - Stéphane Mariel.pdf"/>
    <x v="1"/>
    <x v="6"/>
    <s v="Stéphane Mariel"/>
    <s v=""/>
    <s v=".pdf"/>
    <n v="75"/>
    <n v="15"/>
    <s v="Les Cahiers du Programmeur, PHP 5"/>
  </r>
  <r>
    <s v="W:\Livres\Informatique\Web, HTML, CSS, Javascript, PHP, Ajax\Les Cahiers du Programmeur, XUL (2005) - [Eyrolles] - Jonathan Protzenko.pdf"/>
    <x v="1"/>
    <x v="6"/>
    <s v="Jonathan Protzenko"/>
    <s v=""/>
    <s v=".pdf"/>
    <n v="76"/>
    <n v="18"/>
    <s v="Les Cahiers du Programmeur, XUL"/>
  </r>
  <r>
    <s v="W:\Livres\Informatique\Web, HTML, CSS, Javascript, PHP, Ajax\Maîtrise des CSS (2è ed, 2010) - [Pearson] - Andy Budd.pdf"/>
    <x v="14"/>
    <x v="7"/>
    <s v="Andy Budd"/>
    <s v=""/>
    <s v=".pdf"/>
    <n v="58"/>
    <n v="9"/>
    <s v="Maîtrise des CSS"/>
  </r>
  <r>
    <s v="W:\Livres\Informatique\Web, HTML, CSS, Javascript, PHP, Ajax\Manuel de PHP (2016) - [Dunod] - Jean-Michel Léry.pdf"/>
    <x v="2"/>
    <x v="2"/>
    <s v="Jean-Michel Léry"/>
    <s v=""/>
    <s v=".pdf"/>
    <n v="53"/>
    <n v="16"/>
    <s v="Manuel de PHP"/>
  </r>
  <r>
    <s v="W:\Livres\Informatique\Web, HTML, CSS, Javascript, PHP, Ajax\Microsoft IIS 7 Implementation and Administration (2007) - [Wiley] - John Paul Mueller.pdf"/>
    <x v="9"/>
    <x v="22"/>
    <s v="John Paul Mueller"/>
    <s v=""/>
    <s v=".pdf"/>
    <n v="90"/>
    <n v="17"/>
    <s v="Microsoft IIS 7 Implementation and Administration"/>
  </r>
  <r>
    <s v="W:\Livres\Informatique\Web, HTML, CSS, Javascript, PHP, Ajax\Mobile JavaScript Application Development (2012) - [O'Reilly] - Adrian Kosmaczewski.pdf"/>
    <x v="8"/>
    <x v="4"/>
    <s v="Adrian Kosmaczewski"/>
    <s v=""/>
    <s v=".pdf"/>
    <n v="87"/>
    <n v="19"/>
    <s v="Mobile JavaScript Application Development"/>
  </r>
  <r>
    <s v="W:\Livres\Informatique\Web, HTML, CSS, Javascript, PHP, Ajax\Modern JavaScript Develop and Design (2012) - [Peachpit] - Larry Ullman.pdf"/>
    <x v="8"/>
    <x v="73"/>
    <s v="Larry Ullman"/>
    <s v=""/>
    <s v=".pdf"/>
    <n v="75"/>
    <n v="12"/>
    <s v="Modern JavaScript Develop and Design"/>
  </r>
  <r>
    <s v="W:\Livres\Informatique\Web, HTML, CSS, Javascript, PHP, Ajax\Murach's JavaScript and jQuery (2012) - Zak Ruvalcaba, Mike Rurach.pdf"/>
    <x v="8"/>
    <x v="8"/>
    <s v="Zak Ruvalcaba, Mike Rurach"/>
    <s v=""/>
    <s v=".pdf"/>
    <n v="70"/>
    <n v="26"/>
    <s v="Murach's JavaScript and jQuery"/>
  </r>
  <r>
    <s v="W:\Livres\Informatique\Web, HTML, CSS, Javascript, PHP, Ajax\Node.js for PHP Developers (2013) - [O'Reilly] - Daniel Howard.pdf"/>
    <x v="5"/>
    <x v="4"/>
    <s v="Daniel Howard"/>
    <s v=""/>
    <s v=".pdf"/>
    <n v="66"/>
    <n v="13"/>
    <s v="Node.js for PHP Developers"/>
  </r>
  <r>
    <s v="W:\Livres\Informatique\Web, HTML, CSS, Javascript, PHP, Ajax\PHP 5 avancé (4è ed, 2007) - [Eyrolles] - Éric Daspet, Cyril Pierre de Geyer.pdf"/>
    <x v="9"/>
    <x v="6"/>
    <s v="Éric Daspet, Cyril Pierre de Geyer"/>
    <s v=""/>
    <s v=".pdf"/>
    <n v="80"/>
    <n v="34"/>
    <s v="PHP 5 avancé"/>
  </r>
  <r>
    <s v="W:\Livres\Informatique\Web, HTML, CSS, Javascript, PHP, Ajax\PHP 5, Cours et Exercices (2è ed, 2009) - [Eyrolles] - Jean Engels.pdf"/>
    <x v="4"/>
    <x v="6"/>
    <s v="Jean Engels"/>
    <s v=""/>
    <s v=".pdf"/>
    <n v="70"/>
    <n v="11"/>
    <s v="PHP 5, Cours et Exercices"/>
  </r>
  <r>
    <s v="W:\Livres\Informatique\Web, HTML, CSS, Javascript, PHP, Ajax\Plug-In PHP, 100 Power Solutions (2010) - [McGraw-Hill] - Robin Nixon.pdf"/>
    <x v="14"/>
    <x v="41"/>
    <s v="Robin Nixon"/>
    <s v=""/>
    <s v=".pdf"/>
    <n v="73"/>
    <n v="11"/>
    <s v="Plug-In PHP, 100 Power Solutions"/>
  </r>
  <r>
    <s v="W:\Livres\Informatique\Web, HTML, CSS, Javascript, PHP, Ajax\Premières applications Web2.0 avec Ajax et PHP (2008) - [Eyrolles] - Jean-Marie Defrance.pdf"/>
    <x v="13"/>
    <x v="6"/>
    <s v="Jean-Marie Defrance"/>
    <s v=""/>
    <s v=".pdf"/>
    <n v="92"/>
    <n v="19"/>
    <s v="Premières applications Web2.0 avec Ajax et PHP"/>
  </r>
  <r>
    <s v="W:\Livres\Informatique\Web, HTML, CSS, Javascript, PHP, Ajax\Premiers pas en CSS et XHTML (2è ed, 2008) - [Eyrolles] - Francis Draillard.pdf"/>
    <x v="13"/>
    <x v="6"/>
    <s v="Francis Draillard"/>
    <s v=""/>
    <s v=".pdf"/>
    <n v="79"/>
    <n v="17"/>
    <s v="Premiers pas en CSS et XHTML"/>
  </r>
  <r>
    <s v="W:\Livres\Informatique\Web, HTML, CSS, Javascript, PHP, Ajax\Premiers pas en CSS3 et HTML5 (6è ed, 2015) - [Eyrolles] - Francis Draillard.pdf"/>
    <x v="3"/>
    <x v="6"/>
    <s v="Francis Draillard"/>
    <s v=""/>
    <s v=".pdf"/>
    <n v="80"/>
    <n v="17"/>
    <s v="Premiers pas en CSS3 et HTML5"/>
  </r>
  <r>
    <s v="W:\Livres\Informatique\Web, HTML, CSS, Javascript, PHP, Ajax\Pro ASP.NET 4 in C# 2010 (4th ed, 2010) - [Apress] - Matthew MacDonald, Adam Freeman, Mario Szpuszta.pdf"/>
    <x v="14"/>
    <x v="42"/>
    <s v="Matthew MacDonald, Adam Freeman, Mario Szpuszta"/>
    <s v=""/>
    <s v=".pdf"/>
    <n v="104"/>
    <n v="47"/>
    <s v="Pro ASP.NET 4 in C# 2010"/>
  </r>
  <r>
    <s v="W:\Livres\Informatique\Web, HTML, CSS, Javascript, PHP, Ajax\Pro ASP.NET MVC 2 Framework (2nd ed, 2010) - [Apress] - Steven Sanderson.pdf"/>
    <x v="14"/>
    <x v="42"/>
    <s v="Steven Sanderson"/>
    <s v=""/>
    <s v=".pdf"/>
    <n v="76"/>
    <n v="16"/>
    <s v="Pro ASP.NET MVC 2 Framework"/>
  </r>
  <r>
    <s v="W:\Livres\Informatique\Web, HTML, CSS, Javascript, PHP, Ajax\Pro HTML5 Programming (2nd ed, 2011) - [Apress] - Lubers, Albers, Salim.pdf"/>
    <x v="0"/>
    <x v="42"/>
    <s v="Lubers, Albers, Salim"/>
    <s v=""/>
    <s v=".pdf"/>
    <n v="75"/>
    <n v="21"/>
    <s v="Pro HTML5 Programming"/>
  </r>
  <r>
    <s v="W:\Livres\Informatique\Web, HTML, CSS, Javascript, PHP, Ajax\Pro JavaScript for Web Apps (2012) - [Apress] - Adam Freeman.pdf"/>
    <x v="8"/>
    <x v="42"/>
    <s v="Adam Freeman"/>
    <s v=""/>
    <s v=".pdf"/>
    <n v="64"/>
    <n v="12"/>
    <s v="Pro JavaScript for Web Apps"/>
  </r>
  <r>
    <s v="W:\Livres\Informatique\Web, HTML, CSS, Javascript, PHP, Ajax\Pro JavaScript Performance Monitoring and Visualization (2012) - [Apress] - Tom Barker.pdf"/>
    <x v="8"/>
    <x v="42"/>
    <s v="Tom Barker"/>
    <s v=""/>
    <s v=".pdf"/>
    <n v="90"/>
    <n v="10"/>
    <s v="Pro JavaScript Performance Monitoring and Visualization"/>
  </r>
  <r>
    <s v="W:\Livres\Informatique\Web, HTML, CSS, Javascript, PHP, Ajax\Pro PHP MVC (2012) - [Apress] - Chris Pitt.pdf"/>
    <x v="8"/>
    <x v="42"/>
    <s v="Chris Pitt"/>
    <s v=""/>
    <s v=".pdf"/>
    <n v="46"/>
    <n v="10"/>
    <s v="Pro PHP MVC"/>
  </r>
  <r>
    <s v="W:\Livres\Informatique\Web, HTML, CSS, Javascript, PHP, Ajax\Pro PHP Programming (2011) - [Apress] - Peter MacIntyre, Brian Danchilla, Mladen Gogala.pdf"/>
    <x v="0"/>
    <x v="42"/>
    <s v="Peter MacIntyre, Brian Danchilla, Mladen Gogala"/>
    <s v=""/>
    <s v=".pdf"/>
    <n v="91"/>
    <n v="47"/>
    <s v="Pro PHP Programming"/>
  </r>
  <r>
    <s v="W:\Livres\Informatique\Web, HTML, CSS, Javascript, PHP, Ajax\Professional ASP.NET MVC 2 (2010) - [Wiley] - Galloway, Haack, Hanselman, Guthrie, Conery.pdf"/>
    <x v="14"/>
    <x v="22"/>
    <s v="Galloway, Haack, Hanselman, Guthrie, Conery"/>
    <s v=""/>
    <s v=".pdf"/>
    <n v="93"/>
    <n v="43"/>
    <s v="Professional ASP.NET MVC 2"/>
  </r>
  <r>
    <s v="W:\Livres\Informatique\Web, HTML, CSS, Javascript, PHP, Ajax\Professional IIS 7 (2008) - [Wiley] - Schaefer, Cochran, Forsyth, Baugh, Everest, Glendenning.pdf"/>
    <x v="13"/>
    <x v="22"/>
    <s v="Schaefer, Cochran, Forsyth, Baugh, Everest, Glendenning"/>
    <s v=""/>
    <s v=".pdf"/>
    <n v="97"/>
    <n v="55"/>
    <s v="Professional IIS 7"/>
  </r>
  <r>
    <s v="W:\Livres\Informatique\Web, HTML, CSS, Javascript, PHP, Ajax\Professional IIS 7 and ASP .NET Integrated Programming (2008) - [Wiley] - Shahram Khosravi.pdf"/>
    <x v="13"/>
    <x v="22"/>
    <s v="Shahram Khosravi"/>
    <s v=""/>
    <s v=".pdf"/>
    <n v="94"/>
    <n v="16"/>
    <s v="Professional IIS 7 and ASP .NET Integrated Programming"/>
  </r>
  <r>
    <s v="W:\Livres\Informatique\Web, HTML, CSS, Javascript, PHP, Ajax\Professional JavaScript for Web Developers (3rd ed, 2012) - [Wiley] - Nicholas C. Zakas.pdf"/>
    <x v="8"/>
    <x v="22"/>
    <s v="Nicholas C. Zakas"/>
    <s v=""/>
    <s v=".pdf"/>
    <n v="91"/>
    <n v="17"/>
    <s v="Professional JavaScript for Web Developers"/>
  </r>
  <r>
    <s v="W:\Livres\Informatique\Web, HTML, CSS, Javascript, PHP, Ajax\Programmation GWT 2 (2è ed, 2012) - [Eyrolles] - Sami Jaber.pdf"/>
    <x v="8"/>
    <x v="6"/>
    <s v="Sami Jaber"/>
    <s v=""/>
    <s v=".pdf"/>
    <n v="63"/>
    <n v="10"/>
    <s v="Programmation GWT 2"/>
  </r>
  <r>
    <s v="W:\Livres\Informatique\Web, HTML, CSS, Javascript, PHP, Ajax\Programming Razor (2011) - [O'Reilly] - Jess Chadwick.pdf"/>
    <x v="0"/>
    <x v="4"/>
    <s v="Jess Chadwick"/>
    <s v=""/>
    <s v=".pdf"/>
    <n v="57"/>
    <n v="13"/>
    <s v="Programming Razor"/>
  </r>
  <r>
    <s v="W:\Livres\Informatique\Web, HTML, CSS, Javascript, PHP, Ajax\Programming Web Applications with XML-RPC (2001) {Dump} - [O'Reilly] - Simon St. Laurent, Joe Johnston, Edd Dumbill.pdf"/>
    <x v="15"/>
    <x v="4"/>
    <s v="Simon St. Laurent, Joe Johnston, Edd Dumbill"/>
    <s v="Dump"/>
    <s v=".pdf"/>
    <n v="119"/>
    <n v="44"/>
    <s v="Programming Web Applications with XML-RPC"/>
  </r>
  <r>
    <s v="W:\Livres\Informatique\Web, HTML, CSS, Javascript, PHP, Ajax\Programming Web Services with SOAP (2001) {Dump} - [O'Reilly] - Doug Tidwell, James Snell, Pavel Kulchenko.pdf"/>
    <x v="15"/>
    <x v="4"/>
    <s v="Doug Tidwell, James Snell, Pavel Kulchenko"/>
    <s v="Dump"/>
    <s v=".pdf"/>
    <n v="110"/>
    <n v="42"/>
    <s v="Programming Web Services with SOAP"/>
  </r>
  <r>
    <s v="W:\Livres\Informatique\Web, HTML, CSS, Javascript, PHP, Ajax\RESTful Web Services (2007) - [O'Reilly] - Leonard Richardson, Sam Ruby.epub"/>
    <x v="9"/>
    <x v="4"/>
    <s v="Leonard Richardson, Sam Ruby"/>
    <s v=""/>
    <s v=".epub"/>
    <n v="76"/>
    <n v="28"/>
    <s v="RESTful Web Services"/>
  </r>
  <r>
    <s v="W:\Livres\Informatique\Web, HTML, CSS, Javascript, PHP, Ajax\RESTful Web Services (2007) - [O'Reilly] - Leonard Richardson, Sam Ruby.pdf"/>
    <x v="9"/>
    <x v="4"/>
    <s v="Leonard Richardson, Sam Ruby"/>
    <s v=""/>
    <s v=".pdf"/>
    <n v="75"/>
    <n v="28"/>
    <s v="RESTful Web Services"/>
  </r>
  <r>
    <s v="W:\Livres\Informatique\Web, HTML, CSS, Javascript, PHP, Ajax\Secrets of the JavaScript Ninja (2013) - [Manning] - John Resig, Bear Bibeault.pdf"/>
    <x v="5"/>
    <x v="0"/>
    <s v="John Resig, Bear Bibeault"/>
    <s v=""/>
    <s v=".pdf"/>
    <n v="82"/>
    <n v="25"/>
    <s v="Secrets of the JavaScript Ninja"/>
  </r>
  <r>
    <s v="W:\Livres\Informatique\Web, HTML, CSS, Javascript, PHP, Ajax\Sencha Touch Mobile JavaScript Framework (2012) - [Packt] - John E. Clark, Bryan P. Johnson.pdf"/>
    <x v="8"/>
    <x v="14"/>
    <s v="John E. Clark, Bryan P. Johnson"/>
    <s v=""/>
    <s v=".pdf"/>
    <n v="95"/>
    <n v="31"/>
    <s v="Sencha Touch Mobile JavaScript Framework"/>
  </r>
  <r>
    <s v="W:\Livres\Informatique\Web, HTML, CSS, Javascript, PHP, Ajax\Teach Yourself HTML, CSS and JavaScript All in One (2012) - [Sams] - Julie C. Meloni.pdf"/>
    <x v="8"/>
    <x v="52"/>
    <s v="Julie C. Meloni"/>
    <s v=""/>
    <s v=".pdf"/>
    <n v="88"/>
    <n v="15"/>
    <s v="Teach Yourself HTML, CSS and JavaScript All in One"/>
  </r>
  <r>
    <s v="W:\Livres\Informatique\Web, HTML, CSS, Javascript, PHP, Ajax\The Apache Definitive Guide (2nd ed, 1999) - [O'Reilly] - Ben Laurie, Peter Laurie.pdf"/>
    <x v="11"/>
    <x v="4"/>
    <s v="Ben Laurie, Peter Laurie"/>
    <s v=""/>
    <s v=".pdf"/>
    <n v="86"/>
    <n v="24"/>
    <s v="The Apache Definitive Guide"/>
  </r>
  <r>
    <s v="W:\Livres\Informatique\Web, HTML, CSS, Javascript, PHP, Ajax\The Essential Guide to HTML5 and CSS3 Web Design (2012) - [Apress] - Grannell, Sumner, Synodinos.pdf"/>
    <x v="8"/>
    <x v="42"/>
    <s v="Grannell, Sumner, Synodinos"/>
    <s v=""/>
    <s v=".pdf"/>
    <n v="100"/>
    <n v="27"/>
    <s v="The Essential Guide to HTML5 and CSS3 Web Design"/>
  </r>
  <r>
    <s v="W:\Livres\Informatique\Web, HTML, CSS, Javascript, PHP, Ajax\Tomcat, The Definitive Guide (2nd ed, 2007) - [O'Reilly] - Jason Brittain, Ian F. Darwin.pdf"/>
    <x v="9"/>
    <x v="4"/>
    <s v="Jason Brittain, Ian F. Darwin"/>
    <s v=""/>
    <s v=".pdf"/>
    <n v="92"/>
    <n v="29"/>
    <s v="Tomcat, The Definitive Guide"/>
  </r>
  <r>
    <s v="W:\Livres\Informatique\Web, HTML, CSS, Javascript, PHP, Ajax\Tout sur HTML5 et CSS3 (2012) - [Dunod] - Jean-Marie Cocheteau, Laurent Khouri.pdf"/>
    <x v="8"/>
    <x v="2"/>
    <s v="Jean-Marie Cocheteau, Laurent Khouri"/>
    <s v=""/>
    <s v=".pdf"/>
    <n v="82"/>
    <n v="36"/>
    <s v="Tout sur HTML5 et CSS3"/>
  </r>
  <r>
    <s v="W:\Livres\Informatique\Web, HTML, CSS, Javascript, PHP, Ajax\Visual QuickStart Guide JavaScript (8th ed, 2012) - [Peachpit] - Tom Negrino, Dori Smith.pdf"/>
    <x v="8"/>
    <x v="73"/>
    <s v="Tom Negrino, Dori Smith"/>
    <s v=""/>
    <s v=".pdf"/>
    <n v="92"/>
    <n v="23"/>
    <s v="Visual QuickStart Guide JavaScript"/>
  </r>
  <r>
    <s v="W:\Livres\Informatique\Web, HTML, CSS, Javascript, PHP, Ajax\Web Design Confidential (2012) - [Rockable Press] - Amanda Hackwith.pdf"/>
    <x v="8"/>
    <x v="161"/>
    <s v="Amanda Hackwith"/>
    <s v=""/>
    <s v=".pdf"/>
    <n v="71"/>
    <n v="15"/>
    <s v="Web Design Confidential"/>
  </r>
  <r>
    <s v="W:\Livres\Informatique\Web, HTML, CSS, Javascript, PHP, Ajax\Web Design in a Nutshell (1999) - [O'Reilly] - Jennifer Niederst.pdf"/>
    <x v="11"/>
    <x v="4"/>
    <s v="Jennifer Niederst"/>
    <s v=""/>
    <s v=".pdf"/>
    <n v="68"/>
    <n v="17"/>
    <s v="Web Design in a Nutshell"/>
  </r>
  <r>
    <s v="W:\Livres\Informatique\Web, HTML, CSS, Javascript, PHP, Ajax\Web Services Essentials (2002) {Dump} - [O'Reilly] - Ethan Cerami.pdf"/>
    <x v="16"/>
    <x v="4"/>
    <s v="Ethan Cerami"/>
    <s v="Dump"/>
    <s v=".pdf"/>
    <n v="69"/>
    <n v="12"/>
    <s v="Web Services Essentials"/>
  </r>
  <r>
    <s v="W:\Livres\Informatique\Web, HTML, CSS, Javascript, PHP, Ajax\Web Standards (2nd ed, 2014) - [Apress] - Leslie F. Sikos.pdf"/>
    <x v="6"/>
    <x v="42"/>
    <s v="Leslie F. Sikos"/>
    <s v=""/>
    <s v=".pdf"/>
    <n v="61"/>
    <n v="15"/>
    <s v="Web Standards"/>
  </r>
  <r>
    <s v="W:\Livres\Informatique\Web, HTML, CSS, Javascript, PHP, Ajax\Writing Apache Modules with Perl and C (1999) {Dump} - [O'Reilly] - Lincoln Stein, Doug MacEachern.pdf"/>
    <x v="11"/>
    <x v="4"/>
    <s v="Lincoln Stein, Doug MacEachern"/>
    <s v="Dump"/>
    <s v=".pdf"/>
    <n v="102"/>
    <n v="30"/>
    <s v="Writing Apache Modules with Perl and C"/>
  </r>
  <r>
    <s v="W:\Livres\Informatique\Web, HTML, CSS, Javascript, PHP, Ajax\You don't know JS, ES6 and Beyond (2015) {Prerelease} - [O'Reilly] - Kyle Simpson.pdf"/>
    <x v="3"/>
    <x v="4"/>
    <s v="Kyle Simpson"/>
    <s v="Prerelease"/>
    <s v=".pdf"/>
    <n v="85"/>
    <n v="12"/>
    <s v="You don't know JS, ES6 and Beyond"/>
  </r>
  <r>
    <s v="W:\Livres\Informatique\Web, HTML, CSS, Javascript, PHP, Ajax\You don't know JS, Scope and Closures (2014) - [O'Reilly] - Kyle Simpson.pdf"/>
    <x v="6"/>
    <x v="4"/>
    <s v="Kyle Simpson"/>
    <s v=""/>
    <s v=".pdf"/>
    <n v="76"/>
    <n v="12"/>
    <s v="You don't know JS, Scope and Closures"/>
  </r>
  <r>
    <s v="W:\Livres\Informatique\Web, HTML, CSS, Javascript, PHP, Ajax\You don't know JS, This &amp; Object Prototypes (2014) - [O'Reilly] - Kyle Simpson.pdf"/>
    <x v="6"/>
    <x v="4"/>
    <s v="Kyle Simpson"/>
    <s v=""/>
    <s v=".pdf"/>
    <n v="82"/>
    <n v="12"/>
    <s v="You don't know JS, This &amp; Object Prototypes"/>
  </r>
  <r>
    <s v="W:\Livres\Informatique\Web, HTML, CSS, Javascript, PHP, Ajax\You don't know JS, Types and Grammar (2015) - [O'Reilly] - Kyle Simpson.pdf"/>
    <x v="3"/>
    <x v="4"/>
    <s v="Kyle Simpson"/>
    <s v=""/>
    <s v=".pdf"/>
    <n v="75"/>
    <n v="12"/>
    <s v="You don't know JS, Types and Grammar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1:B164" firstHeaderRow="1" firstDataRow="1" firstDataCol="1"/>
  <pivotFields count="9">
    <pivotField showAll="0"/>
    <pivotField showAll="0"/>
    <pivotField axis="axisRow" dataField="1" showAll="0" sortType="descending">
      <items count="328">
        <item m="1" x="256"/>
        <item x="8"/>
        <item x="105"/>
        <item m="1" x="204"/>
        <item x="19"/>
        <item x="11"/>
        <item m="1" x="247"/>
        <item m="1" x="253"/>
        <item m="1" x="201"/>
        <item m="1" x="251"/>
        <item x="42"/>
        <item m="1" x="267"/>
        <item m="1" x="237"/>
        <item x="35"/>
        <item m="1" x="306"/>
        <item m="1" x="235"/>
        <item x="107"/>
        <item m="1" x="163"/>
        <item m="1" x="307"/>
        <item m="1" x="191"/>
        <item m="1" x="239"/>
        <item m="1" x="168"/>
        <item m="1" x="222"/>
        <item m="1" x="248"/>
        <item m="1" x="325"/>
        <item m="1" x="293"/>
        <item m="1" x="324"/>
        <item x="17"/>
        <item m="1" x="216"/>
        <item x="80"/>
        <item x="147"/>
        <item m="1" x="257"/>
        <item m="1" x="219"/>
        <item m="1" x="234"/>
        <item m="1" x="305"/>
        <item m="1" x="213"/>
        <item x="26"/>
        <item x="124"/>
        <item x="21"/>
        <item m="1" x="229"/>
        <item m="1" x="291"/>
        <item x="63"/>
        <item m="1" x="206"/>
        <item m="1" x="261"/>
        <item m="1" x="209"/>
        <item m="1" x="190"/>
        <item x="85"/>
        <item m="1" x="208"/>
        <item x="74"/>
        <item x="120"/>
        <item x="122"/>
        <item m="1" x="320"/>
        <item x="2"/>
        <item m="1" x="279"/>
        <item m="1" x="289"/>
        <item m="1" x="321"/>
        <item m="1" x="249"/>
        <item m="1" x="268"/>
        <item m="1" x="202"/>
        <item m="1" x="171"/>
        <item m="1" x="245"/>
        <item x="1"/>
        <item x="16"/>
        <item x="18"/>
        <item m="1" x="242"/>
        <item m="1" x="281"/>
        <item m="1" x="323"/>
        <item m="1" x="315"/>
        <item m="1" x="297"/>
        <item m="1" x="282"/>
        <item x="6"/>
        <item m="1" x="227"/>
        <item m="1" x="221"/>
        <item m="1" x="226"/>
        <item x="78"/>
        <item m="1" x="299"/>
        <item x="68"/>
        <item m="1" x="317"/>
        <item m="1" x="312"/>
        <item x="12"/>
        <item m="1" x="269"/>
        <item x="58"/>
        <item m="1" x="179"/>
        <item m="1" x="314"/>
        <item m="1" x="169"/>
        <item m="1" x="309"/>
        <item m="1" x="294"/>
        <item m="1" x="285"/>
        <item m="1" x="255"/>
        <item m="1" x="207"/>
        <item m="1" x="215"/>
        <item m="1" x="286"/>
        <item m="1" x="287"/>
        <item m="1" x="224"/>
        <item m="1" x="182"/>
        <item x="121"/>
        <item x="28"/>
        <item m="1" x="275"/>
        <item m="1" x="187"/>
        <item m="1" x="316"/>
        <item m="1" x="177"/>
        <item m="1" x="260"/>
        <item m="1" x="192"/>
        <item m="1" x="318"/>
        <item m="1" x="296"/>
        <item m="1" x="274"/>
        <item m="1" x="277"/>
        <item m="1" x="188"/>
        <item m="1" x="180"/>
        <item x="49"/>
        <item m="1" x="185"/>
        <item m="1" x="246"/>
        <item m="1" x="326"/>
        <item m="1" x="232"/>
        <item m="1" x="174"/>
        <item m="1" x="243"/>
        <item m="1" x="218"/>
        <item m="1" x="195"/>
        <item m="1" x="189"/>
        <item m="1" x="186"/>
        <item m="1" x="290"/>
        <item m="1" x="310"/>
        <item m="1" x="212"/>
        <item m="1" x="259"/>
        <item m="1" x="176"/>
        <item x="0"/>
        <item m="1" x="250"/>
        <item m="1" x="181"/>
        <item x="41"/>
        <item m="1" x="304"/>
        <item m="1" x="167"/>
        <item x="48"/>
        <item x="13"/>
        <item x="32"/>
        <item m="1" x="301"/>
        <item x="81"/>
        <item m="1" x="262"/>
        <item m="1" x="270"/>
        <item m="1" x="211"/>
        <item x="62"/>
        <item x="15"/>
        <item x="87"/>
        <item m="1" x="230"/>
        <item x="4"/>
        <item m="1" x="298"/>
        <item x="14"/>
        <item m="1" x="308"/>
        <item m="1" x="240"/>
        <item x="118"/>
        <item x="7"/>
        <item x="151"/>
        <item x="88"/>
        <item m="1" x="303"/>
        <item m="1" x="210"/>
        <item x="20"/>
        <item m="1" x="295"/>
        <item m="1" x="311"/>
        <item m="1" x="175"/>
        <item m="1" x="292"/>
        <item x="84"/>
        <item m="1" x="252"/>
        <item x="125"/>
        <item m="1" x="205"/>
        <item m="1" x="198"/>
        <item m="1" x="313"/>
        <item m="1" x="203"/>
        <item m="1" x="194"/>
        <item m="1" x="265"/>
        <item x="3"/>
        <item m="1" x="322"/>
        <item m="1" x="173"/>
        <item m="1" x="276"/>
        <item x="52"/>
        <item m="1" x="233"/>
        <item m="1" x="263"/>
        <item m="1" x="196"/>
        <item m="1" x="319"/>
        <item x="9"/>
        <item m="1" x="254"/>
        <item m="1" x="238"/>
        <item m="1" x="278"/>
        <item m="1" x="184"/>
        <item m="1" x="178"/>
        <item m="1" x="165"/>
        <item m="1" x="162"/>
        <item m="1" x="200"/>
        <item m="1" x="302"/>
        <item x="31"/>
        <item m="1" x="225"/>
        <item x="104"/>
        <item m="1" x="284"/>
        <item m="1" x="264"/>
        <item m="1" x="220"/>
        <item x="33"/>
        <item m="1" x="266"/>
        <item x="86"/>
        <item x="22"/>
        <item m="1" x="236"/>
        <item m="1" x="172"/>
        <item x="25"/>
        <item x="97"/>
        <item m="1" x="193"/>
        <item x="40"/>
        <item x="43"/>
        <item x="44"/>
        <item x="90"/>
        <item x="93"/>
        <item x="53"/>
        <item x="51"/>
        <item x="79"/>
        <item x="102"/>
        <item x="103"/>
        <item x="59"/>
        <item x="117"/>
        <item x="5"/>
        <item x="83"/>
        <item x="71"/>
        <item x="10"/>
        <item x="112"/>
        <item x="113"/>
        <item x="34"/>
        <item x="69"/>
        <item x="127"/>
        <item x="65"/>
        <item x="70"/>
        <item x="114"/>
        <item x="72"/>
        <item x="73"/>
        <item x="128"/>
        <item x="129"/>
        <item x="91"/>
        <item x="130"/>
        <item x="101"/>
        <item x="131"/>
        <item x="132"/>
        <item m="1" x="166"/>
        <item m="1" x="164"/>
        <item m="1" x="183"/>
        <item m="1" x="231"/>
        <item m="1" x="244"/>
        <item m="1" x="199"/>
        <item m="1" x="170"/>
        <item m="1" x="288"/>
        <item m="1" x="217"/>
        <item m="1" x="283"/>
        <item m="1" x="214"/>
        <item m="1" x="280"/>
        <item m="1" x="271"/>
        <item m="1" x="197"/>
        <item m="1" x="228"/>
        <item m="1" x="241"/>
        <item x="55"/>
        <item m="1" x="272"/>
        <item m="1" x="223"/>
        <item m="1" x="273"/>
        <item m="1" x="258"/>
        <item m="1" x="300"/>
        <item x="61"/>
        <item x="133"/>
        <item x="134"/>
        <item x="138"/>
        <item x="143"/>
        <item x="148"/>
        <item x="119"/>
        <item x="45"/>
        <item x="46"/>
        <item x="47"/>
        <item x="23"/>
        <item x="24"/>
        <item x="29"/>
        <item x="30"/>
        <item x="115"/>
        <item x="157"/>
        <item x="75"/>
        <item x="152"/>
        <item x="154"/>
        <item x="50"/>
        <item x="150"/>
        <item x="153"/>
        <item x="155"/>
        <item x="156"/>
        <item x="160"/>
        <item x="161"/>
        <item x="159"/>
        <item x="94"/>
        <item x="145"/>
        <item x="146"/>
        <item x="123"/>
        <item x="27"/>
        <item x="36"/>
        <item x="37"/>
        <item x="38"/>
        <item x="39"/>
        <item x="54"/>
        <item x="56"/>
        <item x="57"/>
        <item x="60"/>
        <item x="64"/>
        <item x="66"/>
        <item x="67"/>
        <item x="76"/>
        <item x="77"/>
        <item x="82"/>
        <item x="95"/>
        <item x="89"/>
        <item x="92"/>
        <item x="96"/>
        <item x="98"/>
        <item x="99"/>
        <item x="100"/>
        <item x="106"/>
        <item x="108"/>
        <item x="109"/>
        <item x="110"/>
        <item x="111"/>
        <item x="116"/>
        <item x="126"/>
        <item x="135"/>
        <item x="136"/>
        <item x="137"/>
        <item x="139"/>
        <item x="140"/>
        <item x="141"/>
        <item x="142"/>
        <item x="144"/>
        <item x="149"/>
        <item x="15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2"/>
  </rowFields>
  <rowItems count="163">
    <i>
      <x v="1"/>
    </i>
    <i>
      <x v="143"/>
    </i>
    <i>
      <x v="70"/>
    </i>
    <i>
      <x v="196"/>
    </i>
    <i>
      <x v="131"/>
    </i>
    <i>
      <x v="132"/>
    </i>
    <i>
      <x v="10"/>
    </i>
    <i>
      <x v="4"/>
    </i>
    <i>
      <x v="145"/>
    </i>
    <i>
      <x v="52"/>
    </i>
    <i>
      <x v="154"/>
    </i>
    <i>
      <x v="177"/>
    </i>
    <i>
      <x v="149"/>
    </i>
    <i>
      <x v="204"/>
    </i>
    <i>
      <x v="61"/>
    </i>
    <i>
      <x v="125"/>
    </i>
    <i>
      <x v="140"/>
    </i>
    <i>
      <x v="172"/>
    </i>
    <i>
      <x v="128"/>
    </i>
    <i>
      <x v="38"/>
    </i>
    <i>
      <x v="27"/>
    </i>
    <i>
      <x v="208"/>
    </i>
    <i>
      <x v="133"/>
    </i>
    <i>
      <x v="303"/>
    </i>
    <i>
      <x v="109"/>
    </i>
    <i>
      <x v="2"/>
    </i>
    <i>
      <x v="222"/>
    </i>
    <i>
      <x v="74"/>
    </i>
    <i>
      <x v="63"/>
    </i>
    <i>
      <x v="202"/>
    </i>
    <i>
      <x v="200"/>
    </i>
    <i>
      <x v="230"/>
    </i>
    <i>
      <x v="284"/>
    </i>
    <i>
      <x v="81"/>
    </i>
    <i>
      <x v="227"/>
    </i>
    <i>
      <x v="213"/>
    </i>
    <i>
      <x v="212"/>
    </i>
    <i>
      <x v="187"/>
    </i>
    <i>
      <x v="214"/>
    </i>
    <i>
      <x v="30"/>
    </i>
    <i>
      <x v="36"/>
    </i>
    <i>
      <x v="271"/>
    </i>
    <i>
      <x v="216"/>
    </i>
    <i>
      <x v="95"/>
    </i>
    <i>
      <x v="293"/>
    </i>
    <i>
      <x v="209"/>
    </i>
    <i>
      <x v="313"/>
    </i>
    <i>
      <x v="276"/>
    </i>
    <i>
      <x v="318"/>
    </i>
    <i>
      <x v="297"/>
    </i>
    <i>
      <x v="195"/>
    </i>
    <i>
      <x v="5"/>
    </i>
    <i>
      <x v="199"/>
    </i>
    <i>
      <x v="281"/>
    </i>
    <i>
      <x v="48"/>
    </i>
    <i>
      <x v="232"/>
    </i>
    <i>
      <x v="203"/>
    </i>
    <i>
      <x v="265"/>
    </i>
    <i>
      <x v="141"/>
    </i>
    <i>
      <x v="273"/>
    </i>
    <i>
      <x v="76"/>
    </i>
    <i>
      <x v="280"/>
    </i>
    <i>
      <x v="16"/>
    </i>
    <i>
      <x v="295"/>
    </i>
    <i>
      <x v="215"/>
    </i>
    <i>
      <x v="79"/>
    </i>
    <i>
      <x v="221"/>
    </i>
    <i>
      <x v="161"/>
    </i>
    <i>
      <x v="296"/>
    </i>
    <i>
      <x v="207"/>
    </i>
    <i>
      <x v="272"/>
    </i>
    <i>
      <x v="148"/>
    </i>
    <i>
      <x v="288"/>
    </i>
    <i>
      <x v="168"/>
    </i>
    <i>
      <x v="304"/>
    </i>
    <i>
      <x v="29"/>
    </i>
    <i>
      <x v="206"/>
    </i>
    <i>
      <x v="150"/>
    </i>
    <i>
      <x v="41"/>
    </i>
    <i>
      <x v="217"/>
    </i>
    <i>
      <x v="292"/>
    </i>
    <i>
      <x v="218"/>
    </i>
    <i>
      <x v="300"/>
    </i>
    <i>
      <x v="219"/>
    </i>
    <i>
      <x v="308"/>
    </i>
    <i>
      <x v="220"/>
    </i>
    <i>
      <x v="274"/>
    </i>
    <i>
      <x v="62"/>
    </i>
    <i>
      <x v="278"/>
    </i>
    <i>
      <x v="37"/>
    </i>
    <i>
      <x v="282"/>
    </i>
    <i>
      <x v="223"/>
    </i>
    <i>
      <x v="286"/>
    </i>
    <i>
      <x v="325"/>
    </i>
    <i>
      <x v="290"/>
    </i>
    <i>
      <x v="225"/>
    </i>
    <i>
      <x v="294"/>
    </i>
    <i>
      <x v="226"/>
    </i>
    <i>
      <x v="298"/>
    </i>
    <i>
      <x v="151"/>
    </i>
    <i>
      <x v="302"/>
    </i>
    <i>
      <x v="228"/>
    </i>
    <i>
      <x v="306"/>
    </i>
    <i>
      <x v="229"/>
    </i>
    <i>
      <x v="310"/>
    </i>
    <i>
      <x v="13"/>
    </i>
    <i>
      <x v="205"/>
    </i>
    <i>
      <x v="231"/>
    </i>
    <i>
      <x v="275"/>
    </i>
    <i>
      <x v="96"/>
    </i>
    <i>
      <x v="277"/>
    </i>
    <i>
      <x v="233"/>
    </i>
    <i>
      <x v="279"/>
    </i>
    <i>
      <x v="312"/>
    </i>
    <i>
      <x v="193"/>
    </i>
    <i>
      <x v="314"/>
    </i>
    <i>
      <x v="283"/>
    </i>
    <i>
      <x v="316"/>
    </i>
    <i>
      <x v="285"/>
    </i>
    <i>
      <x v="135"/>
    </i>
    <i>
      <x v="287"/>
    </i>
    <i>
      <x v="320"/>
    </i>
    <i>
      <x v="289"/>
    </i>
    <i>
      <x v="322"/>
    </i>
    <i>
      <x v="291"/>
    </i>
    <i>
      <x v="311"/>
    </i>
    <i>
      <x v="159"/>
    </i>
    <i>
      <x v="262"/>
    </i>
    <i>
      <x v="49"/>
    </i>
    <i>
      <x v="263"/>
    </i>
    <i>
      <x v="210"/>
    </i>
    <i>
      <x v="264"/>
    </i>
    <i>
      <x v="299"/>
    </i>
    <i>
      <x v="139"/>
    </i>
    <i>
      <x v="301"/>
    </i>
    <i>
      <x v="266"/>
    </i>
    <i>
      <x v="211"/>
    </i>
    <i>
      <x v="267"/>
    </i>
    <i>
      <x v="305"/>
    </i>
    <i>
      <x v="268"/>
    </i>
    <i>
      <x v="307"/>
    </i>
    <i>
      <x v="269"/>
    </i>
    <i>
      <x v="309"/>
    </i>
    <i>
      <x v="270"/>
    </i>
    <i>
      <x v="50"/>
    </i>
    <i>
      <x v="189"/>
    </i>
    <i>
      <x v="46"/>
    </i>
    <i>
      <x v="234"/>
    </i>
    <i>
      <x v="315"/>
    </i>
    <i>
      <x v="251"/>
    </i>
    <i>
      <x v="317"/>
    </i>
    <i>
      <x v="324"/>
    </i>
    <i>
      <x v="319"/>
    </i>
    <i>
      <x v="258"/>
    </i>
    <i>
      <x v="321"/>
    </i>
    <i>
      <x v="259"/>
    </i>
    <i>
      <x v="323"/>
    </i>
    <i>
      <x v="260"/>
    </i>
    <i>
      <x v="261"/>
    </i>
    <i>
      <x v="257"/>
    </i>
    <i>
      <x v="326"/>
    </i>
    <i>
      <x v="224"/>
    </i>
    <i t="grand">
      <x/>
    </i>
  </rowItems>
  <colItems count="1">
    <i/>
  </colItems>
  <dataFields count="1">
    <dataField name="Count of Editeur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D1:E46" firstHeaderRow="1" firstDataRow="1" firstDataCol="1"/>
  <pivotFields count="9">
    <pivotField showAll="0"/>
    <pivotField axis="axisRow" dataField="1" showAll="0" sortType="ascending">
      <items count="88">
        <item m="1" x="46"/>
        <item x="10"/>
        <item m="1" x="58"/>
        <item m="1" x="51"/>
        <item m="1" x="83"/>
        <item m="1" x="70"/>
        <item m="1" x="86"/>
        <item m="1" x="52"/>
        <item m="1" x="68"/>
        <item m="1" x="74"/>
        <item m="1" x="61"/>
        <item m="1" x="81"/>
        <item m="1" x="65"/>
        <item m="1" x="62"/>
        <item m="1" x="45"/>
        <item m="1" x="64"/>
        <item m="1" x="82"/>
        <item m="1" x="44"/>
        <item x="42"/>
        <item m="1" x="69"/>
        <item m="1" x="75"/>
        <item x="36"/>
        <item x="31"/>
        <item x="37"/>
        <item m="1" x="53"/>
        <item m="1" x="59"/>
        <item x="38"/>
        <item x="43"/>
        <item x="33"/>
        <item x="39"/>
        <item x="32"/>
        <item x="41"/>
        <item x="40"/>
        <item x="18"/>
        <item x="19"/>
        <item x="20"/>
        <item m="1" x="76"/>
        <item x="35"/>
        <item x="24"/>
        <item x="23"/>
        <item x="34"/>
        <item x="27"/>
        <item x="21"/>
        <item x="29"/>
        <item x="28"/>
        <item x="22"/>
        <item x="30"/>
        <item x="12"/>
        <item x="11"/>
        <item m="1" x="48"/>
        <item x="7"/>
        <item x="15"/>
        <item x="16"/>
        <item x="25"/>
        <item x="26"/>
        <item x="1"/>
        <item x="17"/>
        <item x="9"/>
        <item x="13"/>
        <item x="4"/>
        <item x="14"/>
        <item x="0"/>
        <item x="8"/>
        <item x="5"/>
        <item x="6"/>
        <item x="3"/>
        <item x="2"/>
        <item m="1" x="67"/>
        <item m="1" x="71"/>
        <item m="1" x="72"/>
        <item m="1" x="77"/>
        <item m="1" x="79"/>
        <item m="1" x="80"/>
        <item m="1" x="50"/>
        <item m="1" x="60"/>
        <item m="1" x="63"/>
        <item m="1" x="66"/>
        <item m="1" x="84"/>
        <item m="1" x="73"/>
        <item m="1" x="78"/>
        <item m="1" x="54"/>
        <item m="1" x="55"/>
        <item m="1" x="56"/>
        <item m="1" x="85"/>
        <item m="1" x="57"/>
        <item m="1" x="47"/>
        <item m="1" x="49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1"/>
  </rowFields>
  <rowItems count="45">
    <i>
      <x v="1"/>
    </i>
    <i>
      <x v="18"/>
    </i>
    <i>
      <x v="21"/>
    </i>
    <i>
      <x v="22"/>
    </i>
    <i>
      <x v="23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 t="grand">
      <x/>
    </i>
  </rowItems>
  <colItems count="1">
    <i/>
  </colItems>
  <dataFields count="1">
    <dataField name="Count of DatePub" fld="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Table1" displayName="Table1" ref="A1:I1857" totalsRowShown="0">
  <autoFilter ref="A1:I1857">
    <filterColumn colId="5">
      <filters>
        <filter val=".djvu"/>
        <filter val=".epub"/>
        <filter val=".pdf"/>
        <filter val=".txt"/>
      </filters>
    </filterColumn>
  </autoFilter>
  <sortState ref="A2:H1859">
    <sortCondition descending="1" ref="G1:G1859"/>
  </sortState>
  <tableColumns count="9">
    <tableColumn id="1" name="Path"/>
    <tableColumn id="2" name="DatePub">
      <calculatedColumnFormula>DatePub(A2)</calculatedColumnFormula>
    </tableColumn>
    <tableColumn id="3" name="Editeur">
      <calculatedColumnFormula>Editeur(A2)</calculatedColumnFormula>
    </tableColumn>
    <tableColumn id="4" name="Auteur">
      <calculatedColumnFormula>Auteur(A2)</calculatedColumnFormula>
    </tableColumn>
    <tableColumn id="5" name="ExtraInfo" dataDxfId="4">
      <calculatedColumnFormula>ExtraInfo(A2)</calculatedColumnFormula>
    </tableColumn>
    <tableColumn id="6" name="Extension" dataDxfId="3">
      <calculatedColumnFormula>Extension(A2)</calculatedColumnFormula>
    </tableColumn>
    <tableColumn id="7" name="LenFileName" dataDxfId="2">
      <calculatedColumnFormula>LenFileName(A2)</calculatedColumnFormula>
    </tableColumn>
    <tableColumn id="8" name="LenAuteur" dataDxfId="1">
      <calculatedColumnFormula>LEN(Table1[[#This Row],[Auteur]])</calculatedColumnFormula>
    </tableColumn>
    <tableColumn id="9" name="Basename" dataDxfId="0">
      <calculatedColumnFormula>Title(A2)</calculatedColumnFormula>
    </tableColumn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857"/>
  <sheetViews>
    <sheetView workbookViewId="0">
      <selection activeCell="A2" sqref="A2"/>
    </sheetView>
  </sheetViews>
  <sheetFormatPr defaultRowHeight="14.25" x14ac:dyDescent="0.45"/>
  <cols>
    <col min="1" max="1" width="139.265625" customWidth="1"/>
    <col min="2" max="2" width="11" customWidth="1"/>
    <col min="3" max="3" width="21.86328125" bestFit="1" customWidth="1"/>
    <col min="4" max="4" width="68.33203125" bestFit="1" customWidth="1"/>
    <col min="5" max="5" width="14.265625" bestFit="1" customWidth="1"/>
    <col min="9" max="9" width="121.73046875" bestFit="1" customWidth="1"/>
  </cols>
  <sheetData>
    <row r="1" spans="1:9" x14ac:dyDescent="0.45">
      <c r="A1" t="s">
        <v>0</v>
      </c>
      <c r="B1" t="s">
        <v>1</v>
      </c>
      <c r="C1" t="s">
        <v>2</v>
      </c>
      <c r="D1" t="s">
        <v>3</v>
      </c>
      <c r="E1" t="s">
        <v>173</v>
      </c>
      <c r="F1" t="s">
        <v>494</v>
      </c>
      <c r="G1" t="s">
        <v>1925</v>
      </c>
      <c r="H1" t="s">
        <v>1926</v>
      </c>
      <c r="I1" t="s">
        <v>2060</v>
      </c>
    </row>
    <row r="2" spans="1:9" x14ac:dyDescent="0.45">
      <c r="A2" t="s">
        <v>939</v>
      </c>
      <c r="B2" t="str">
        <f t="shared" ref="B2:B65" si="0">DatePub(A2)</f>
        <v>2011</v>
      </c>
      <c r="C2" t="str">
        <f t="shared" ref="C2:C65" si="1">Editeur(A2)</f>
        <v>Manning</v>
      </c>
      <c r="D2" t="str">
        <f t="shared" ref="D2:D65" si="2">Auteur(A2)</f>
        <v>Claus Ibsen, Jonathan Anstey</v>
      </c>
      <c r="E2" s="3" t="str">
        <f t="shared" ref="E2:E65" si="3">ExtraInfo(A2)</f>
        <v/>
      </c>
      <c r="F2" t="str">
        <f t="shared" ref="F2:F65" si="4">Extension(A2)</f>
        <v>.pdf</v>
      </c>
      <c r="G2">
        <f t="shared" ref="G2:G65" si="5">LenFileName(A2)</f>
        <v>69</v>
      </c>
      <c r="H2" s="3">
        <f>LEN(Table1[[#This Row],[Auteur]])</f>
        <v>28</v>
      </c>
      <c r="I2" s="3" t="str">
        <f>Title(A2)</f>
        <v>Camel in Action</v>
      </c>
    </row>
    <row r="3" spans="1:9" x14ac:dyDescent="0.45">
      <c r="A3" t="s">
        <v>535</v>
      </c>
      <c r="B3" t="str">
        <f t="shared" si="0"/>
        <v>2005</v>
      </c>
      <c r="C3" t="str">
        <f t="shared" si="1"/>
        <v>Elsevier</v>
      </c>
      <c r="D3" t="str">
        <f t="shared" si="2"/>
        <v>Cliff Wootton</v>
      </c>
      <c r="E3" s="3" t="str">
        <f t="shared" si="3"/>
        <v/>
      </c>
      <c r="F3" t="str">
        <f t="shared" si="4"/>
        <v>.pdf</v>
      </c>
      <c r="G3">
        <f t="shared" si="5"/>
        <v>88</v>
      </c>
      <c r="H3" s="3">
        <f>LEN(Table1[[#This Row],[Auteur]])</f>
        <v>13</v>
      </c>
      <c r="I3" s="3" t="str">
        <f t="shared" ref="I3:I66" si="6">Title(A3)</f>
        <v>A Practical Guide to Video And Audio Compression</v>
      </c>
    </row>
    <row r="4" spans="1:9" x14ac:dyDescent="0.45">
      <c r="A4" t="s">
        <v>72</v>
      </c>
      <c r="B4" t="str">
        <f t="shared" si="0"/>
        <v>2005</v>
      </c>
      <c r="C4" t="str">
        <f t="shared" si="1"/>
        <v>Dunod</v>
      </c>
      <c r="D4" t="str">
        <f t="shared" si="2"/>
        <v>Éric Wilk</v>
      </c>
      <c r="E4" s="3" t="str">
        <f t="shared" si="3"/>
        <v/>
      </c>
      <c r="F4" t="str">
        <f t="shared" si="4"/>
        <v>.pdf</v>
      </c>
      <c r="G4">
        <f t="shared" si="5"/>
        <v>79</v>
      </c>
      <c r="H4" s="3">
        <f>LEN(Table1[[#This Row],[Auteur]])</f>
        <v>9</v>
      </c>
      <c r="I4" s="3" t="str">
        <f t="shared" si="6"/>
        <v>ArchiCAD, De la prise en main jusqu'au traceur</v>
      </c>
    </row>
    <row r="5" spans="1:9" x14ac:dyDescent="0.45">
      <c r="A5" t="s">
        <v>73</v>
      </c>
      <c r="B5" t="str">
        <f t="shared" si="0"/>
        <v>2016</v>
      </c>
      <c r="C5" t="str">
        <f t="shared" si="1"/>
        <v>RB édition</v>
      </c>
      <c r="D5" t="str">
        <f t="shared" si="2"/>
        <v>Geiben, Jean-Marie, Verviest, Vilotte</v>
      </c>
      <c r="E5" s="3" t="str">
        <f t="shared" si="3"/>
        <v/>
      </c>
      <c r="F5" t="str">
        <f t="shared" si="4"/>
        <v>.pdf</v>
      </c>
      <c r="G5">
        <f t="shared" si="5"/>
        <v>87</v>
      </c>
      <c r="H5" s="3">
        <f>LEN(Table1[[#This Row],[Auteur]])</f>
        <v>37</v>
      </c>
      <c r="I5" s="3" t="str">
        <f t="shared" si="6"/>
        <v>Bitcoin et blockchain</v>
      </c>
    </row>
    <row r="6" spans="1:9" x14ac:dyDescent="0.45">
      <c r="A6" t="s">
        <v>263</v>
      </c>
      <c r="B6" t="str">
        <f t="shared" si="0"/>
        <v>2015</v>
      </c>
      <c r="C6" t="str">
        <f t="shared" si="1"/>
        <v>O'Reilly</v>
      </c>
      <c r="D6" t="str">
        <f t="shared" si="2"/>
        <v>Melanie Swan</v>
      </c>
      <c r="E6" s="3" t="str">
        <f t="shared" si="3"/>
        <v>Dump</v>
      </c>
      <c r="F6" t="str">
        <f t="shared" si="4"/>
        <v>.pdf</v>
      </c>
      <c r="G6">
        <f t="shared" si="5"/>
        <v>56</v>
      </c>
      <c r="H6" s="3">
        <f>LEN(Table1[[#This Row],[Auteur]])</f>
        <v>12</v>
      </c>
      <c r="I6" s="3" t="str">
        <f t="shared" si="6"/>
        <v>Blockchain</v>
      </c>
    </row>
    <row r="7" spans="1:9" x14ac:dyDescent="0.45">
      <c r="A7" t="s">
        <v>938</v>
      </c>
      <c r="B7" t="str">
        <f t="shared" si="0"/>
        <v>2009</v>
      </c>
      <c r="C7" t="str">
        <f t="shared" si="1"/>
        <v>Sitepoint</v>
      </c>
      <c r="D7" t="str">
        <f t="shared" si="2"/>
        <v>James Edwards</v>
      </c>
      <c r="E7" s="3" t="str">
        <f t="shared" si="3"/>
        <v/>
      </c>
      <c r="F7" t="str">
        <f t="shared" si="4"/>
        <v>.pdf</v>
      </c>
      <c r="G7">
        <f t="shared" si="5"/>
        <v>73</v>
      </c>
      <c r="H7" s="3">
        <f>LEN(Table1[[#This Row],[Auteur]])</f>
        <v>13</v>
      </c>
      <c r="I7" s="3" t="str">
        <f t="shared" si="6"/>
        <v>Build Your Own Firefox Extension</v>
      </c>
    </row>
    <row r="8" spans="1:9" x14ac:dyDescent="0.45">
      <c r="A8" t="s">
        <v>146</v>
      </c>
      <c r="B8" t="str">
        <f t="shared" si="0"/>
        <v>2015</v>
      </c>
      <c r="C8" t="str">
        <f t="shared" si="1"/>
        <v>Eyrolles</v>
      </c>
      <c r="D8" t="str">
        <f t="shared" si="2"/>
        <v>Raymond Ostertag</v>
      </c>
      <c r="E8" s="3" t="str">
        <f t="shared" si="3"/>
        <v>Dump</v>
      </c>
      <c r="F8" s="3" t="str">
        <f t="shared" si="4"/>
        <v>.pdf</v>
      </c>
      <c r="G8">
        <f t="shared" si="5"/>
        <v>72</v>
      </c>
      <c r="H8" s="3">
        <f>LEN(Table1[[#This Row],[Auteur]])</f>
        <v>16</v>
      </c>
      <c r="I8" s="3" t="str">
        <f t="shared" si="6"/>
        <v>Cahier Gimp.2.8</v>
      </c>
    </row>
    <row r="9" spans="1:9" x14ac:dyDescent="0.45">
      <c r="A9" t="s">
        <v>147</v>
      </c>
      <c r="B9" t="str">
        <f t="shared" si="0"/>
        <v>2013</v>
      </c>
      <c r="C9" t="str">
        <f t="shared" si="1"/>
        <v>Dunod</v>
      </c>
      <c r="D9" t="str">
        <f t="shared" si="2"/>
        <v>Samir Ghouti-Terki</v>
      </c>
      <c r="E9" s="3" t="str">
        <f t="shared" si="3"/>
        <v/>
      </c>
      <c r="F9" t="str">
        <f t="shared" si="4"/>
        <v>.pdf</v>
      </c>
      <c r="G9">
        <f t="shared" si="5"/>
        <v>71</v>
      </c>
      <c r="H9" s="3">
        <f>LEN(Table1[[#This Row],[Auteur]])</f>
        <v>18</v>
      </c>
      <c r="I9" s="3" t="str">
        <f t="shared" si="6"/>
        <v>Cookbook Référencement Google</v>
      </c>
    </row>
    <row r="10" spans="1:9" x14ac:dyDescent="0.45">
      <c r="A10" t="s">
        <v>148</v>
      </c>
      <c r="B10" t="str">
        <f t="shared" si="0"/>
        <v>2011</v>
      </c>
      <c r="C10" t="str">
        <f t="shared" si="1"/>
        <v>Pearson</v>
      </c>
      <c r="D10" t="str">
        <f t="shared" si="2"/>
        <v>Élizabeth Castro</v>
      </c>
      <c r="E10" s="3" t="str">
        <f t="shared" si="3"/>
        <v/>
      </c>
      <c r="F10" t="str">
        <f t="shared" si="4"/>
        <v>.pdf</v>
      </c>
      <c r="G10">
        <f t="shared" si="5"/>
        <v>66</v>
      </c>
      <c r="H10" s="3">
        <f>LEN(Table1[[#This Row],[Auteur]])</f>
        <v>16</v>
      </c>
      <c r="I10" s="3" t="str">
        <f t="shared" si="6"/>
        <v>Créez des documents ePub</v>
      </c>
    </row>
    <row r="11" spans="1:9" x14ac:dyDescent="0.45">
      <c r="A11" t="s">
        <v>149</v>
      </c>
      <c r="B11" t="str">
        <f t="shared" si="0"/>
        <v>2014</v>
      </c>
      <c r="C11" t="str">
        <f t="shared" si="1"/>
        <v>Dunod</v>
      </c>
      <c r="D11" t="str">
        <f t="shared" si="2"/>
        <v>Simon Kern</v>
      </c>
      <c r="E11" s="3" t="str">
        <f t="shared" si="3"/>
        <v/>
      </c>
      <c r="F11" t="str">
        <f t="shared" si="4"/>
        <v>.pdf</v>
      </c>
      <c r="G11">
        <f t="shared" si="5"/>
        <v>75</v>
      </c>
      <c r="H11" s="3">
        <f>LEN(Table1[[#This Row],[Auteur]])</f>
        <v>10</v>
      </c>
      <c r="I11" s="3" t="str">
        <f t="shared" si="6"/>
        <v>Créez vos sites Web avec WordPress</v>
      </c>
    </row>
    <row r="12" spans="1:9" x14ac:dyDescent="0.45">
      <c r="A12" t="s">
        <v>150</v>
      </c>
      <c r="B12" t="str">
        <f t="shared" si="0"/>
        <v>2014</v>
      </c>
      <c r="C12" t="str">
        <f t="shared" si="1"/>
        <v>?</v>
      </c>
      <c r="D12" t="str">
        <f t="shared" si="2"/>
        <v>?</v>
      </c>
      <c r="E12" s="3" t="str">
        <f t="shared" si="3"/>
        <v/>
      </c>
      <c r="F12" t="str">
        <f t="shared" si="4"/>
        <v>.zip</v>
      </c>
      <c r="G12">
        <f t="shared" si="5"/>
        <v>73</v>
      </c>
      <c r="H12" s="3">
        <f>LEN(Table1[[#This Row],[Auteur]])</f>
        <v>1</v>
      </c>
      <c r="I12" s="3" t="str">
        <f t="shared" si="6"/>
        <v>Créez vos sites Web avec WordPress</v>
      </c>
    </row>
    <row r="13" spans="1:9" x14ac:dyDescent="0.45">
      <c r="A13" t="s">
        <v>151</v>
      </c>
      <c r="B13" t="str">
        <f t="shared" si="0"/>
        <v>2000</v>
      </c>
      <c r="C13" t="str">
        <f t="shared" si="1"/>
        <v>O'Reilly</v>
      </c>
      <c r="D13" t="str">
        <f t="shared" si="2"/>
        <v>Simson Garfinkel</v>
      </c>
      <c r="E13" s="3" t="str">
        <f t="shared" si="3"/>
        <v/>
      </c>
      <c r="F13" t="str">
        <f t="shared" si="4"/>
        <v>.pdf</v>
      </c>
      <c r="G13">
        <f t="shared" si="5"/>
        <v>100</v>
      </c>
      <c r="H13" s="3">
        <f>LEN(Table1[[#This Row],[Auteur]])</f>
        <v>16</v>
      </c>
      <c r="I13" s="3" t="str">
        <f t="shared" si="6"/>
        <v>Database Nation, The Death of Privacy in the 21st Century</v>
      </c>
    </row>
    <row r="14" spans="1:9" x14ac:dyDescent="0.45">
      <c r="A14" t="s">
        <v>152</v>
      </c>
      <c r="B14" t="str">
        <f t="shared" si="0"/>
        <v>2016</v>
      </c>
      <c r="C14" t="str">
        <f t="shared" si="1"/>
        <v>Dunod</v>
      </c>
      <c r="D14" t="str">
        <f t="shared" si="2"/>
        <v>Stéphane Gourdeau, Samuel Metias</v>
      </c>
      <c r="E14" s="3" t="str">
        <f t="shared" si="3"/>
        <v/>
      </c>
      <c r="F14" s="3" t="str">
        <f t="shared" si="4"/>
        <v>.epub</v>
      </c>
      <c r="G14" s="3">
        <f t="shared" si="5"/>
        <v>108</v>
      </c>
      <c r="H14" s="3">
        <f>LEN(Table1[[#This Row],[Auteur]])</f>
        <v>32</v>
      </c>
      <c r="I14" s="3" t="str">
        <f t="shared" si="6"/>
        <v>Découvrir DevOps, L'essentiel pour tous les métiers</v>
      </c>
    </row>
    <row r="15" spans="1:9" x14ac:dyDescent="0.45">
      <c r="A15" t="s">
        <v>153</v>
      </c>
      <c r="B15" t="str">
        <f t="shared" si="0"/>
        <v>2016</v>
      </c>
      <c r="C15" t="str">
        <f t="shared" si="1"/>
        <v>Dunod</v>
      </c>
      <c r="D15" t="str">
        <f t="shared" si="2"/>
        <v>Stéphane Gourdeau, Samuel Metias</v>
      </c>
      <c r="E15" s="3" t="str">
        <f t="shared" si="3"/>
        <v/>
      </c>
      <c r="F15" t="str">
        <f t="shared" si="4"/>
        <v>.pdf</v>
      </c>
      <c r="G15">
        <f t="shared" si="5"/>
        <v>107</v>
      </c>
      <c r="H15" s="3">
        <f>LEN(Table1[[#This Row],[Auteur]])</f>
        <v>32</v>
      </c>
      <c r="I15" s="3" t="str">
        <f t="shared" si="6"/>
        <v>Découvrir DevOps, L'essentiel pour tous les métiers</v>
      </c>
    </row>
    <row r="16" spans="1:9" x14ac:dyDescent="0.45">
      <c r="A16" t="s">
        <v>154</v>
      </c>
      <c r="B16" t="str">
        <f t="shared" si="0"/>
        <v>2013</v>
      </c>
      <c r="C16" t="str">
        <f t="shared" si="1"/>
        <v>Springer</v>
      </c>
      <c r="D16" t="str">
        <f t="shared" si="2"/>
        <v>Ewan Oiry</v>
      </c>
      <c r="E16" s="3" t="str">
        <f t="shared" si="3"/>
        <v/>
      </c>
      <c r="F16" t="str">
        <f t="shared" si="4"/>
        <v>.pdf</v>
      </c>
      <c r="G16">
        <f t="shared" si="5"/>
        <v>125</v>
      </c>
      <c r="H16" s="3">
        <f>LEN(Table1[[#This Row],[Auteur]])</f>
        <v>9</v>
      </c>
      <c r="I16" s="3" t="str">
        <f t="shared" si="6"/>
        <v>Développer les usages des logiciels collaboratifs, Le rôle des SI, des RH et des managers</v>
      </c>
    </row>
    <row r="17" spans="1:9" x14ac:dyDescent="0.45">
      <c r="A17" t="s">
        <v>76</v>
      </c>
      <c r="B17" t="str">
        <f t="shared" si="0"/>
        <v>2016</v>
      </c>
      <c r="C17" t="str">
        <f t="shared" si="1"/>
        <v>Dunod</v>
      </c>
      <c r="D17" t="str">
        <f t="shared" si="2"/>
        <v>Cloux, Garlot, Kohler</v>
      </c>
      <c r="E17" s="3" t="str">
        <f t="shared" si="3"/>
        <v/>
      </c>
      <c r="F17" s="3" t="str">
        <f t="shared" si="4"/>
        <v>.pdf</v>
      </c>
      <c r="G17">
        <f t="shared" si="5"/>
        <v>100</v>
      </c>
      <c r="H17" s="3">
        <f>LEN(Table1[[#This Row],[Auteur]])</f>
        <v>21</v>
      </c>
      <c r="I17" s="3" t="str">
        <f t="shared" si="6"/>
        <v>Docker, Pratique des architectures à base de conteneurs</v>
      </c>
    </row>
    <row r="18" spans="1:9" x14ac:dyDescent="0.45">
      <c r="A18" t="s">
        <v>155</v>
      </c>
      <c r="B18" t="str">
        <f t="shared" si="0"/>
        <v>2014</v>
      </c>
      <c r="C18" t="str">
        <f t="shared" si="1"/>
        <v>Eyrolles</v>
      </c>
      <c r="D18" t="str">
        <f t="shared" si="2"/>
        <v>Sylvie Azoulay-Bismuth</v>
      </c>
      <c r="E18" s="3" t="str">
        <f t="shared" si="3"/>
        <v/>
      </c>
      <c r="F18" t="str">
        <f t="shared" si="4"/>
        <v>.pdf</v>
      </c>
      <c r="G18">
        <f t="shared" si="5"/>
        <v>71</v>
      </c>
      <c r="H18" s="3">
        <f>LEN(Table1[[#This Row],[Auteur]])</f>
        <v>22</v>
      </c>
      <c r="I18" s="3" t="str">
        <f t="shared" si="6"/>
        <v>Être un pro de l'email</v>
      </c>
    </row>
    <row r="19" spans="1:9" x14ac:dyDescent="0.45">
      <c r="A19" t="s">
        <v>156</v>
      </c>
      <c r="B19" t="str">
        <f t="shared" si="0"/>
        <v>2011</v>
      </c>
      <c r="C19" t="str">
        <f t="shared" si="1"/>
        <v>Presses des Mines</v>
      </c>
      <c r="D19" t="str">
        <f t="shared" si="2"/>
        <v>Nordine Benkeltoum</v>
      </c>
      <c r="E19" s="3" t="str">
        <f t="shared" si="3"/>
        <v/>
      </c>
      <c r="F19" t="str">
        <f t="shared" si="4"/>
        <v>.pdf</v>
      </c>
      <c r="G19">
        <f t="shared" si="5"/>
        <v>87</v>
      </c>
      <c r="H19" s="3">
        <f>LEN(Table1[[#This Row],[Auteur]])</f>
        <v>18</v>
      </c>
      <c r="I19" s="3" t="str">
        <f t="shared" si="6"/>
        <v>Gérer et comprendre l'open source</v>
      </c>
    </row>
    <row r="20" spans="1:9" x14ac:dyDescent="0.45">
      <c r="A20" t="s">
        <v>157</v>
      </c>
      <c r="B20" t="str">
        <f t="shared" si="0"/>
        <v>2011</v>
      </c>
      <c r="C20" t="str">
        <f t="shared" si="1"/>
        <v>Dunod</v>
      </c>
      <c r="D20" t="str">
        <f t="shared" si="2"/>
        <v>Sid Ahmed Benraouane</v>
      </c>
      <c r="E20" s="3" t="str">
        <f t="shared" si="3"/>
        <v/>
      </c>
      <c r="F20" s="3" t="str">
        <f t="shared" si="4"/>
        <v>.pdf</v>
      </c>
      <c r="G20" s="3">
        <f t="shared" si="5"/>
        <v>120</v>
      </c>
      <c r="H20" s="3">
        <f>LEN(Table1[[#This Row],[Auteur]])</f>
        <v>20</v>
      </c>
      <c r="I20" s="3" t="str">
        <f t="shared" si="6"/>
        <v>Guide pratique du e-Learning, Conception, stratégie et pédagogie avec Moodle</v>
      </c>
    </row>
    <row r="21" spans="1:9" x14ac:dyDescent="0.45">
      <c r="A21" t="s">
        <v>158</v>
      </c>
      <c r="B21" t="str">
        <f t="shared" si="0"/>
        <v>2009</v>
      </c>
      <c r="C21" t="str">
        <f t="shared" si="1"/>
        <v>Dunod</v>
      </c>
      <c r="D21" t="str">
        <f t="shared" si="2"/>
        <v>Albéric Quenfaime</v>
      </c>
      <c r="E21" s="3" t="str">
        <f t="shared" si="3"/>
        <v/>
      </c>
      <c r="F21" t="str">
        <f t="shared" si="4"/>
        <v>.pdf</v>
      </c>
      <c r="G21">
        <f t="shared" si="5"/>
        <v>115</v>
      </c>
      <c r="H21" s="3">
        <f>LEN(Table1[[#This Row],[Auteur]])</f>
        <v>17</v>
      </c>
      <c r="I21" s="3" t="str">
        <f t="shared" si="6"/>
        <v>Informatique, Internet et TPE, Choisir et mettre en oeuvre les bons outils</v>
      </c>
    </row>
    <row r="22" spans="1:9" x14ac:dyDescent="0.45">
      <c r="A22" t="s">
        <v>159</v>
      </c>
      <c r="B22" t="str">
        <f t="shared" si="0"/>
        <v>2015</v>
      </c>
      <c r="C22" t="str">
        <f t="shared" si="1"/>
        <v>Eyrolles</v>
      </c>
      <c r="D22" t="str">
        <f t="shared" si="2"/>
        <v>Fabrice Mattatia</v>
      </c>
      <c r="E22" s="3" t="str">
        <f t="shared" si="3"/>
        <v/>
      </c>
      <c r="F22" t="str">
        <f t="shared" si="4"/>
        <v>.pdf</v>
      </c>
      <c r="G22">
        <f t="shared" si="5"/>
        <v>97</v>
      </c>
      <c r="H22" s="3">
        <f>LEN(Table1[[#This Row],[Auteur]])</f>
        <v>16</v>
      </c>
      <c r="I22" s="3" t="str">
        <f t="shared" si="6"/>
        <v>Internet et les réseaux sociaux, que dit la loi</v>
      </c>
    </row>
    <row r="23" spans="1:9" x14ac:dyDescent="0.45">
      <c r="A23" t="s">
        <v>160</v>
      </c>
      <c r="B23" t="str">
        <f t="shared" si="0"/>
        <v>2012</v>
      </c>
      <c r="C23" t="str">
        <f t="shared" si="1"/>
        <v>?</v>
      </c>
      <c r="D23" t="str">
        <f t="shared" si="2"/>
        <v>Copywriting Pratique</v>
      </c>
      <c r="E23" s="3" t="str">
        <f t="shared" si="3"/>
        <v/>
      </c>
      <c r="F23" t="str">
        <f t="shared" si="4"/>
        <v>.pdf</v>
      </c>
      <c r="G23">
        <f t="shared" si="5"/>
        <v>79</v>
      </c>
      <c r="H23" s="3">
        <f>LEN(Table1[[#This Row],[Auteur]])</f>
        <v>20</v>
      </c>
      <c r="I23" s="3" t="str">
        <f t="shared" si="6"/>
        <v>Je débute en blogging, Tome 1, Créer son blog</v>
      </c>
    </row>
    <row r="24" spans="1:9" x14ac:dyDescent="0.45">
      <c r="A24" t="s">
        <v>161</v>
      </c>
      <c r="B24" t="str">
        <f t="shared" si="0"/>
        <v>2012</v>
      </c>
      <c r="C24" t="str">
        <f t="shared" si="1"/>
        <v>?</v>
      </c>
      <c r="D24" t="str">
        <f t="shared" si="2"/>
        <v>Copywriting Pratique</v>
      </c>
      <c r="E24" s="3" t="str">
        <f t="shared" si="3"/>
        <v/>
      </c>
      <c r="F24" t="str">
        <f t="shared" si="4"/>
        <v>.pdf</v>
      </c>
      <c r="G24">
        <f t="shared" si="5"/>
        <v>120</v>
      </c>
      <c r="H24" s="3">
        <f>LEN(Table1[[#This Row],[Auteur]])</f>
        <v>20</v>
      </c>
      <c r="I24" s="3" t="str">
        <f t="shared" si="6"/>
        <v>Je débute en blogging, Tome 2, Alimenter, faire connaître, gérer et monétiser son blog</v>
      </c>
    </row>
    <row r="25" spans="1:9" x14ac:dyDescent="0.45">
      <c r="A25" t="s">
        <v>162</v>
      </c>
      <c r="B25" t="str">
        <f t="shared" si="0"/>
        <v>2009</v>
      </c>
      <c r="C25" t="str">
        <f t="shared" si="1"/>
        <v>O'Reilly</v>
      </c>
      <c r="D25" t="str">
        <f t="shared" si="2"/>
        <v>Harry Reynolds, Doug Marschke</v>
      </c>
      <c r="E25" s="3" t="str">
        <f t="shared" si="3"/>
        <v/>
      </c>
      <c r="F25" s="3" t="str">
        <f t="shared" si="4"/>
        <v>.pdf</v>
      </c>
      <c r="G25" s="3">
        <f t="shared" si="5"/>
        <v>82</v>
      </c>
      <c r="H25" s="3">
        <f>LEN(Table1[[#This Row],[Auteur]])</f>
        <v>29</v>
      </c>
      <c r="I25" s="3" t="str">
        <f t="shared" si="6"/>
        <v>Junos Enterprise Switching</v>
      </c>
    </row>
    <row r="26" spans="1:9" x14ac:dyDescent="0.45">
      <c r="A26" t="s">
        <v>163</v>
      </c>
      <c r="B26" t="str">
        <f t="shared" si="0"/>
        <v>2014</v>
      </c>
      <c r="C26" t="str">
        <f t="shared" si="1"/>
        <v>Eyrolles</v>
      </c>
      <c r="D26" t="str">
        <f t="shared" si="2"/>
        <v>Florient Marlin</v>
      </c>
      <c r="E26" s="3" t="str">
        <f t="shared" si="3"/>
        <v/>
      </c>
      <c r="F26" t="str">
        <f t="shared" si="4"/>
        <v>.pdf</v>
      </c>
      <c r="G26">
        <f t="shared" si="5"/>
        <v>114</v>
      </c>
      <c r="H26" s="3">
        <f>LEN(Table1[[#This Row],[Auteur]])</f>
        <v>15</v>
      </c>
      <c r="I26" s="3" t="str">
        <f t="shared" si="6"/>
        <v>Le guide des liens sponsorisés, Google AdWords en 150 questions réponses</v>
      </c>
    </row>
    <row r="27" spans="1:9" x14ac:dyDescent="0.45">
      <c r="A27" t="s">
        <v>164</v>
      </c>
      <c r="B27" t="str">
        <f t="shared" si="0"/>
        <v>2015</v>
      </c>
      <c r="C27" t="str">
        <f t="shared" si="1"/>
        <v>Afnor</v>
      </c>
      <c r="D27" t="str">
        <f t="shared" si="2"/>
        <v>Pierre Métivier</v>
      </c>
      <c r="E27" s="3" t="str">
        <f t="shared" si="3"/>
        <v/>
      </c>
      <c r="F27" s="3" t="str">
        <f t="shared" si="4"/>
        <v>.pdf</v>
      </c>
      <c r="G27">
        <f t="shared" si="5"/>
        <v>52</v>
      </c>
      <c r="H27" s="3">
        <f>LEN(Table1[[#This Row],[Auteur]])</f>
        <v>15</v>
      </c>
      <c r="I27" s="3" t="str">
        <f t="shared" si="6"/>
        <v>Le mobile NFC</v>
      </c>
    </row>
    <row r="28" spans="1:9" x14ac:dyDescent="0.45">
      <c r="A28" t="s">
        <v>165</v>
      </c>
      <c r="B28" t="str">
        <f t="shared" si="0"/>
        <v>2007</v>
      </c>
      <c r="C28" t="str">
        <f t="shared" si="1"/>
        <v>Dunod</v>
      </c>
      <c r="D28" t="str">
        <f t="shared" si="2"/>
        <v>Yves Caseau</v>
      </c>
      <c r="E28" s="3" t="str">
        <f t="shared" si="3"/>
        <v/>
      </c>
      <c r="F28" t="str">
        <f t="shared" si="4"/>
        <v>.pdf</v>
      </c>
      <c r="G28">
        <f t="shared" si="5"/>
        <v>51</v>
      </c>
      <c r="H28" s="3">
        <f>LEN(Table1[[#This Row],[Auteur]])</f>
        <v>11</v>
      </c>
      <c r="I28" s="3" t="str">
        <f t="shared" si="6"/>
        <v>Le SI démystifié</v>
      </c>
    </row>
    <row r="29" spans="1:9" x14ac:dyDescent="0.45">
      <c r="A29" t="s">
        <v>1957</v>
      </c>
      <c r="B29" t="str">
        <f t="shared" si="0"/>
        <v>2015</v>
      </c>
      <c r="C29" t="str">
        <f t="shared" si="1"/>
        <v>Gereso</v>
      </c>
      <c r="D29" t="str">
        <f t="shared" si="2"/>
        <v>Christophe Blazquez, Samir Zamoum</v>
      </c>
      <c r="E29" s="3" t="str">
        <f t="shared" si="3"/>
        <v/>
      </c>
      <c r="F29" t="str">
        <f t="shared" si="4"/>
        <v>.pdf</v>
      </c>
      <c r="G29">
        <f t="shared" si="5"/>
        <v>106</v>
      </c>
      <c r="H29" s="3">
        <f>LEN(Table1[[#This Row],[Auteur]])</f>
        <v>33</v>
      </c>
      <c r="I29" s="3" t="str">
        <f t="shared" si="6"/>
        <v>Les nouveaux outils bureautiques gratuits</v>
      </c>
    </row>
    <row r="30" spans="1:9" x14ac:dyDescent="0.45">
      <c r="A30" t="s">
        <v>166</v>
      </c>
      <c r="B30" t="str">
        <f t="shared" si="0"/>
        <v>?</v>
      </c>
      <c r="C30" t="str">
        <f t="shared" si="1"/>
        <v>Pearson</v>
      </c>
      <c r="D30" t="str">
        <f t="shared" si="2"/>
        <v>Patrick Diver</v>
      </c>
      <c r="E30" s="3" t="str">
        <f t="shared" si="3"/>
        <v/>
      </c>
      <c r="F30" t="str">
        <f t="shared" si="4"/>
        <v>.pdf</v>
      </c>
      <c r="G30">
        <f t="shared" si="5"/>
        <v>66</v>
      </c>
      <c r="H30" s="3">
        <f>LEN(Table1[[#This Row],[Auteur]])</f>
        <v>13</v>
      </c>
      <c r="I30" s="3" t="str">
        <f t="shared" si="6"/>
        <v>Les secrets du dessinateur AutoCAD</v>
      </c>
    </row>
    <row r="31" spans="1:9" x14ac:dyDescent="0.45">
      <c r="A31" t="s">
        <v>167</v>
      </c>
      <c r="B31" t="str">
        <f t="shared" si="0"/>
        <v>2016</v>
      </c>
      <c r="C31" t="str">
        <f t="shared" si="1"/>
        <v>Dunod</v>
      </c>
      <c r="D31" t="str">
        <f t="shared" si="2"/>
        <v>Legrenzi, Rosé</v>
      </c>
      <c r="E31" s="3" t="str">
        <f t="shared" si="3"/>
        <v/>
      </c>
      <c r="F31" s="3" t="str">
        <f t="shared" si="4"/>
        <v>.pdf</v>
      </c>
      <c r="G31">
        <f t="shared" si="5"/>
        <v>75</v>
      </c>
      <c r="H31" s="3">
        <f>LEN(Table1[[#This Row],[Auteur]])</f>
        <v>14</v>
      </c>
      <c r="I31" s="3" t="str">
        <f t="shared" si="6"/>
        <v>Les tableaux de bord de la DSI</v>
      </c>
    </row>
    <row r="32" spans="1:9" x14ac:dyDescent="0.45">
      <c r="A32" t="s">
        <v>271</v>
      </c>
      <c r="B32" t="str">
        <f t="shared" si="0"/>
        <v>2014</v>
      </c>
      <c r="C32" t="str">
        <f t="shared" si="1"/>
        <v>Eyrolles</v>
      </c>
      <c r="D32" t="str">
        <f t="shared" si="2"/>
        <v>Mathilde Berchon</v>
      </c>
      <c r="E32" s="3" t="str">
        <f t="shared" si="3"/>
        <v/>
      </c>
      <c r="F32" s="3" t="str">
        <f t="shared" si="4"/>
        <v>.pdf</v>
      </c>
      <c r="G32">
        <f t="shared" si="5"/>
        <v>65</v>
      </c>
      <c r="H32" s="3">
        <f>LEN(Table1[[#This Row],[Auteur]])</f>
        <v>16</v>
      </c>
      <c r="I32" s="3" t="str">
        <f t="shared" si="6"/>
        <v>L'impression 3D</v>
      </c>
    </row>
    <row r="33" spans="1:9" x14ac:dyDescent="0.45">
      <c r="A33" t="s">
        <v>2010</v>
      </c>
      <c r="B33" t="str">
        <f t="shared" si="0"/>
        <v>?</v>
      </c>
      <c r="C33" t="str">
        <f t="shared" si="1"/>
        <v>?</v>
      </c>
      <c r="D33" t="str">
        <f t="shared" si="2"/>
        <v>?</v>
      </c>
      <c r="E33" s="3" t="str">
        <f t="shared" si="3"/>
        <v/>
      </c>
      <c r="F33" t="str">
        <f t="shared" si="4"/>
        <v>.txt</v>
      </c>
      <c r="G33">
        <f t="shared" si="5"/>
        <v>9</v>
      </c>
      <c r="H33" s="3">
        <f>LEN(Table1[[#This Row],[Auteur]])</f>
        <v>1</v>
      </c>
      <c r="I33" s="3" t="str">
        <f t="shared" si="6"/>
        <v>liste</v>
      </c>
    </row>
    <row r="34" spans="1:9" x14ac:dyDescent="0.45">
      <c r="A34" t="s">
        <v>272</v>
      </c>
      <c r="B34" t="str">
        <f t="shared" si="0"/>
        <v>2011</v>
      </c>
      <c r="C34" t="str">
        <f t="shared" si="1"/>
        <v>Eyrolles</v>
      </c>
      <c r="D34" t="str">
        <f t="shared" si="2"/>
        <v>Fabrice Mattatia</v>
      </c>
      <c r="E34" s="3" t="str">
        <f t="shared" si="3"/>
        <v/>
      </c>
      <c r="F34" t="str">
        <f t="shared" si="4"/>
        <v>.pdf</v>
      </c>
      <c r="G34">
        <f t="shared" si="5"/>
        <v>58</v>
      </c>
      <c r="H34" s="3">
        <f>LEN(Table1[[#This Row],[Auteur]])</f>
        <v>16</v>
      </c>
      <c r="I34" s="3" t="str">
        <f t="shared" si="6"/>
        <v>Loi et internet</v>
      </c>
    </row>
    <row r="35" spans="1:9" x14ac:dyDescent="0.45">
      <c r="A35" t="s">
        <v>273</v>
      </c>
      <c r="B35" t="str">
        <f t="shared" si="0"/>
        <v>1999</v>
      </c>
      <c r="C35" t="str">
        <f t="shared" si="1"/>
        <v>O'Reilly</v>
      </c>
      <c r="D35" t="str">
        <f t="shared" si="2"/>
        <v>Bruce Epstein</v>
      </c>
      <c r="E35" s="3" t="str">
        <f t="shared" si="3"/>
        <v>Partiel</v>
      </c>
      <c r="F35" t="str">
        <f t="shared" si="4"/>
        <v>.pdf</v>
      </c>
      <c r="G35">
        <f t="shared" si="5"/>
        <v>83</v>
      </c>
      <c r="H35" s="3">
        <f>LEN(Table1[[#This Row],[Auteur]])</f>
        <v>13</v>
      </c>
      <c r="I35" s="3" t="str">
        <f t="shared" si="6"/>
        <v>Macromedia Director in a Nutshell</v>
      </c>
    </row>
    <row r="36" spans="1:9" x14ac:dyDescent="0.45">
      <c r="A36" t="s">
        <v>274</v>
      </c>
      <c r="B36" t="str">
        <f t="shared" si="0"/>
        <v>1998</v>
      </c>
      <c r="C36" t="str">
        <f t="shared" si="1"/>
        <v>O'Reilly</v>
      </c>
      <c r="D36" t="str">
        <f t="shared" si="2"/>
        <v>Bruce Epstein</v>
      </c>
      <c r="E36" t="str">
        <f t="shared" si="3"/>
        <v>Partiel</v>
      </c>
      <c r="F36" t="str">
        <f t="shared" si="4"/>
        <v>.pdf</v>
      </c>
      <c r="G36">
        <f t="shared" si="5"/>
        <v>80</v>
      </c>
      <c r="H36" s="3">
        <f>LEN(Table1[[#This Row],[Auteur]])</f>
        <v>13</v>
      </c>
      <c r="I36" s="3" t="str">
        <f t="shared" si="6"/>
        <v>Macromedia Lingo in a Nutshell</v>
      </c>
    </row>
    <row r="37" spans="1:9" x14ac:dyDescent="0.45">
      <c r="A37" t="s">
        <v>275</v>
      </c>
      <c r="B37" t="str">
        <f t="shared" si="0"/>
        <v>2008</v>
      </c>
      <c r="C37" t="str">
        <f t="shared" si="1"/>
        <v>Eyrolles</v>
      </c>
      <c r="D37" t="str">
        <f t="shared" si="2"/>
        <v>David Autissier, Valérie Delaye</v>
      </c>
      <c r="E37" s="3" t="str">
        <f t="shared" si="3"/>
        <v/>
      </c>
      <c r="F37" t="str">
        <f t="shared" si="4"/>
        <v>.pdf</v>
      </c>
      <c r="G37">
        <f t="shared" si="5"/>
        <v>105</v>
      </c>
      <c r="H37" s="3">
        <f>LEN(Table1[[#This Row],[Auteur]])</f>
        <v>31</v>
      </c>
      <c r="I37" s="3" t="str">
        <f t="shared" si="6"/>
        <v>Mesurer la performance du système d'information</v>
      </c>
    </row>
    <row r="38" spans="1:9" x14ac:dyDescent="0.45">
      <c r="A38" t="s">
        <v>342</v>
      </c>
      <c r="B38" t="str">
        <f t="shared" si="0"/>
        <v>2000</v>
      </c>
      <c r="C38" t="str">
        <f t="shared" si="1"/>
        <v>O'Reilly</v>
      </c>
      <c r="D38" t="str">
        <f t="shared" si="2"/>
        <v>Scot Hacker</v>
      </c>
      <c r="E38" s="3" t="str">
        <f t="shared" si="3"/>
        <v/>
      </c>
      <c r="F38" s="3" t="str">
        <f t="shared" si="4"/>
        <v>.pdf</v>
      </c>
      <c r="G38" s="3">
        <f t="shared" si="5"/>
        <v>63</v>
      </c>
      <c r="H38" s="3">
        <f>LEN(Table1[[#This Row],[Auteur]])</f>
        <v>11</v>
      </c>
      <c r="I38" s="3" t="str">
        <f t="shared" si="6"/>
        <v>MP3, The Definitive Guide</v>
      </c>
    </row>
    <row r="39" spans="1:9" x14ac:dyDescent="0.45">
      <c r="A39" t="s">
        <v>349</v>
      </c>
      <c r="B39" t="str">
        <f t="shared" si="0"/>
        <v>2010</v>
      </c>
      <c r="C39" t="str">
        <f t="shared" si="1"/>
        <v>Microsoft Press</v>
      </c>
      <c r="D39" t="str">
        <f t="shared" si="2"/>
        <v>Katherine Murray</v>
      </c>
      <c r="E39" s="3" t="str">
        <f t="shared" si="3"/>
        <v/>
      </c>
      <c r="F39" t="str">
        <f t="shared" si="4"/>
        <v>.pdf</v>
      </c>
      <c r="G39">
        <f t="shared" si="5"/>
        <v>132</v>
      </c>
      <c r="H39" s="3">
        <f>LEN(Table1[[#This Row],[Auteur]])</f>
        <v>16</v>
      </c>
      <c r="I39" s="3" t="str">
        <f t="shared" si="6"/>
        <v>Own Your Future, Update Your Skills with Resources and Career Ideas from Microsoft</v>
      </c>
    </row>
    <row r="40" spans="1:9" x14ac:dyDescent="0.45">
      <c r="A40" t="s">
        <v>350</v>
      </c>
      <c r="B40" t="str">
        <f t="shared" si="0"/>
        <v>2015</v>
      </c>
      <c r="C40" t="str">
        <f t="shared" si="1"/>
        <v>Eyrolles</v>
      </c>
      <c r="D40" t="str">
        <f t="shared" si="2"/>
        <v>Pierre Labbe</v>
      </c>
      <c r="E40" s="3" t="str">
        <f t="shared" si="3"/>
        <v/>
      </c>
      <c r="F40" s="3" t="str">
        <f t="shared" si="4"/>
        <v>.pdf</v>
      </c>
      <c r="G40">
        <f t="shared" si="5"/>
        <v>66</v>
      </c>
      <c r="H40" s="3">
        <f>LEN(Table1[[#This Row],[Auteur]])</f>
        <v>12</v>
      </c>
      <c r="I40" s="3" t="str">
        <f t="shared" si="6"/>
        <v>Photoshop CC pour PC et Mac</v>
      </c>
    </row>
    <row r="41" spans="1:9" x14ac:dyDescent="0.45">
      <c r="A41" t="s">
        <v>351</v>
      </c>
      <c r="B41" t="str">
        <f t="shared" si="0"/>
        <v>2013</v>
      </c>
      <c r="C41" t="str">
        <f t="shared" si="1"/>
        <v>Eyrolles</v>
      </c>
      <c r="D41" t="str">
        <f t="shared" si="2"/>
        <v>Scott Kelby, Matt Kloskowski</v>
      </c>
      <c r="E41" s="3" t="str">
        <f t="shared" si="3"/>
        <v/>
      </c>
      <c r="F41" s="3" t="str">
        <f t="shared" si="4"/>
        <v>.pdf</v>
      </c>
      <c r="G41" s="3">
        <f t="shared" si="5"/>
        <v>98</v>
      </c>
      <c r="H41" s="3">
        <f>LEN(Table1[[#This Row],[Auteur]])</f>
        <v>28</v>
      </c>
      <c r="I41" s="3" t="str">
        <f t="shared" si="6"/>
        <v>Photoshop Elements 11 pour les photographes</v>
      </c>
    </row>
    <row r="42" spans="1:9" x14ac:dyDescent="0.45">
      <c r="A42" t="s">
        <v>352</v>
      </c>
      <c r="B42" t="str">
        <f t="shared" si="0"/>
        <v>2013</v>
      </c>
      <c r="C42" t="str">
        <f t="shared" si="1"/>
        <v>Eyrolles</v>
      </c>
      <c r="D42" t="str">
        <f t="shared" si="2"/>
        <v>Anna Kaziunas France</v>
      </c>
      <c r="E42" s="3" t="str">
        <f t="shared" si="3"/>
        <v/>
      </c>
      <c r="F42" t="str">
        <f t="shared" si="4"/>
        <v>.pdf</v>
      </c>
      <c r="G42">
        <f t="shared" si="5"/>
        <v>74</v>
      </c>
      <c r="H42" s="3">
        <f>LEN(Table1[[#This Row],[Auteur]])</f>
        <v>20</v>
      </c>
      <c r="I42" s="3" t="str">
        <f t="shared" si="6"/>
        <v>Pratique de l'impression 3D</v>
      </c>
    </row>
    <row r="43" spans="1:9" x14ac:dyDescent="0.45">
      <c r="A43" t="s">
        <v>81</v>
      </c>
      <c r="B43" t="str">
        <f t="shared" si="0"/>
        <v>2016</v>
      </c>
      <c r="C43" t="str">
        <f t="shared" si="1"/>
        <v>Eyrolles</v>
      </c>
      <c r="D43" t="str">
        <f t="shared" si="2"/>
        <v>Lalée Pinoncély</v>
      </c>
      <c r="E43" s="3" t="str">
        <f t="shared" si="3"/>
        <v/>
      </c>
      <c r="F43" t="str">
        <f t="shared" si="4"/>
        <v>.pdf</v>
      </c>
      <c r="G43">
        <f t="shared" si="5"/>
        <v>70</v>
      </c>
      <c r="H43" s="3">
        <f>LEN(Table1[[#This Row],[Auteur]])</f>
        <v>15</v>
      </c>
      <c r="I43" s="3" t="str">
        <f t="shared" si="6"/>
        <v>Premiers pas vers le digital</v>
      </c>
    </row>
    <row r="44" spans="1:9" x14ac:dyDescent="0.45">
      <c r="A44" t="s">
        <v>353</v>
      </c>
      <c r="B44" t="str">
        <f t="shared" si="0"/>
        <v>2011</v>
      </c>
      <c r="C44" t="str">
        <f t="shared" si="1"/>
        <v>Packt</v>
      </c>
      <c r="D44" t="str">
        <f t="shared" si="2"/>
        <v>Craig Finch</v>
      </c>
      <c r="E44" s="3" t="str">
        <f t="shared" si="3"/>
        <v/>
      </c>
      <c r="F44" t="str">
        <f t="shared" si="4"/>
        <v>.pdf</v>
      </c>
      <c r="G44">
        <f t="shared" si="5"/>
        <v>56</v>
      </c>
      <c r="H44" s="3">
        <f>LEN(Table1[[#This Row],[Auteur]])</f>
        <v>11</v>
      </c>
      <c r="I44" s="3" t="str">
        <f t="shared" si="6"/>
        <v>Sage Beginner's Guide</v>
      </c>
    </row>
    <row r="45" spans="1:9" x14ac:dyDescent="0.45">
      <c r="A45" t="s">
        <v>2061</v>
      </c>
      <c r="B45" t="str">
        <f t="shared" si="0"/>
        <v>2014</v>
      </c>
      <c r="C45" t="str">
        <f t="shared" si="1"/>
        <v>Eyrolles</v>
      </c>
      <c r="D45" t="str">
        <f t="shared" si="2"/>
        <v>Olivier Andrieu</v>
      </c>
      <c r="E45" s="3" t="str">
        <f t="shared" si="3"/>
        <v/>
      </c>
      <c r="F45" t="str">
        <f t="shared" si="4"/>
        <v>.pdf</v>
      </c>
      <c r="G45">
        <f t="shared" si="5"/>
        <v>89</v>
      </c>
      <c r="H45" s="3">
        <f>LEN(Table1[[#This Row],[Auteur]])</f>
        <v>15</v>
      </c>
      <c r="I45" s="3" t="str">
        <f t="shared" si="6"/>
        <v>SEO zéro euro, Le référencement web en 4 étapes</v>
      </c>
    </row>
    <row r="46" spans="1:9" x14ac:dyDescent="0.45">
      <c r="A46" t="s">
        <v>358</v>
      </c>
      <c r="B46" t="str">
        <f t="shared" si="0"/>
        <v>2001</v>
      </c>
      <c r="C46" t="str">
        <f t="shared" si="1"/>
        <v>O'Reilly</v>
      </c>
      <c r="D46" t="str">
        <f t="shared" si="2"/>
        <v>Tony Bourke</v>
      </c>
      <c r="E46" s="3" t="str">
        <f t="shared" si="3"/>
        <v/>
      </c>
      <c r="F46" t="str">
        <f t="shared" si="4"/>
        <v>.pdf</v>
      </c>
      <c r="G46">
        <f t="shared" si="5"/>
        <v>59</v>
      </c>
      <c r="H46" s="3">
        <f>LEN(Table1[[#This Row],[Auteur]])</f>
        <v>11</v>
      </c>
      <c r="I46" s="3" t="str">
        <f t="shared" si="6"/>
        <v>Server Load Balancing</v>
      </c>
    </row>
    <row r="47" spans="1:9" x14ac:dyDescent="0.45">
      <c r="A47" t="s">
        <v>359</v>
      </c>
      <c r="B47" t="str">
        <f t="shared" si="0"/>
        <v>?</v>
      </c>
      <c r="C47" t="str">
        <f t="shared" si="1"/>
        <v>Eyrolles</v>
      </c>
      <c r="D47" t="str">
        <f t="shared" si="2"/>
        <v>Lehmann, Varano, Wetzel</v>
      </c>
      <c r="E47" s="3" t="str">
        <f t="shared" si="3"/>
        <v/>
      </c>
      <c r="F47" t="str">
        <f t="shared" si="4"/>
        <v>.pdf</v>
      </c>
      <c r="G47">
        <f t="shared" si="5"/>
        <v>72</v>
      </c>
      <c r="H47" s="3">
        <f>LEN(Table1[[#This Row],[Auteur]])</f>
        <v>23</v>
      </c>
      <c r="I47" s="3" t="str">
        <f t="shared" si="6"/>
        <v>Sketchup pour les architectes</v>
      </c>
    </row>
    <row r="48" spans="1:9" x14ac:dyDescent="0.45">
      <c r="A48" t="s">
        <v>360</v>
      </c>
      <c r="B48" t="str">
        <f t="shared" si="0"/>
        <v>?</v>
      </c>
      <c r="C48" t="str">
        <f t="shared" si="1"/>
        <v>?</v>
      </c>
      <c r="D48" t="str">
        <f t="shared" si="2"/>
        <v>?</v>
      </c>
      <c r="E48" s="3" t="str">
        <f t="shared" si="3"/>
        <v/>
      </c>
      <c r="F48" t="str">
        <f t="shared" si="4"/>
        <v>.zip</v>
      </c>
      <c r="G48">
        <f t="shared" si="5"/>
        <v>48</v>
      </c>
      <c r="H48" s="3">
        <f>LEN(Table1[[#This Row],[Auteur]])</f>
        <v>1</v>
      </c>
      <c r="I48" s="3" t="str">
        <f t="shared" si="6"/>
        <v>Sketchup pour les architectes, Extension web</v>
      </c>
    </row>
    <row r="49" spans="1:9" x14ac:dyDescent="0.45">
      <c r="A49" t="s">
        <v>84</v>
      </c>
      <c r="B49" t="str">
        <f t="shared" si="0"/>
        <v>2014</v>
      </c>
      <c r="C49" t="str">
        <f t="shared" si="1"/>
        <v>Dunod</v>
      </c>
      <c r="D49" t="str">
        <f t="shared" si="2"/>
        <v>Méziane Boudellal</v>
      </c>
      <c r="E49" s="3" t="str">
        <f t="shared" si="3"/>
        <v/>
      </c>
      <c r="F49" s="3" t="str">
        <f t="shared" si="4"/>
        <v>.pdf</v>
      </c>
      <c r="G49">
        <f t="shared" si="5"/>
        <v>109</v>
      </c>
      <c r="H49" s="3">
        <f>LEN(Table1[[#This Row],[Auteur]])</f>
        <v>17</v>
      </c>
      <c r="I49" s="3" t="str">
        <f t="shared" si="6"/>
        <v>Smart home, Habitat connecté, installations domotiques et multimédia</v>
      </c>
    </row>
    <row r="50" spans="1:9" x14ac:dyDescent="0.45">
      <c r="A50" t="s">
        <v>361</v>
      </c>
      <c r="B50" t="str">
        <f t="shared" si="0"/>
        <v>2012</v>
      </c>
      <c r="C50" t="str">
        <f t="shared" si="1"/>
        <v>Eyrolles</v>
      </c>
      <c r="D50" t="str">
        <f t="shared" si="2"/>
        <v>Karen McGrane</v>
      </c>
      <c r="E50" s="3" t="str">
        <f t="shared" si="3"/>
        <v/>
      </c>
      <c r="F50" t="str">
        <f t="shared" si="4"/>
        <v>.pdf</v>
      </c>
      <c r="G50">
        <f t="shared" si="5"/>
        <v>67</v>
      </c>
      <c r="H50" s="3">
        <f>LEN(Table1[[#This Row],[Auteur]])</f>
        <v>13</v>
      </c>
      <c r="I50" s="3" t="str">
        <f t="shared" si="6"/>
        <v>Stratégie de contenu mobile</v>
      </c>
    </row>
    <row r="51" spans="1:9" x14ac:dyDescent="0.45">
      <c r="A51" t="s">
        <v>362</v>
      </c>
      <c r="B51" t="str">
        <f t="shared" si="0"/>
        <v>2002</v>
      </c>
      <c r="C51" t="str">
        <f t="shared" si="1"/>
        <v>O'Reilly</v>
      </c>
      <c r="D51" t="str">
        <f t="shared" si="2"/>
        <v>J. David Eisenberg</v>
      </c>
      <c r="E51" t="str">
        <f t="shared" si="3"/>
        <v/>
      </c>
      <c r="F51" t="str">
        <f t="shared" si="4"/>
        <v>.pdf</v>
      </c>
      <c r="G51">
        <f t="shared" si="5"/>
        <v>59</v>
      </c>
      <c r="H51" s="3">
        <f>LEN(Table1[[#This Row],[Auteur]])</f>
        <v>18</v>
      </c>
      <c r="I51" s="3" t="str">
        <f t="shared" si="6"/>
        <v>SVG Essentials</v>
      </c>
    </row>
    <row r="52" spans="1:9" x14ac:dyDescent="0.45">
      <c r="A52" t="s">
        <v>363</v>
      </c>
      <c r="B52" t="str">
        <f t="shared" si="0"/>
        <v>2002</v>
      </c>
      <c r="C52" t="str">
        <f t="shared" si="1"/>
        <v>No Starch</v>
      </c>
      <c r="D52" t="str">
        <f t="shared" si="2"/>
        <v>Brian Ward</v>
      </c>
      <c r="E52" s="3" t="str">
        <f t="shared" si="3"/>
        <v/>
      </c>
      <c r="F52" s="3" t="str">
        <f t="shared" si="4"/>
        <v>.pdf</v>
      </c>
      <c r="G52">
        <f t="shared" si="5"/>
        <v>98</v>
      </c>
      <c r="H52" s="3">
        <f>LEN(Table1[[#This Row],[Auteur]])</f>
        <v>10</v>
      </c>
      <c r="I52" s="3" t="str">
        <f t="shared" si="6"/>
        <v>The Book of VMware, The Complete Guide to VMware Workstation</v>
      </c>
    </row>
    <row r="53" spans="1:9" x14ac:dyDescent="0.45">
      <c r="A53" t="s">
        <v>364</v>
      </c>
      <c r="B53" t="str">
        <f t="shared" si="0"/>
        <v>2012</v>
      </c>
      <c r="C53" t="str">
        <f t="shared" si="1"/>
        <v>Eyrolles</v>
      </c>
      <c r="D53" t="str">
        <f t="shared" si="2"/>
        <v>Thierry Buanic</v>
      </c>
      <c r="E53" s="3" t="str">
        <f t="shared" si="3"/>
        <v/>
      </c>
      <c r="F53" t="str">
        <f t="shared" si="4"/>
        <v>.pdf</v>
      </c>
      <c r="G53">
        <f t="shared" si="5"/>
        <v>81</v>
      </c>
      <c r="H53" s="3">
        <f>LEN(Table1[[#This Row],[Auteur]])</f>
        <v>14</v>
      </c>
      <c r="I53" s="3" t="str">
        <f t="shared" si="6"/>
        <v>Tout sur Adobe Reader X et Acrobat X Pro</v>
      </c>
    </row>
    <row r="54" spans="1:9" x14ac:dyDescent="0.45">
      <c r="A54" t="s">
        <v>365</v>
      </c>
      <c r="B54" t="str">
        <f t="shared" si="0"/>
        <v>2013</v>
      </c>
      <c r="C54" t="str">
        <f t="shared" si="1"/>
        <v>Elsevier Masson</v>
      </c>
      <c r="D54" t="str">
        <f t="shared" si="2"/>
        <v>Olivier Hélénon</v>
      </c>
      <c r="E54" s="3" t="str">
        <f t="shared" si="3"/>
        <v/>
      </c>
      <c r="F54" s="3" t="str">
        <f t="shared" si="4"/>
        <v>.pdf</v>
      </c>
      <c r="G54">
        <f t="shared" si="5"/>
        <v>123</v>
      </c>
      <c r="H54" s="3">
        <f>LEN(Table1[[#This Row],[Auteur]])</f>
        <v>15</v>
      </c>
      <c r="I54" s="3" t="str">
        <f t="shared" si="6"/>
        <v>Traitement de l'image de la numérisation à l'archivage et la communication</v>
      </c>
    </row>
    <row r="55" spans="1:9" x14ac:dyDescent="0.45">
      <c r="A55" t="s">
        <v>43</v>
      </c>
      <c r="B55" t="str">
        <f t="shared" si="0"/>
        <v>2016</v>
      </c>
      <c r="C55" t="str">
        <f t="shared" si="1"/>
        <v>Springer</v>
      </c>
      <c r="D55" t="str">
        <f t="shared" si="2"/>
        <v>R.M.R. Lewis</v>
      </c>
      <c r="E55" s="3" t="str">
        <f t="shared" si="3"/>
        <v/>
      </c>
      <c r="F55" t="str">
        <f t="shared" si="4"/>
        <v>.pdf</v>
      </c>
      <c r="G55">
        <f t="shared" si="5"/>
        <v>94</v>
      </c>
      <c r="H55" s="3">
        <f>LEN(Table1[[#This Row],[Auteur]])</f>
        <v>12</v>
      </c>
      <c r="I55" s="3" t="str">
        <f t="shared" si="6"/>
        <v>A Guide to Graph Colouring, Algorithms and Applications</v>
      </c>
    </row>
    <row r="56" spans="1:9" x14ac:dyDescent="0.45">
      <c r="A56" t="s">
        <v>44</v>
      </c>
      <c r="B56" t="str">
        <f t="shared" si="0"/>
        <v>2016</v>
      </c>
      <c r="C56" t="str">
        <f t="shared" si="1"/>
        <v>Springer</v>
      </c>
      <c r="D56" t="str">
        <f t="shared" si="2"/>
        <v>Eric C.R. Hehner</v>
      </c>
      <c r="E56" s="3" t="str">
        <f t="shared" si="3"/>
        <v/>
      </c>
      <c r="F56" t="str">
        <f t="shared" si="4"/>
        <v>.pdf</v>
      </c>
      <c r="G56">
        <f t="shared" si="5"/>
        <v>76</v>
      </c>
      <c r="H56" s="3">
        <f>LEN(Table1[[#This Row],[Auteur]])</f>
        <v>16</v>
      </c>
      <c r="I56" s="3" t="str">
        <f t="shared" si="6"/>
        <v>A Practical Theory of Programming</v>
      </c>
    </row>
    <row r="57" spans="1:9" x14ac:dyDescent="0.45">
      <c r="A57" t="s">
        <v>536</v>
      </c>
      <c r="B57" t="str">
        <f t="shared" si="0"/>
        <v>2008</v>
      </c>
      <c r="C57" t="str">
        <f t="shared" si="1"/>
        <v>Cambridge</v>
      </c>
      <c r="D57" t="str">
        <f t="shared" si="2"/>
        <v>Peter Brass</v>
      </c>
      <c r="E57" s="3" t="str">
        <f t="shared" si="3"/>
        <v/>
      </c>
      <c r="F57" s="3" t="str">
        <f t="shared" si="4"/>
        <v>.pdf</v>
      </c>
      <c r="G57" s="3">
        <f t="shared" si="5"/>
        <v>63</v>
      </c>
      <c r="H57" s="3">
        <f>LEN(Table1[[#This Row],[Auteur]])</f>
        <v>11</v>
      </c>
      <c r="I57" s="3" t="str">
        <f t="shared" si="6"/>
        <v>Advanced Data Structures</v>
      </c>
    </row>
    <row r="58" spans="1:9" x14ac:dyDescent="0.45">
      <c r="A58" t="s">
        <v>534</v>
      </c>
      <c r="B58" t="str">
        <f t="shared" si="0"/>
        <v>2006</v>
      </c>
      <c r="C58" t="str">
        <f t="shared" si="1"/>
        <v>Pearson</v>
      </c>
      <c r="D58" t="str">
        <f t="shared" si="2"/>
        <v>John Kleinberg, Éva Tardos</v>
      </c>
      <c r="E58" s="3" t="str">
        <f t="shared" si="3"/>
        <v>Scan</v>
      </c>
      <c r="F58" s="3" t="str">
        <f t="shared" si="4"/>
        <v>.pdf</v>
      </c>
      <c r="G58" s="3">
        <f t="shared" si="5"/>
        <v>75</v>
      </c>
      <c r="H58" s="3">
        <f>LEN(Table1[[#This Row],[Auteur]])</f>
        <v>26</v>
      </c>
      <c r="I58" s="3" t="str">
        <f t="shared" si="6"/>
        <v>Algorithm Design</v>
      </c>
    </row>
    <row r="59" spans="1:9" x14ac:dyDescent="0.45">
      <c r="A59" t="s">
        <v>493</v>
      </c>
      <c r="B59" t="str">
        <f t="shared" si="0"/>
        <v>2002</v>
      </c>
      <c r="C59" t="str">
        <f t="shared" si="1"/>
        <v>Springer</v>
      </c>
      <c r="D59" t="str">
        <f t="shared" si="2"/>
        <v>M. Penttonen, E. Meineche Schmidt</v>
      </c>
      <c r="E59" s="3" t="str">
        <f t="shared" si="3"/>
        <v/>
      </c>
      <c r="F59" s="3" t="str">
        <f t="shared" si="4"/>
        <v>.pdf</v>
      </c>
      <c r="G59">
        <f t="shared" si="5"/>
        <v>87</v>
      </c>
      <c r="H59" s="3">
        <f>LEN(Table1[[#This Row],[Auteur]])</f>
        <v>33</v>
      </c>
      <c r="I59" s="3" t="str">
        <f t="shared" si="6"/>
        <v>Algorithm Theory, SWAT 2002</v>
      </c>
    </row>
    <row r="60" spans="1:9" x14ac:dyDescent="0.45">
      <c r="A60" t="s">
        <v>45</v>
      </c>
      <c r="B60" t="str">
        <f t="shared" si="0"/>
        <v>2008</v>
      </c>
      <c r="C60" t="str">
        <f t="shared" si="1"/>
        <v>?</v>
      </c>
      <c r="D60" t="str">
        <f t="shared" si="2"/>
        <v>Christophe Darmengeat</v>
      </c>
      <c r="E60" s="3" t="str">
        <f t="shared" si="3"/>
        <v/>
      </c>
      <c r="F60" t="str">
        <f t="shared" si="4"/>
        <v>.pdf</v>
      </c>
      <c r="G60">
        <f t="shared" si="5"/>
        <v>82</v>
      </c>
      <c r="H60" s="3">
        <f>LEN(Table1[[#This Row],[Auteur]])</f>
        <v>21</v>
      </c>
      <c r="I60" s="3" t="str">
        <f t="shared" si="6"/>
        <v>Algorithmique et programmation pour non-matheux</v>
      </c>
    </row>
    <row r="61" spans="1:9" x14ac:dyDescent="0.45">
      <c r="A61" t="s">
        <v>376</v>
      </c>
      <c r="B61" t="str">
        <f t="shared" si="0"/>
        <v>2009</v>
      </c>
      <c r="C61" t="str">
        <f t="shared" si="1"/>
        <v>ENI</v>
      </c>
      <c r="D61" t="str">
        <f t="shared" si="2"/>
        <v>Christophe Haro</v>
      </c>
      <c r="E61" s="3" t="str">
        <f t="shared" si="3"/>
        <v>Dump</v>
      </c>
      <c r="F61" t="str">
        <f t="shared" si="4"/>
        <v>.pdf</v>
      </c>
      <c r="G61">
        <f t="shared" si="5"/>
        <v>83</v>
      </c>
      <c r="H61" s="3">
        <f>LEN(Table1[[#This Row],[Auteur]])</f>
        <v>15</v>
      </c>
      <c r="I61" s="3" t="str">
        <f t="shared" si="6"/>
        <v>Algorithmique, Raisonner pour concevoir</v>
      </c>
    </row>
    <row r="62" spans="1:9" x14ac:dyDescent="0.45">
      <c r="A62" t="s">
        <v>495</v>
      </c>
      <c r="B62" t="str">
        <f t="shared" si="0"/>
        <v>2007</v>
      </c>
      <c r="C62" t="str">
        <f t="shared" si="1"/>
        <v>ENI</v>
      </c>
      <c r="D62" t="str">
        <f t="shared" si="2"/>
        <v>Sébastien Rohaut</v>
      </c>
      <c r="E62" s="3" t="str">
        <f t="shared" si="3"/>
        <v>Dump</v>
      </c>
      <c r="F62" s="3" t="str">
        <f t="shared" si="4"/>
        <v>.pdf</v>
      </c>
      <c r="G62">
        <f t="shared" si="5"/>
        <v>119</v>
      </c>
      <c r="H62" s="3">
        <f>LEN(Table1[[#This Row],[Auteur]])</f>
        <v>16</v>
      </c>
      <c r="I62" s="3" t="str">
        <f t="shared" si="6"/>
        <v>Algorithmique, Techniques fondamentales de programmation, Exemples en Java</v>
      </c>
    </row>
    <row r="63" spans="1:9" x14ac:dyDescent="0.45">
      <c r="A63" t="s">
        <v>496</v>
      </c>
      <c r="B63" t="str">
        <f t="shared" si="0"/>
        <v>2009</v>
      </c>
      <c r="C63" t="str">
        <f t="shared" si="1"/>
        <v>ENI</v>
      </c>
      <c r="D63" t="str">
        <f t="shared" si="2"/>
        <v>Sébastien Rohaut</v>
      </c>
      <c r="E63" s="3" t="str">
        <f t="shared" si="3"/>
        <v>Dump</v>
      </c>
      <c r="F63" t="str">
        <f t="shared" si="4"/>
        <v>.pdf</v>
      </c>
      <c r="G63">
        <f t="shared" si="5"/>
        <v>118</v>
      </c>
      <c r="H63" s="3">
        <f>LEN(Table1[[#This Row],[Auteur]])</f>
        <v>16</v>
      </c>
      <c r="I63" s="3" t="str">
        <f t="shared" si="6"/>
        <v>Algorithmique, Techniques fondamentales de programmation, Exemples en PHP</v>
      </c>
    </row>
    <row r="64" spans="1:9" x14ac:dyDescent="0.45">
      <c r="A64" t="s">
        <v>46</v>
      </c>
      <c r="B64" t="str">
        <f t="shared" si="0"/>
        <v>2011</v>
      </c>
      <c r="C64" t="str">
        <f t="shared" si="1"/>
        <v>Addison-Wesley</v>
      </c>
      <c r="D64" t="str">
        <f t="shared" si="2"/>
        <v>Robert Sedgewick, Kevin Wayne</v>
      </c>
      <c r="E64" s="3" t="str">
        <f t="shared" si="3"/>
        <v/>
      </c>
      <c r="F64" t="str">
        <f t="shared" si="4"/>
        <v>.pdf</v>
      </c>
      <c r="G64">
        <f t="shared" si="5"/>
        <v>80</v>
      </c>
      <c r="H64" s="3">
        <f>LEN(Table1[[#This Row],[Auteur]])</f>
        <v>29</v>
      </c>
      <c r="I64" s="3" t="str">
        <f t="shared" si="6"/>
        <v>Algorithms</v>
      </c>
    </row>
    <row r="65" spans="1:9" x14ac:dyDescent="0.45">
      <c r="A65" t="s">
        <v>47</v>
      </c>
      <c r="B65" t="str">
        <f t="shared" si="0"/>
        <v>1984</v>
      </c>
      <c r="C65" t="str">
        <f t="shared" si="1"/>
        <v>Addison-Wesley</v>
      </c>
      <c r="D65" t="str">
        <f t="shared" si="2"/>
        <v>Robert Sedgewick</v>
      </c>
      <c r="E65" s="3" t="str">
        <f t="shared" si="3"/>
        <v/>
      </c>
      <c r="F65" t="str">
        <f t="shared" si="4"/>
        <v>.pdf</v>
      </c>
      <c r="G65">
        <f t="shared" si="5"/>
        <v>59</v>
      </c>
      <c r="H65" s="3">
        <f>LEN(Table1[[#This Row],[Auteur]])</f>
        <v>16</v>
      </c>
      <c r="I65" s="3" t="str">
        <f t="shared" si="6"/>
        <v>Algorithms</v>
      </c>
    </row>
    <row r="66" spans="1:9" x14ac:dyDescent="0.45">
      <c r="A66" t="s">
        <v>48</v>
      </c>
      <c r="B66" t="str">
        <f t="shared" ref="B66:B129" si="7">DatePub(A66)</f>
        <v>1985</v>
      </c>
      <c r="C66" t="str">
        <f t="shared" ref="C66:C129" si="8">Editeur(A66)</f>
        <v>?</v>
      </c>
      <c r="D66" t="str">
        <f t="shared" ref="D66:D129" si="9">Auteur(A66)</f>
        <v>Niklaus Wirth</v>
      </c>
      <c r="E66" s="3" t="str">
        <f t="shared" ref="E66:E129" si="10">ExtraInfo(A66)</f>
        <v/>
      </c>
      <c r="F66" t="str">
        <f t="shared" ref="F66:F129" si="11">Extension(A66)</f>
        <v>.pdf</v>
      </c>
      <c r="G66">
        <f t="shared" ref="G66:G129" si="12">LenFileName(A66)</f>
        <v>57</v>
      </c>
      <c r="H66" s="3">
        <f>LEN(Table1[[#This Row],[Auteur]])</f>
        <v>13</v>
      </c>
      <c r="I66" s="3" t="str">
        <f t="shared" si="6"/>
        <v>Algorithms and Data Structures</v>
      </c>
    </row>
    <row r="67" spans="1:9" x14ac:dyDescent="0.45">
      <c r="A67" t="s">
        <v>135</v>
      </c>
      <c r="B67" t="str">
        <f t="shared" si="7"/>
        <v>1986</v>
      </c>
      <c r="C67" t="str">
        <f t="shared" si="8"/>
        <v>Prentice Hall</v>
      </c>
      <c r="D67" t="str">
        <f t="shared" si="9"/>
        <v>Niklaus Wirth</v>
      </c>
      <c r="E67" s="3" t="str">
        <f t="shared" si="10"/>
        <v/>
      </c>
      <c r="F67" t="str">
        <f t="shared" si="11"/>
        <v>.pdf</v>
      </c>
      <c r="G67">
        <f t="shared" si="12"/>
        <v>75</v>
      </c>
      <c r="H67" s="3">
        <f>LEN(Table1[[#This Row],[Auteur]])</f>
        <v>13</v>
      </c>
      <c r="I67" s="3" t="str">
        <f t="shared" ref="I67:I99" si="13">Title(A67)</f>
        <v>Algorithms and Data Structures</v>
      </c>
    </row>
    <row r="68" spans="1:9" x14ac:dyDescent="0.45">
      <c r="A68" t="s">
        <v>377</v>
      </c>
      <c r="B68" t="str">
        <f t="shared" si="7"/>
        <v>1993</v>
      </c>
      <c r="C68" t="str">
        <f t="shared" si="8"/>
        <v>CRC Press</v>
      </c>
      <c r="D68" t="str">
        <f t="shared" si="9"/>
        <v>Alan Parker</v>
      </c>
      <c r="E68" s="3" t="str">
        <f t="shared" si="10"/>
        <v>Dump</v>
      </c>
      <c r="F68" t="str">
        <f t="shared" si="11"/>
        <v>.pdf</v>
      </c>
      <c r="G68">
        <f t="shared" si="12"/>
        <v>83</v>
      </c>
      <c r="H68" s="3">
        <f>LEN(Table1[[#This Row],[Auteur]])</f>
        <v>11</v>
      </c>
      <c r="I68" s="3" t="str">
        <f t="shared" si="13"/>
        <v>Algorithms and Data Structures in C++</v>
      </c>
    </row>
    <row r="69" spans="1:9" x14ac:dyDescent="0.45">
      <c r="A69" t="s">
        <v>49</v>
      </c>
      <c r="B69" t="str">
        <f t="shared" si="7"/>
        <v>2011</v>
      </c>
      <c r="C69" t="str">
        <f t="shared" si="8"/>
        <v>Wiley</v>
      </c>
      <c r="D69" t="str">
        <f t="shared" si="9"/>
        <v>Fayez Gebali</v>
      </c>
      <c r="E69" s="3" t="str">
        <f t="shared" si="10"/>
        <v/>
      </c>
      <c r="F69" t="str">
        <f t="shared" si="11"/>
        <v>.pdf</v>
      </c>
      <c r="G69">
        <f t="shared" si="12"/>
        <v>69</v>
      </c>
      <c r="H69" s="3">
        <f>LEN(Table1[[#This Row],[Auteur]])</f>
        <v>12</v>
      </c>
      <c r="I69" s="3" t="str">
        <f t="shared" si="13"/>
        <v>Algorithms and Parallel Computing</v>
      </c>
    </row>
    <row r="70" spans="1:9" x14ac:dyDescent="0.45">
      <c r="A70" t="s">
        <v>497</v>
      </c>
      <c r="B70" t="str">
        <f t="shared" si="7"/>
        <v>2010</v>
      </c>
      <c r="C70" t="str">
        <f t="shared" si="8"/>
        <v>CreateSpace</v>
      </c>
      <c r="D70" t="str">
        <f t="shared" si="9"/>
        <v>Adnan Aziz, Amit Prakash</v>
      </c>
      <c r="E70" s="3" t="str">
        <f t="shared" si="10"/>
        <v/>
      </c>
      <c r="F70" t="str">
        <f t="shared" si="11"/>
        <v>.pdf</v>
      </c>
      <c r="G70">
        <f t="shared" si="12"/>
        <v>79</v>
      </c>
      <c r="H70" s="3">
        <f>LEN(Table1[[#This Row],[Auteur]])</f>
        <v>24</v>
      </c>
      <c r="I70" s="3" t="str">
        <f t="shared" si="13"/>
        <v>Algorithms for Interviews</v>
      </c>
    </row>
    <row r="71" spans="1:9" x14ac:dyDescent="0.45">
      <c r="A71" t="s">
        <v>498</v>
      </c>
      <c r="B71" t="str">
        <f t="shared" si="7"/>
        <v>1996</v>
      </c>
      <c r="C71" t="str">
        <f t="shared" si="8"/>
        <v>Marcel Dekker</v>
      </c>
      <c r="D71" t="str">
        <f t="shared" si="9"/>
        <v>Vasile Sima</v>
      </c>
      <c r="E71" s="3" t="str">
        <f t="shared" si="10"/>
        <v/>
      </c>
      <c r="F71" t="str">
        <f t="shared" si="11"/>
        <v>.djvu</v>
      </c>
      <c r="G71">
        <f t="shared" si="12"/>
        <v>88</v>
      </c>
      <c r="H71" s="3">
        <f>LEN(Table1[[#This Row],[Auteur]])</f>
        <v>11</v>
      </c>
      <c r="I71" s="3" t="str">
        <f t="shared" si="13"/>
        <v>Algorithms for Linear-quadratic Optimization</v>
      </c>
    </row>
    <row r="72" spans="1:9" x14ac:dyDescent="0.45">
      <c r="A72" t="s">
        <v>1979</v>
      </c>
      <c r="B72" t="str">
        <f t="shared" si="7"/>
        <v>2009</v>
      </c>
      <c r="C72" t="str">
        <f t="shared" si="8"/>
        <v>Wiley</v>
      </c>
      <c r="D72" t="str">
        <f t="shared" si="9"/>
        <v>Kostas Terzidis</v>
      </c>
      <c r="E72" s="3" t="str">
        <f t="shared" si="10"/>
        <v/>
      </c>
      <c r="F72" t="str">
        <f t="shared" si="11"/>
        <v>.pdf</v>
      </c>
      <c r="G72">
        <f t="shared" si="12"/>
        <v>97</v>
      </c>
      <c r="H72" s="3">
        <f>LEN(Table1[[#This Row],[Auteur]])</f>
        <v>15</v>
      </c>
      <c r="I72" s="3" t="str">
        <f t="shared" si="13"/>
        <v>Algorithms for Visual Design Using the Processing Language</v>
      </c>
    </row>
    <row r="73" spans="1:9" x14ac:dyDescent="0.45">
      <c r="A73" t="s">
        <v>50</v>
      </c>
      <c r="B73" t="str">
        <f t="shared" si="7"/>
        <v>2009</v>
      </c>
      <c r="C73" t="str">
        <f t="shared" si="8"/>
        <v>O'Reilly</v>
      </c>
      <c r="D73" t="str">
        <f t="shared" si="9"/>
        <v>George T. Heineman, Gary Pollice, Stanley Selkow</v>
      </c>
      <c r="E73" s="3" t="str">
        <f t="shared" si="10"/>
        <v/>
      </c>
      <c r="F73" t="str">
        <f t="shared" si="11"/>
        <v>.pdf</v>
      </c>
      <c r="G73">
        <f t="shared" si="12"/>
        <v>126</v>
      </c>
      <c r="H73" s="3">
        <f>LEN(Table1[[#This Row],[Auteur]])</f>
        <v>48</v>
      </c>
      <c r="I73" s="3" t="str">
        <f t="shared" si="13"/>
        <v>Algorithms in a Nutshell, A Desktop Quick Reference</v>
      </c>
    </row>
    <row r="74" spans="1:9" x14ac:dyDescent="0.45">
      <c r="A74" t="s">
        <v>1980</v>
      </c>
      <c r="B74" t="str">
        <f t="shared" si="7"/>
        <v>1990</v>
      </c>
      <c r="C74" t="str">
        <f t="shared" si="8"/>
        <v>Addison-Wesley</v>
      </c>
      <c r="D74" t="str">
        <f t="shared" si="9"/>
        <v>Robert Sedgewick</v>
      </c>
      <c r="E74" s="3" t="str">
        <f t="shared" si="10"/>
        <v/>
      </c>
      <c r="F74" s="3" t="str">
        <f t="shared" si="11"/>
        <v>.pdf</v>
      </c>
      <c r="G74">
        <f t="shared" si="12"/>
        <v>64</v>
      </c>
      <c r="H74" s="3">
        <f>LEN(Table1[[#This Row],[Auteur]])</f>
        <v>16</v>
      </c>
      <c r="I74" s="3" t="str">
        <f t="shared" si="13"/>
        <v>Algorithms in C</v>
      </c>
    </row>
    <row r="75" spans="1:9" x14ac:dyDescent="0.45">
      <c r="A75" t="s">
        <v>51</v>
      </c>
      <c r="B75" t="str">
        <f t="shared" si="7"/>
        <v>1998</v>
      </c>
      <c r="C75" t="str">
        <f t="shared" si="8"/>
        <v>Addison-Wesley</v>
      </c>
      <c r="D75" t="str">
        <f t="shared" si="9"/>
        <v>Robert Sedgewick</v>
      </c>
      <c r="E75" s="3" t="str">
        <f t="shared" si="10"/>
        <v/>
      </c>
      <c r="F75" t="str">
        <f t="shared" si="11"/>
        <v>.pdf</v>
      </c>
      <c r="G75">
        <f t="shared" si="12"/>
        <v>83</v>
      </c>
      <c r="H75" s="3">
        <f>LEN(Table1[[#This Row],[Auteur]])</f>
        <v>16</v>
      </c>
      <c r="I75" s="3" t="str">
        <f t="shared" si="13"/>
        <v>Algorithms in C, Parts 1-4</v>
      </c>
    </row>
    <row r="76" spans="1:9" x14ac:dyDescent="0.45">
      <c r="A76" t="s">
        <v>537</v>
      </c>
      <c r="B76" t="str">
        <f t="shared" si="7"/>
        <v>1999</v>
      </c>
      <c r="C76" t="str">
        <f t="shared" si="8"/>
        <v>Addison-Wesley</v>
      </c>
      <c r="D76" t="str">
        <f t="shared" si="9"/>
        <v>Fethi Rabhi, Guy Lapalme</v>
      </c>
      <c r="E76" s="3" t="str">
        <f t="shared" si="10"/>
        <v/>
      </c>
      <c r="F76" s="3" t="str">
        <f t="shared" si="11"/>
        <v>.djvu</v>
      </c>
      <c r="G76">
        <f t="shared" si="12"/>
        <v>111</v>
      </c>
      <c r="H76" s="3">
        <f>LEN(Table1[[#This Row],[Auteur]])</f>
        <v>24</v>
      </c>
      <c r="I76" s="3" t="str">
        <f t="shared" si="13"/>
        <v>Algorithms, A Functional Programming Approach</v>
      </c>
    </row>
    <row r="77" spans="1:9" x14ac:dyDescent="0.45">
      <c r="A77" t="s">
        <v>52</v>
      </c>
      <c r="B77" t="str">
        <f t="shared" si="7"/>
        <v>2012</v>
      </c>
      <c r="C77" t="str">
        <f t="shared" si="8"/>
        <v>World Scientific</v>
      </c>
      <c r="D77" t="str">
        <f t="shared" si="9"/>
        <v>Michael Soltys</v>
      </c>
      <c r="E77" s="3" t="str">
        <f t="shared" si="10"/>
        <v/>
      </c>
      <c r="F77" s="3" t="str">
        <f t="shared" si="11"/>
        <v>.pdf</v>
      </c>
      <c r="G77">
        <f t="shared" si="12"/>
        <v>102</v>
      </c>
      <c r="H77" s="3">
        <f>LEN(Table1[[#This Row],[Auteur]])</f>
        <v>14</v>
      </c>
      <c r="I77" s="3" t="str">
        <f t="shared" si="13"/>
        <v>An Introduction to the Analysis of Algorithms</v>
      </c>
    </row>
    <row r="78" spans="1:9" x14ac:dyDescent="0.45">
      <c r="A78" t="s">
        <v>261</v>
      </c>
      <c r="B78" t="str">
        <f t="shared" si="7"/>
        <v>2013</v>
      </c>
      <c r="C78" t="str">
        <f t="shared" si="8"/>
        <v>Addison-Wesley</v>
      </c>
      <c r="D78" t="str">
        <f t="shared" si="9"/>
        <v>Robert Sedgewick, Philippe Flajolet</v>
      </c>
      <c r="E78" s="3" t="str">
        <f t="shared" si="10"/>
        <v/>
      </c>
      <c r="F78" s="3" t="str">
        <f t="shared" si="11"/>
        <v>.pdf</v>
      </c>
      <c r="G78">
        <f t="shared" si="12"/>
        <v>121</v>
      </c>
      <c r="H78" s="3">
        <f>LEN(Table1[[#This Row],[Auteur]])</f>
        <v>35</v>
      </c>
      <c r="I78" s="3" t="str">
        <f t="shared" si="13"/>
        <v>An Introduction to the Analysis of Algorithms</v>
      </c>
    </row>
    <row r="79" spans="1:9" x14ac:dyDescent="0.45">
      <c r="A79" t="s">
        <v>538</v>
      </c>
      <c r="B79" t="str">
        <f t="shared" si="7"/>
        <v>1989</v>
      </c>
      <c r="C79" t="str">
        <f t="shared" si="8"/>
        <v>Computer Science Press</v>
      </c>
      <c r="D79" t="str">
        <f t="shared" si="9"/>
        <v>Eitan M. Gurari</v>
      </c>
      <c r="E79" s="3" t="str">
        <f t="shared" si="10"/>
        <v>Webdump</v>
      </c>
      <c r="F79" t="str">
        <f t="shared" si="11"/>
        <v>.pdf</v>
      </c>
      <c r="G79">
        <f t="shared" si="12"/>
        <v>110</v>
      </c>
      <c r="H79" s="3">
        <f>LEN(Table1[[#This Row],[Auteur]])</f>
        <v>15</v>
      </c>
      <c r="I79" s="3" t="str">
        <f t="shared" si="13"/>
        <v>An Introduction to the Theory of Computation</v>
      </c>
    </row>
    <row r="80" spans="1:9" x14ac:dyDescent="0.45">
      <c r="A80" t="s">
        <v>539</v>
      </c>
      <c r="B80" t="str">
        <f t="shared" si="7"/>
        <v>2001</v>
      </c>
      <c r="C80" t="str">
        <f t="shared" si="8"/>
        <v>Jones and Bartlett</v>
      </c>
      <c r="D80" t="str">
        <f t="shared" si="9"/>
        <v>Jeffrey J. McConnell</v>
      </c>
      <c r="E80" s="3" t="str">
        <f t="shared" si="10"/>
        <v/>
      </c>
      <c r="F80" s="3" t="str">
        <f t="shared" si="11"/>
        <v>.pdf</v>
      </c>
      <c r="G80">
        <f t="shared" si="12"/>
        <v>108</v>
      </c>
      <c r="H80" s="3">
        <f>LEN(Table1[[#This Row],[Auteur]])</f>
        <v>20</v>
      </c>
      <c r="I80" s="3" t="str">
        <f t="shared" si="13"/>
        <v>Analysis of Algorithms, An Active Learning Approach</v>
      </c>
    </row>
    <row r="81" spans="1:9" x14ac:dyDescent="0.45">
      <c r="A81" t="s">
        <v>53</v>
      </c>
      <c r="B81" t="str">
        <f t="shared" si="7"/>
        <v>2008</v>
      </c>
      <c r="C81" t="str">
        <f t="shared" si="8"/>
        <v>Eyrolles</v>
      </c>
      <c r="D81" t="str">
        <f t="shared" si="9"/>
        <v>Christophe Dabancourt</v>
      </c>
      <c r="E81" s="3" t="str">
        <f t="shared" si="10"/>
        <v/>
      </c>
      <c r="F81" s="3" t="str">
        <f t="shared" si="11"/>
        <v>.pdf</v>
      </c>
      <c r="G81">
        <f t="shared" si="12"/>
        <v>110</v>
      </c>
      <c r="H81" s="3">
        <f>LEN(Table1[[#This Row],[Auteur]])</f>
        <v>21</v>
      </c>
      <c r="I81" s="3" t="str">
        <f t="shared" si="13"/>
        <v>Apprendre à programmer, Algorithmes et conception objet</v>
      </c>
    </row>
    <row r="82" spans="1:9" x14ac:dyDescent="0.45">
      <c r="A82" t="s">
        <v>54</v>
      </c>
      <c r="B82" t="str">
        <f t="shared" si="7"/>
        <v>2003</v>
      </c>
      <c r="C82" t="str">
        <f t="shared" si="8"/>
        <v>Jones and Bartlett Publishers</v>
      </c>
      <c r="D82" t="str">
        <f t="shared" si="9"/>
        <v>Nell Dale</v>
      </c>
      <c r="E82" s="3" t="str">
        <f t="shared" si="10"/>
        <v/>
      </c>
      <c r="F82" s="3" t="str">
        <f t="shared" si="11"/>
        <v>.pdf</v>
      </c>
      <c r="G82">
        <f t="shared" si="12"/>
        <v>89</v>
      </c>
      <c r="H82" s="3">
        <f>LEN(Table1[[#This Row],[Auteur]])</f>
        <v>9</v>
      </c>
      <c r="I82" s="3" t="str">
        <f t="shared" si="13"/>
        <v>C++ Plus Data Structures</v>
      </c>
    </row>
    <row r="83" spans="1:9" x14ac:dyDescent="0.45">
      <c r="A83" t="s">
        <v>499</v>
      </c>
      <c r="B83" t="str">
        <f t="shared" si="7"/>
        <v>2013</v>
      </c>
      <c r="C83" t="str">
        <f t="shared" si="8"/>
        <v>Bbv Software Services</v>
      </c>
      <c r="D83" t="str">
        <f t="shared" si="9"/>
        <v>Urs Enzler</v>
      </c>
      <c r="E83" s="3" t="str">
        <f t="shared" si="10"/>
        <v/>
      </c>
      <c r="F83" t="str">
        <f t="shared" si="11"/>
        <v>.pdf</v>
      </c>
      <c r="G83">
        <f t="shared" si="12"/>
        <v>77</v>
      </c>
      <c r="H83" s="3">
        <f>LEN(Table1[[#This Row],[Auteur]])</f>
        <v>10</v>
      </c>
      <c r="I83" s="3" t="str">
        <f t="shared" si="13"/>
        <v>Clean Code Cheat Sheet v2.1</v>
      </c>
    </row>
    <row r="84" spans="1:9" x14ac:dyDescent="0.45">
      <c r="A84" t="s">
        <v>500</v>
      </c>
      <c r="B84" t="str">
        <f t="shared" si="7"/>
        <v>2008</v>
      </c>
      <c r="C84" t="str">
        <f t="shared" si="8"/>
        <v>Developpez.com</v>
      </c>
      <c r="D84" t="str">
        <f t="shared" si="9"/>
        <v>Pierre Schwartz</v>
      </c>
      <c r="E84" s="3" t="str">
        <f t="shared" si="10"/>
        <v/>
      </c>
      <c r="F84" t="str">
        <f t="shared" si="11"/>
        <v>.pdf</v>
      </c>
      <c r="G84">
        <f t="shared" si="12"/>
        <v>67</v>
      </c>
      <c r="H84" s="3">
        <f>LEN(Table1[[#This Row],[Auteur]])</f>
        <v>15</v>
      </c>
      <c r="I84" s="3" t="str">
        <f t="shared" si="13"/>
        <v>Colonies de fourmis</v>
      </c>
    </row>
    <row r="85" spans="1:9" x14ac:dyDescent="0.45">
      <c r="A85" t="s">
        <v>540</v>
      </c>
      <c r="B85" t="str">
        <f t="shared" si="7"/>
        <v>2014</v>
      </c>
      <c r="C85" t="str">
        <f t="shared" si="8"/>
        <v>CRC Press</v>
      </c>
      <c r="D85" t="str">
        <f t="shared" si="9"/>
        <v>Tucker, Allen, Gonzalez, Teofilo, Diaz-Herrera, Jorge</v>
      </c>
      <c r="E85" s="3" t="str">
        <f t="shared" si="10"/>
        <v/>
      </c>
      <c r="F85" t="str">
        <f t="shared" si="11"/>
        <v>.pdf</v>
      </c>
      <c r="G85">
        <f t="shared" si="12"/>
        <v>107</v>
      </c>
      <c r="H85" s="3">
        <f>LEN(Table1[[#This Row],[Auteur]])</f>
        <v>53</v>
      </c>
      <c r="I85" s="3" t="str">
        <f t="shared" si="13"/>
        <v>Computing Handbook</v>
      </c>
    </row>
    <row r="86" spans="1:9" x14ac:dyDescent="0.45">
      <c r="A86" t="s">
        <v>55</v>
      </c>
      <c r="B86" t="str">
        <f t="shared" si="7"/>
        <v>2010</v>
      </c>
      <c r="C86" t="str">
        <f t="shared" si="8"/>
        <v>?</v>
      </c>
      <c r="D86" t="str">
        <f t="shared" si="9"/>
        <v>J. Stern</v>
      </c>
      <c r="E86" s="3" t="str">
        <f t="shared" si="10"/>
        <v/>
      </c>
      <c r="F86" s="3" t="str">
        <f t="shared" si="11"/>
        <v>.pdf</v>
      </c>
      <c r="G86">
        <f t="shared" si="12"/>
        <v>80</v>
      </c>
      <c r="H86" s="3">
        <f>LEN(Table1[[#This Row],[Auteur]])</f>
        <v>8</v>
      </c>
      <c r="I86" s="3" t="str">
        <f t="shared" si="13"/>
        <v>Cours Algorithmique et Programmation, Licence Informatique</v>
      </c>
    </row>
    <row r="87" spans="1:9" x14ac:dyDescent="0.45">
      <c r="A87" t="s">
        <v>541</v>
      </c>
      <c r="B87" t="str">
        <f t="shared" si="7"/>
        <v>2002</v>
      </c>
      <c r="C87" t="str">
        <f t="shared" si="8"/>
        <v>Addison-Wesley</v>
      </c>
      <c r="D87" t="str">
        <f t="shared" si="9"/>
        <v>Frank M Carrano, Janet J Prichard</v>
      </c>
      <c r="E87" s="3" t="str">
        <f t="shared" si="10"/>
        <v/>
      </c>
      <c r="F87" t="str">
        <f t="shared" si="11"/>
        <v>.pdf</v>
      </c>
      <c r="G87">
        <f t="shared" si="12"/>
        <v>138</v>
      </c>
      <c r="H87" s="3">
        <f>LEN(Table1[[#This Row],[Auteur]])</f>
        <v>33</v>
      </c>
      <c r="I87" s="3" t="str">
        <f t="shared" si="13"/>
        <v>Data Abstraction and Problem Solving with C++, Walls and Mirrors</v>
      </c>
    </row>
    <row r="88" spans="1:9" x14ac:dyDescent="0.45">
      <c r="A88" t="s">
        <v>542</v>
      </c>
      <c r="B88" t="str">
        <f t="shared" si="7"/>
        <v>2004</v>
      </c>
      <c r="C88" t="str">
        <f t="shared" si="8"/>
        <v>Springer</v>
      </c>
      <c r="D88" t="str">
        <f t="shared" si="9"/>
        <v>David Salomon</v>
      </c>
      <c r="E88" s="3" t="str">
        <f t="shared" si="10"/>
        <v/>
      </c>
      <c r="F88" t="str">
        <f t="shared" si="11"/>
        <v>.pdf</v>
      </c>
      <c r="G88">
        <f t="shared" si="12"/>
        <v>88</v>
      </c>
      <c r="H88" s="3">
        <f>LEN(Table1[[#This Row],[Auteur]])</f>
        <v>13</v>
      </c>
      <c r="I88" s="3" t="str">
        <f t="shared" si="13"/>
        <v>Data Compression, The Complete Reference</v>
      </c>
    </row>
    <row r="89" spans="1:9" x14ac:dyDescent="0.45">
      <c r="A89" t="s">
        <v>543</v>
      </c>
      <c r="B89" t="str">
        <f t="shared" si="7"/>
        <v>2001</v>
      </c>
      <c r="C89" t="str">
        <f t="shared" si="8"/>
        <v>?</v>
      </c>
      <c r="D89" t="str">
        <f t="shared" si="9"/>
        <v>Alfred V. Aho, John E. Hopcroft, Jeffrey D. Ullman</v>
      </c>
      <c r="E89" s="3" t="str">
        <f t="shared" si="10"/>
        <v>Dump</v>
      </c>
      <c r="F89" t="str">
        <f t="shared" si="11"/>
        <v>.pdf</v>
      </c>
      <c r="G89">
        <f t="shared" si="12"/>
        <v>101</v>
      </c>
      <c r="H89" s="3">
        <f>LEN(Table1[[#This Row],[Auteur]])</f>
        <v>50</v>
      </c>
      <c r="I89" s="3" t="str">
        <f t="shared" si="13"/>
        <v>Data Structures and Algorithms</v>
      </c>
    </row>
    <row r="90" spans="1:9" x14ac:dyDescent="0.45">
      <c r="A90" t="s">
        <v>56</v>
      </c>
      <c r="B90" t="str">
        <f t="shared" si="7"/>
        <v>2001</v>
      </c>
      <c r="C90" t="str">
        <f t="shared" si="8"/>
        <v>Thomson</v>
      </c>
      <c r="D90" t="str">
        <f t="shared" si="9"/>
        <v>Adam Drozdek</v>
      </c>
      <c r="E90" s="3" t="str">
        <f t="shared" si="10"/>
        <v/>
      </c>
      <c r="F90" s="3" t="str">
        <f t="shared" si="11"/>
        <v>.djvu</v>
      </c>
      <c r="G90" s="3">
        <f t="shared" si="12"/>
        <v>84</v>
      </c>
      <c r="H90" s="3">
        <f>LEN(Table1[[#This Row],[Auteur]])</f>
        <v>12</v>
      </c>
      <c r="I90" s="3" t="str">
        <f t="shared" si="13"/>
        <v>Data Structures and Algorithms in C++</v>
      </c>
    </row>
    <row r="91" spans="1:9" x14ac:dyDescent="0.45">
      <c r="A91" t="s">
        <v>57</v>
      </c>
      <c r="B91" t="str">
        <f t="shared" si="7"/>
        <v>2011</v>
      </c>
      <c r="C91" t="str">
        <f t="shared" si="8"/>
        <v>Wiley</v>
      </c>
      <c r="D91" t="str">
        <f t="shared" si="9"/>
        <v>Goodrich, Tamassia, Mount</v>
      </c>
      <c r="E91" s="3" t="str">
        <f t="shared" si="10"/>
        <v/>
      </c>
      <c r="F91" t="str">
        <f t="shared" si="11"/>
        <v>.pdf</v>
      </c>
      <c r="G91">
        <f t="shared" si="12"/>
        <v>94</v>
      </c>
      <c r="H91" s="3">
        <f>LEN(Table1[[#This Row],[Auteur]])</f>
        <v>25</v>
      </c>
      <c r="I91" s="3" t="str">
        <f t="shared" si="13"/>
        <v>Data Structures and Algorithms in C++</v>
      </c>
    </row>
    <row r="92" spans="1:9" x14ac:dyDescent="0.45">
      <c r="A92" t="s">
        <v>58</v>
      </c>
      <c r="B92" t="str">
        <f t="shared" si="7"/>
        <v>2005</v>
      </c>
      <c r="C92" t="str">
        <f t="shared" si="8"/>
        <v>Thomson</v>
      </c>
      <c r="D92" t="str">
        <f t="shared" si="9"/>
        <v>Adam Drozdek</v>
      </c>
      <c r="E92" s="3" t="str">
        <f t="shared" si="10"/>
        <v/>
      </c>
      <c r="F92" t="str">
        <f t="shared" si="11"/>
        <v>.pdf</v>
      </c>
      <c r="G92">
        <f t="shared" si="12"/>
        <v>84</v>
      </c>
      <c r="H92" s="3">
        <f>LEN(Table1[[#This Row],[Auteur]])</f>
        <v>12</v>
      </c>
      <c r="I92" s="3" t="str">
        <f t="shared" si="13"/>
        <v>Data Structures and Algorithms in Java</v>
      </c>
    </row>
    <row r="93" spans="1:9" x14ac:dyDescent="0.45">
      <c r="A93" t="s">
        <v>59</v>
      </c>
      <c r="B93" t="str">
        <f t="shared" si="7"/>
        <v>2005</v>
      </c>
      <c r="C93" t="str">
        <f t="shared" si="8"/>
        <v>Wiley</v>
      </c>
      <c r="D93" t="str">
        <f t="shared" si="9"/>
        <v>Goodrich, Tamassia</v>
      </c>
      <c r="E93" s="3" t="str">
        <f t="shared" si="10"/>
        <v/>
      </c>
      <c r="F93" s="3" t="str">
        <f t="shared" si="11"/>
        <v>.pdf</v>
      </c>
      <c r="G93">
        <f t="shared" si="12"/>
        <v>88</v>
      </c>
      <c r="H93" s="3">
        <f>LEN(Table1[[#This Row],[Auteur]])</f>
        <v>18</v>
      </c>
      <c r="I93" s="3" t="str">
        <f t="shared" si="13"/>
        <v>Data Structures and Algorithms in Java</v>
      </c>
    </row>
    <row r="94" spans="1:9" x14ac:dyDescent="0.45">
      <c r="A94" t="s">
        <v>60</v>
      </c>
      <c r="B94" t="str">
        <f t="shared" si="7"/>
        <v>2014</v>
      </c>
      <c r="C94" t="str">
        <f t="shared" si="8"/>
        <v>Wiley</v>
      </c>
      <c r="D94" t="str">
        <f t="shared" si="9"/>
        <v>Goodrich, Tamassia, Goldwasser</v>
      </c>
      <c r="E94" s="3" t="str">
        <f t="shared" si="10"/>
        <v/>
      </c>
      <c r="F94" t="str">
        <f t="shared" si="11"/>
        <v>.pdf</v>
      </c>
      <c r="G94">
        <f t="shared" si="12"/>
        <v>100</v>
      </c>
      <c r="H94" s="3">
        <f>LEN(Table1[[#This Row],[Auteur]])</f>
        <v>30</v>
      </c>
      <c r="I94" s="3" t="str">
        <f t="shared" si="13"/>
        <v>Data Structures and Algorithms in Java</v>
      </c>
    </row>
    <row r="95" spans="1:9" x14ac:dyDescent="0.45">
      <c r="A95" t="s">
        <v>61</v>
      </c>
      <c r="B95" t="str">
        <f t="shared" si="7"/>
        <v>2013</v>
      </c>
      <c r="C95" t="str">
        <f t="shared" si="8"/>
        <v>Wiley</v>
      </c>
      <c r="D95" t="str">
        <f t="shared" si="9"/>
        <v>Goodrich, Tamassia, Goldwasser</v>
      </c>
      <c r="E95" s="3" t="str">
        <f t="shared" si="10"/>
        <v/>
      </c>
      <c r="F95" t="str">
        <f t="shared" si="11"/>
        <v>.pdf</v>
      </c>
      <c r="G95">
        <f t="shared" si="12"/>
        <v>94</v>
      </c>
      <c r="H95" s="3">
        <f>LEN(Table1[[#This Row],[Auteur]])</f>
        <v>30</v>
      </c>
      <c r="I95" s="3" t="str">
        <f t="shared" si="13"/>
        <v>Data Structures and Algorithms in Python</v>
      </c>
    </row>
    <row r="96" spans="1:9" x14ac:dyDescent="0.45">
      <c r="A96" t="s">
        <v>62</v>
      </c>
      <c r="B96" t="str">
        <f t="shared" si="7"/>
        <v>2014</v>
      </c>
      <c r="C96" t="str">
        <f t="shared" si="8"/>
        <v>O'Reilly</v>
      </c>
      <c r="D96" t="str">
        <f t="shared" si="9"/>
        <v>Michael McMillan</v>
      </c>
      <c r="E96" s="3" t="str">
        <f t="shared" si="10"/>
        <v/>
      </c>
      <c r="F96" s="3" t="str">
        <f t="shared" si="11"/>
        <v>.pdf</v>
      </c>
      <c r="G96">
        <f t="shared" si="12"/>
        <v>89</v>
      </c>
      <c r="H96" s="3">
        <f>LEN(Table1[[#This Row],[Auteur]])</f>
        <v>16</v>
      </c>
      <c r="I96" s="3" t="str">
        <f t="shared" si="13"/>
        <v>Data Structures and Algorithms with JavaScript</v>
      </c>
    </row>
    <row r="97" spans="1:9" x14ac:dyDescent="0.45">
      <c r="A97" t="s">
        <v>544</v>
      </c>
      <c r="B97" t="str">
        <f t="shared" si="7"/>
        <v>2000</v>
      </c>
      <c r="C97" t="str">
        <f t="shared" si="8"/>
        <v>Prentice Hall</v>
      </c>
      <c r="D97" t="str">
        <f t="shared" si="9"/>
        <v>Robert L. Kruse, Alexander J. Ryba</v>
      </c>
      <c r="E97" s="3" t="str">
        <f t="shared" si="10"/>
        <v/>
      </c>
      <c r="F97" s="3" t="str">
        <f t="shared" si="11"/>
        <v>.pdf</v>
      </c>
      <c r="G97">
        <f t="shared" si="12"/>
        <v>107</v>
      </c>
      <c r="H97" s="3">
        <f>LEN(Table1[[#This Row],[Auteur]])</f>
        <v>34</v>
      </c>
      <c r="I97" s="3" t="str">
        <f t="shared" si="13"/>
        <v>Data Structures and Program Design in C++</v>
      </c>
    </row>
    <row r="98" spans="1:9" x14ac:dyDescent="0.45">
      <c r="A98" t="s">
        <v>545</v>
      </c>
      <c r="B98" t="str">
        <f t="shared" si="7"/>
        <v>2008</v>
      </c>
      <c r="C98" t="str">
        <f t="shared" si="8"/>
        <v>MIT Press</v>
      </c>
      <c r="D98" t="str">
        <f t="shared" si="9"/>
        <v>Franklyn Turbak, David Gifford</v>
      </c>
      <c r="E98" s="3" t="str">
        <f t="shared" si="10"/>
        <v/>
      </c>
      <c r="F98" s="3" t="str">
        <f t="shared" si="11"/>
        <v>.pdf</v>
      </c>
      <c r="G98">
        <f t="shared" si="12"/>
        <v>98</v>
      </c>
      <c r="H98" s="3">
        <f>LEN(Table1[[#This Row],[Auteur]])</f>
        <v>30</v>
      </c>
      <c r="I98" s="3" t="str">
        <f t="shared" si="13"/>
        <v>Design Concepts in Programming Languages</v>
      </c>
    </row>
    <row r="99" spans="1:9" x14ac:dyDescent="0.45">
      <c r="A99" t="s">
        <v>63</v>
      </c>
      <c r="B99" t="str">
        <f t="shared" si="7"/>
        <v>2010</v>
      </c>
      <c r="C99" t="str">
        <f t="shared" si="8"/>
        <v>Pearson</v>
      </c>
      <c r="D99" t="str">
        <f t="shared" si="9"/>
        <v>Jean-Marc Delprato</v>
      </c>
      <c r="E99" s="3" t="str">
        <f t="shared" si="10"/>
        <v/>
      </c>
      <c r="F99" t="str">
        <f t="shared" si="11"/>
        <v>.pdf</v>
      </c>
      <c r="G99">
        <f t="shared" si="12"/>
        <v>108</v>
      </c>
      <c r="H99" s="3">
        <f>LEN(Table1[[#This Row],[Auteur]])</f>
        <v>18</v>
      </c>
      <c r="I99" s="3" t="str">
        <f t="shared" si="13"/>
        <v>Développez des applications originales pour iPhone et iPod Touch</v>
      </c>
    </row>
    <row r="100" spans="1:9" hidden="1" x14ac:dyDescent="0.45">
      <c r="A100" t="s">
        <v>546</v>
      </c>
      <c r="B100" t="str">
        <f t="shared" si="7"/>
        <v>2008</v>
      </c>
      <c r="C100" t="str">
        <f t="shared" si="8"/>
        <v>Springer</v>
      </c>
      <c r="D100" t="str">
        <f t="shared" si="9"/>
        <v>Ming-Yang Kao</v>
      </c>
      <c r="E100" s="3" t="str">
        <f t="shared" si="10"/>
        <v/>
      </c>
      <c r="F100" t="str">
        <f t="shared" si="11"/>
        <v>.pdf</v>
      </c>
      <c r="G100">
        <f t="shared" si="12"/>
        <v>66</v>
      </c>
      <c r="H100" s="3">
        <f>LEN(Table1[[#This Row],[Auteur]])</f>
        <v>13</v>
      </c>
      <c r="I100" s="3" t="str">
        <f t="shared" ref="I100:I129" si="14">Title(A100)</f>
        <v>Encyclopedia of Algorithms</v>
      </c>
    </row>
    <row r="101" spans="1:9" x14ac:dyDescent="0.45">
      <c r="A101" t="s">
        <v>547</v>
      </c>
      <c r="B101" t="str">
        <f t="shared" si="7"/>
        <v>2008</v>
      </c>
      <c r="C101" t="str">
        <f t="shared" si="8"/>
        <v>MIT Press</v>
      </c>
      <c r="D101" t="str">
        <f t="shared" si="9"/>
        <v>Daniel P. Friedman, Mitchell Wand</v>
      </c>
      <c r="E101" s="3" t="str">
        <f t="shared" si="10"/>
        <v/>
      </c>
      <c r="F101" s="3" t="str">
        <f t="shared" si="11"/>
        <v>.pdf</v>
      </c>
      <c r="G101" s="3">
        <f t="shared" si="12"/>
        <v>104</v>
      </c>
      <c r="H101" s="3">
        <f>LEN(Table1[[#This Row],[Auteur]])</f>
        <v>33</v>
      </c>
      <c r="I101" s="3" t="str">
        <f t="shared" si="14"/>
        <v>Essentials of Programming Languages</v>
      </c>
    </row>
    <row r="102" spans="1:9" x14ac:dyDescent="0.45">
      <c r="A102" t="s">
        <v>548</v>
      </c>
      <c r="B102" t="str">
        <f t="shared" si="7"/>
        <v>2009</v>
      </c>
      <c r="C102" t="str">
        <f t="shared" si="8"/>
        <v>Manning</v>
      </c>
      <c r="D102" t="str">
        <f t="shared" si="9"/>
        <v>Opher Etzion, Peter Niblett</v>
      </c>
      <c r="E102" s="3" t="str">
        <f t="shared" si="10"/>
        <v>Dump</v>
      </c>
      <c r="F102" t="str">
        <f t="shared" si="11"/>
        <v>.pdf</v>
      </c>
      <c r="G102">
        <f t="shared" si="12"/>
        <v>86</v>
      </c>
      <c r="H102" s="3">
        <f>LEN(Table1[[#This Row],[Auteur]])</f>
        <v>27</v>
      </c>
      <c r="I102" s="3" t="str">
        <f t="shared" si="14"/>
        <v>Event Processing in Action</v>
      </c>
    </row>
    <row r="103" spans="1:9" x14ac:dyDescent="0.45">
      <c r="A103" t="s">
        <v>64</v>
      </c>
      <c r="B103" t="str">
        <f t="shared" si="7"/>
        <v>1984</v>
      </c>
      <c r="C103" t="str">
        <f t="shared" si="8"/>
        <v>Computer Science Press</v>
      </c>
      <c r="D103" t="str">
        <f t="shared" si="9"/>
        <v>Ellis Horowitz</v>
      </c>
      <c r="E103" s="3" t="str">
        <f t="shared" si="10"/>
        <v/>
      </c>
      <c r="F103" s="3" t="str">
        <f t="shared" si="11"/>
        <v>.pdf</v>
      </c>
      <c r="G103">
        <f t="shared" si="12"/>
        <v>90</v>
      </c>
      <c r="H103" s="3">
        <f>LEN(Table1[[#This Row],[Auteur]])</f>
        <v>14</v>
      </c>
      <c r="I103" s="3" t="str">
        <f t="shared" si="14"/>
        <v>Fundamentals of Computer Algorithms</v>
      </c>
    </row>
    <row r="104" spans="1:9" hidden="1" x14ac:dyDescent="0.45">
      <c r="A104" t="s">
        <v>549</v>
      </c>
      <c r="B104" t="str">
        <f t="shared" si="7"/>
        <v>2007</v>
      </c>
      <c r="C104" t="str">
        <f t="shared" si="8"/>
        <v>O'Reilly</v>
      </c>
      <c r="D104" t="str">
        <f t="shared" si="9"/>
        <v>Brett D. McLaughlin, Gary Pollice, David West</v>
      </c>
      <c r="E104" s="3" t="str">
        <f t="shared" si="10"/>
        <v/>
      </c>
      <c r="F104" s="3" t="str">
        <f t="shared" si="11"/>
        <v>.pdf</v>
      </c>
      <c r="G104" s="3">
        <f t="shared" si="12"/>
        <v>118</v>
      </c>
      <c r="H104" s="3">
        <f>LEN(Table1[[#This Row],[Auteur]])</f>
        <v>45</v>
      </c>
      <c r="I104" s="3" t="str">
        <f t="shared" si="14"/>
        <v>Head First Object-Oriented Analysis and Design</v>
      </c>
    </row>
    <row r="105" spans="1:9" x14ac:dyDescent="0.45">
      <c r="A105" t="s">
        <v>65</v>
      </c>
      <c r="B105" t="str">
        <f t="shared" si="7"/>
        <v>2009</v>
      </c>
      <c r="C105" t="str">
        <f t="shared" si="8"/>
        <v>O'Reilly</v>
      </c>
      <c r="D105" t="str">
        <f t="shared" si="9"/>
        <v>Paul Barry, David Griffiths</v>
      </c>
      <c r="E105" s="3" t="str">
        <f t="shared" si="10"/>
        <v/>
      </c>
      <c r="F105" s="3" t="str">
        <f t="shared" si="11"/>
        <v>.pdf</v>
      </c>
      <c r="G105">
        <f t="shared" si="12"/>
        <v>76</v>
      </c>
      <c r="H105" s="3">
        <f>LEN(Table1[[#This Row],[Auteur]])</f>
        <v>27</v>
      </c>
      <c r="I105" s="3" t="str">
        <f t="shared" si="14"/>
        <v>Head First Programming</v>
      </c>
    </row>
    <row r="106" spans="1:9" x14ac:dyDescent="0.45">
      <c r="A106" t="s">
        <v>550</v>
      </c>
      <c r="B106" t="str">
        <f t="shared" si="7"/>
        <v>2008</v>
      </c>
      <c r="C106" t="str">
        <f t="shared" si="8"/>
        <v>Cambridge</v>
      </c>
      <c r="D106" t="str">
        <f t="shared" si="9"/>
        <v>Jeff Edmonds</v>
      </c>
      <c r="E106" s="3" t="str">
        <f t="shared" si="10"/>
        <v/>
      </c>
      <c r="F106" t="str">
        <f t="shared" si="11"/>
        <v>.pdf</v>
      </c>
      <c r="G106">
        <f t="shared" si="12"/>
        <v>69</v>
      </c>
      <c r="H106" s="3">
        <f>LEN(Table1[[#This Row],[Auteur]])</f>
        <v>12</v>
      </c>
      <c r="I106" s="3" t="str">
        <f t="shared" si="14"/>
        <v>How to Think about Algorithms</v>
      </c>
    </row>
    <row r="107" spans="1:9" x14ac:dyDescent="0.45">
      <c r="A107" t="s">
        <v>551</v>
      </c>
      <c r="B107" t="str">
        <f t="shared" si="7"/>
        <v>2013</v>
      </c>
      <c r="C107" t="str">
        <f t="shared" si="8"/>
        <v>Eyrolles</v>
      </c>
      <c r="D107" t="str">
        <f t="shared" si="9"/>
        <v>Gilles Dowek</v>
      </c>
      <c r="E107" s="3" t="str">
        <f t="shared" si="10"/>
        <v/>
      </c>
      <c r="F107" t="str">
        <f t="shared" si="11"/>
        <v>.pdf</v>
      </c>
      <c r="G107">
        <f t="shared" si="12"/>
        <v>101</v>
      </c>
      <c r="H107" s="3">
        <f>LEN(Table1[[#This Row],[Auteur]])</f>
        <v>12</v>
      </c>
      <c r="I107" s="3" t="str">
        <f t="shared" si="14"/>
        <v>Informatique et sciences du numérique, Édition spéciale Python</v>
      </c>
    </row>
    <row r="108" spans="1:9" hidden="1" x14ac:dyDescent="0.45">
      <c r="A108" t="s">
        <v>552</v>
      </c>
      <c r="B108" t="str">
        <f t="shared" si="7"/>
        <v>2012</v>
      </c>
      <c r="C108" t="str">
        <f t="shared" si="8"/>
        <v>Eyrolles</v>
      </c>
      <c r="D108" t="str">
        <f t="shared" si="9"/>
        <v>Gilles Dowek</v>
      </c>
      <c r="E108" s="3" t="str">
        <f t="shared" si="10"/>
        <v/>
      </c>
      <c r="F108" s="3" t="str">
        <f t="shared" si="11"/>
        <v>.pdf</v>
      </c>
      <c r="G108">
        <f t="shared" si="12"/>
        <v>107</v>
      </c>
      <c r="H108" s="3">
        <f>LEN(Table1[[#This Row],[Auteur]])</f>
        <v>12</v>
      </c>
      <c r="I108" s="3" t="str">
        <f t="shared" si="14"/>
        <v>Informatique et sciences du numérique, Spécialité ISN en terminale S</v>
      </c>
    </row>
    <row r="109" spans="1:9" x14ac:dyDescent="0.45">
      <c r="A109" t="s">
        <v>1967</v>
      </c>
      <c r="B109" t="str">
        <f t="shared" si="7"/>
        <v>2001</v>
      </c>
      <c r="C109" t="str">
        <f t="shared" si="8"/>
        <v>MIT Press</v>
      </c>
      <c r="D109" t="str">
        <f t="shared" si="9"/>
        <v>Cormen, Leiserson, Rivest, Stein</v>
      </c>
      <c r="E109" s="3" t="str">
        <f t="shared" si="10"/>
        <v/>
      </c>
      <c r="F109" t="str">
        <f t="shared" si="11"/>
        <v>.pdf</v>
      </c>
      <c r="G109">
        <f t="shared" si="12"/>
        <v>94</v>
      </c>
      <c r="H109" s="3">
        <f>LEN(Table1[[#This Row],[Auteur]])</f>
        <v>32</v>
      </c>
      <c r="I109" s="3" t="str">
        <f t="shared" si="14"/>
        <v>Introduction to Algorithms</v>
      </c>
    </row>
    <row r="110" spans="1:9" x14ac:dyDescent="0.45">
      <c r="A110" t="s">
        <v>1968</v>
      </c>
      <c r="B110" t="str">
        <f t="shared" si="7"/>
        <v>2009</v>
      </c>
      <c r="C110" t="str">
        <f t="shared" si="8"/>
        <v>MIT Press</v>
      </c>
      <c r="D110" t="str">
        <f t="shared" si="9"/>
        <v>Cormen, Leiserson, Rivest, Stein</v>
      </c>
      <c r="E110" s="3" t="str">
        <f t="shared" si="10"/>
        <v/>
      </c>
      <c r="F110" t="str">
        <f t="shared" si="11"/>
        <v>.pdf</v>
      </c>
      <c r="G110">
        <f t="shared" si="12"/>
        <v>94</v>
      </c>
      <c r="H110" s="3">
        <f>LEN(Table1[[#This Row],[Auteur]])</f>
        <v>32</v>
      </c>
      <c r="I110" s="3" t="str">
        <f t="shared" si="14"/>
        <v>Introduction to Algorithms</v>
      </c>
    </row>
    <row r="111" spans="1:9" x14ac:dyDescent="0.45">
      <c r="A111" t="s">
        <v>501</v>
      </c>
      <c r="B111" t="str">
        <f t="shared" si="7"/>
        <v>2001</v>
      </c>
      <c r="C111" t="str">
        <f t="shared" si="8"/>
        <v>MIT Press</v>
      </c>
      <c r="D111" t="str">
        <f t="shared" si="9"/>
        <v>Thomas H. Cormen, Clara Lee, Erica Lin</v>
      </c>
      <c r="E111" s="3" t="str">
        <f t="shared" si="10"/>
        <v/>
      </c>
      <c r="F111" t="str">
        <f t="shared" si="11"/>
        <v>.pdf</v>
      </c>
      <c r="G111">
        <f t="shared" si="12"/>
        <v>121</v>
      </c>
      <c r="H111" s="3">
        <f>LEN(Table1[[#This Row],[Auteur]])</f>
        <v>38</v>
      </c>
      <c r="I111" s="3" t="str">
        <f t="shared" si="14"/>
        <v>Introduction to Algorithms, Instructor's Manual</v>
      </c>
    </row>
    <row r="112" spans="1:9" x14ac:dyDescent="0.45">
      <c r="A112" t="s">
        <v>553</v>
      </c>
      <c r="B112" t="str">
        <f t="shared" si="7"/>
        <v>2001</v>
      </c>
      <c r="C112" t="str">
        <f t="shared" si="8"/>
        <v>Addison-Wesley</v>
      </c>
      <c r="D112" t="str">
        <f t="shared" si="9"/>
        <v>John E. Hopcroft, Rajeev Motwani, Jeffrey D. Ullman</v>
      </c>
      <c r="E112" s="3" t="str">
        <f t="shared" si="10"/>
        <v/>
      </c>
      <c r="F112" t="str">
        <f t="shared" si="11"/>
        <v>.pdf</v>
      </c>
      <c r="G112">
        <f t="shared" si="12"/>
        <v>150</v>
      </c>
      <c r="H112" s="3">
        <f>LEN(Table1[[#This Row],[Auteur]])</f>
        <v>51</v>
      </c>
      <c r="I112" s="3" t="str">
        <f t="shared" si="14"/>
        <v>Introduction to Automata Theory, Languages and Computation</v>
      </c>
    </row>
    <row r="113" spans="1:9" x14ac:dyDescent="0.45">
      <c r="A113" t="s">
        <v>554</v>
      </c>
      <c r="B113" t="str">
        <f t="shared" si="7"/>
        <v>2006</v>
      </c>
      <c r="C113" t="str">
        <f t="shared" si="8"/>
        <v>Elsevier</v>
      </c>
      <c r="D113" t="str">
        <f t="shared" si="9"/>
        <v>Khalid Sayood</v>
      </c>
      <c r="E113" s="3" t="str">
        <f t="shared" si="10"/>
        <v/>
      </c>
      <c r="F113" s="3" t="str">
        <f t="shared" si="11"/>
        <v>.pdf</v>
      </c>
      <c r="G113">
        <f t="shared" si="12"/>
        <v>80</v>
      </c>
      <c r="H113" s="3">
        <f>LEN(Table1[[#This Row],[Auteur]])</f>
        <v>13</v>
      </c>
      <c r="I113" s="3" t="str">
        <f t="shared" si="14"/>
        <v>Introduction to Data Compression</v>
      </c>
    </row>
    <row r="114" spans="1:9" x14ac:dyDescent="0.45">
      <c r="A114" t="s">
        <v>555</v>
      </c>
      <c r="B114" t="str">
        <f t="shared" si="7"/>
        <v>2014</v>
      </c>
      <c r="C114" t="str">
        <f t="shared" si="8"/>
        <v>Vuibert</v>
      </c>
      <c r="D114" t="str">
        <f t="shared" si="9"/>
        <v>Olivier Carton</v>
      </c>
      <c r="E114" s="3" t="str">
        <f t="shared" si="10"/>
        <v/>
      </c>
      <c r="F114" s="3" t="str">
        <f t="shared" si="11"/>
        <v>.pdf</v>
      </c>
      <c r="G114">
        <f t="shared" si="12"/>
        <v>114</v>
      </c>
      <c r="H114" s="3">
        <f>LEN(Table1[[#This Row],[Auteur]])</f>
        <v>14</v>
      </c>
      <c r="I114" s="3" t="str">
        <f t="shared" si="14"/>
        <v>Langages formels, Calculabilité et complexité, Cours et exercices corrigés</v>
      </c>
    </row>
    <row r="115" spans="1:9" hidden="1" x14ac:dyDescent="0.45">
      <c r="A115" t="s">
        <v>556</v>
      </c>
      <c r="B115" t="str">
        <f t="shared" si="7"/>
        <v>2004</v>
      </c>
      <c r="C115" t="str">
        <f t="shared" si="8"/>
        <v>Berti</v>
      </c>
      <c r="D115" t="str">
        <f t="shared" si="9"/>
        <v>Robert Michel di Scala</v>
      </c>
      <c r="E115" s="3" t="str">
        <f t="shared" si="10"/>
        <v/>
      </c>
      <c r="F115" s="3" t="str">
        <f t="shared" si="11"/>
        <v>.pdf</v>
      </c>
      <c r="G115">
        <f t="shared" si="12"/>
        <v>96</v>
      </c>
      <c r="H115" s="3">
        <f>LEN(Table1[[#This Row],[Auteur]])</f>
        <v>22</v>
      </c>
      <c r="I115" s="3" t="str">
        <f t="shared" si="14"/>
        <v>Les bases de l'informatique et de la programmation</v>
      </c>
    </row>
    <row r="116" spans="1:9" x14ac:dyDescent="0.45">
      <c r="A116" t="s">
        <v>66</v>
      </c>
      <c r="B116" t="str">
        <f t="shared" si="7"/>
        <v>1992</v>
      </c>
      <c r="C116" t="str">
        <f t="shared" si="8"/>
        <v>Armand Colin</v>
      </c>
      <c r="D116" t="str">
        <f t="shared" si="9"/>
        <v>Michel Beaudouin-Lafon</v>
      </c>
      <c r="E116" s="3" t="str">
        <f t="shared" si="10"/>
        <v/>
      </c>
      <c r="F116" s="3" t="str">
        <f t="shared" si="11"/>
        <v>.pdf</v>
      </c>
      <c r="G116">
        <f t="shared" si="12"/>
        <v>122</v>
      </c>
      <c r="H116" s="3">
        <f>LEN(Table1[[#This Row],[Auteur]])</f>
        <v>22</v>
      </c>
      <c r="I116" s="3" t="str">
        <f t="shared" si="14"/>
        <v>Les langages à objets, Principes de base, techniques de programmation</v>
      </c>
    </row>
    <row r="117" spans="1:9" x14ac:dyDescent="0.45">
      <c r="A117" t="s">
        <v>67</v>
      </c>
      <c r="B117" t="str">
        <f t="shared" si="7"/>
        <v>2009</v>
      </c>
      <c r="C117" t="str">
        <f t="shared" si="8"/>
        <v>Springer</v>
      </c>
      <c r="D117" t="str">
        <f t="shared" si="9"/>
        <v>Éric Filiol</v>
      </c>
      <c r="E117" t="str">
        <f t="shared" si="10"/>
        <v/>
      </c>
      <c r="F117" t="str">
        <f t="shared" si="11"/>
        <v>.pdf</v>
      </c>
      <c r="G117">
        <f t="shared" si="12"/>
        <v>103</v>
      </c>
      <c r="H117" s="3">
        <f>LEN(Table1[[#This Row],[Auteur]])</f>
        <v>11</v>
      </c>
      <c r="I117" s="3" t="str">
        <f t="shared" si="14"/>
        <v>Les virus informatiques, Théorie, pratique et applications</v>
      </c>
    </row>
    <row r="118" spans="1:9" x14ac:dyDescent="0.45">
      <c r="A118" t="s">
        <v>68</v>
      </c>
      <c r="B118" t="str">
        <f t="shared" si="7"/>
        <v>2007</v>
      </c>
      <c r="C118" t="str">
        <f t="shared" si="8"/>
        <v>Eyrolles</v>
      </c>
      <c r="D118" t="str">
        <f t="shared" si="9"/>
        <v>Hugues Bersini</v>
      </c>
      <c r="E118" s="3" t="str">
        <f t="shared" si="10"/>
        <v/>
      </c>
      <c r="F118" s="3" t="str">
        <f t="shared" si="11"/>
        <v>.pdf</v>
      </c>
      <c r="G118">
        <f t="shared" si="12"/>
        <v>63</v>
      </c>
      <c r="H118" s="3">
        <f>LEN(Table1[[#This Row],[Auteur]])</f>
        <v>14</v>
      </c>
      <c r="I118" s="3" t="str">
        <f t="shared" si="14"/>
        <v>L'orienté objet</v>
      </c>
    </row>
    <row r="119" spans="1:9" x14ac:dyDescent="0.45">
      <c r="A119" t="s">
        <v>69</v>
      </c>
      <c r="B119" t="str">
        <f t="shared" si="7"/>
        <v>1999</v>
      </c>
      <c r="C119" t="str">
        <f t="shared" si="8"/>
        <v>O'Reilly</v>
      </c>
      <c r="D119" t="str">
        <f t="shared" si="9"/>
        <v>Kyle Loudon</v>
      </c>
      <c r="E119" s="3" t="str">
        <f t="shared" si="10"/>
        <v/>
      </c>
      <c r="F119" t="str">
        <f t="shared" si="11"/>
        <v>.epub</v>
      </c>
      <c r="G119">
        <f t="shared" si="12"/>
        <v>66</v>
      </c>
      <c r="H119" s="3">
        <f>LEN(Table1[[#This Row],[Auteur]])</f>
        <v>11</v>
      </c>
      <c r="I119" s="3" t="str">
        <f t="shared" si="14"/>
        <v>Mastering Algorithms with C</v>
      </c>
    </row>
    <row r="120" spans="1:9" x14ac:dyDescent="0.45">
      <c r="A120" t="s">
        <v>70</v>
      </c>
      <c r="B120" t="str">
        <f t="shared" si="7"/>
        <v>1999</v>
      </c>
      <c r="C120" t="str">
        <f t="shared" si="8"/>
        <v>O'Reilly</v>
      </c>
      <c r="D120" t="str">
        <f t="shared" si="9"/>
        <v>Kyle Loudon</v>
      </c>
      <c r="E120" s="3" t="str">
        <f t="shared" si="10"/>
        <v/>
      </c>
      <c r="F120" t="str">
        <f t="shared" si="11"/>
        <v>.pdf</v>
      </c>
      <c r="G120">
        <f t="shared" si="12"/>
        <v>65</v>
      </c>
      <c r="H120" s="3">
        <f>LEN(Table1[[#This Row],[Auteur]])</f>
        <v>11</v>
      </c>
      <c r="I120" s="3" t="str">
        <f t="shared" si="14"/>
        <v>Mastering Algorithms with C</v>
      </c>
    </row>
    <row r="121" spans="1:9" x14ac:dyDescent="0.45">
      <c r="A121" t="s">
        <v>557</v>
      </c>
      <c r="B121" t="str">
        <f t="shared" si="7"/>
        <v>1999</v>
      </c>
      <c r="C121" t="str">
        <f t="shared" si="8"/>
        <v>O'Reilly</v>
      </c>
      <c r="D121" t="str">
        <f t="shared" si="9"/>
        <v>Jon Orwant, Jarkko Hietaniemi, John Macdonald</v>
      </c>
      <c r="E121" s="3" t="str">
        <f t="shared" si="10"/>
        <v>Dump</v>
      </c>
      <c r="F121" s="3" t="str">
        <f t="shared" si="11"/>
        <v>.pdf</v>
      </c>
      <c r="G121">
        <f t="shared" si="12"/>
        <v>109</v>
      </c>
      <c r="H121" s="3">
        <f>LEN(Table1[[#This Row],[Auteur]])</f>
        <v>45</v>
      </c>
      <c r="I121" s="3" t="str">
        <f t="shared" si="14"/>
        <v>Mastering Algorithms with Perl</v>
      </c>
    </row>
    <row r="122" spans="1:9" x14ac:dyDescent="0.45">
      <c r="A122" t="s">
        <v>2062</v>
      </c>
      <c r="B122" t="str">
        <f t="shared" si="7"/>
        <v>2003</v>
      </c>
      <c r="C122" t="str">
        <f t="shared" si="8"/>
        <v>Wordware Publishing</v>
      </c>
      <c r="D122" t="str">
        <f t="shared" si="9"/>
        <v>Bill Blunden</v>
      </c>
      <c r="E122" s="3" t="str">
        <f t="shared" si="10"/>
        <v/>
      </c>
      <c r="F122" t="str">
        <f t="shared" si="11"/>
        <v>.pdf</v>
      </c>
      <c r="G122">
        <f t="shared" si="12"/>
        <v>110</v>
      </c>
      <c r="H122" s="3">
        <f>LEN(Table1[[#This Row],[Auteur]])</f>
        <v>12</v>
      </c>
      <c r="I122" s="3" t="str">
        <f t="shared" si="14"/>
        <v>Memory Management Algorithms and Implementation in C and C++</v>
      </c>
    </row>
    <row r="123" spans="1:9" x14ac:dyDescent="0.45">
      <c r="A123" t="s">
        <v>558</v>
      </c>
      <c r="B123" t="str">
        <f t="shared" si="7"/>
        <v>1995</v>
      </c>
      <c r="C123" t="str">
        <f t="shared" si="8"/>
        <v>Prentice Hall</v>
      </c>
      <c r="D123" t="str">
        <f t="shared" si="9"/>
        <v>Oscar Nierstrasz, Dennis Tsichritzis</v>
      </c>
      <c r="E123" s="3" t="str">
        <f t="shared" si="10"/>
        <v/>
      </c>
      <c r="F123" t="str">
        <f t="shared" si="11"/>
        <v>.pdf</v>
      </c>
      <c r="G123">
        <f t="shared" si="12"/>
        <v>104</v>
      </c>
      <c r="H123" s="3">
        <f>LEN(Table1[[#This Row],[Auteur]])</f>
        <v>36</v>
      </c>
      <c r="I123" s="3" t="str">
        <f t="shared" si="14"/>
        <v>Object Oriented Software Composition</v>
      </c>
    </row>
    <row r="124" spans="1:9" x14ac:dyDescent="0.45">
      <c r="A124" t="s">
        <v>559</v>
      </c>
      <c r="B124" t="str">
        <f t="shared" si="7"/>
        <v>2005</v>
      </c>
      <c r="C124" t="str">
        <f t="shared" si="8"/>
        <v>Elsevier</v>
      </c>
      <c r="D124" t="str">
        <f t="shared" si="9"/>
        <v>Heinz Züllighoven</v>
      </c>
      <c r="E124" s="3" t="str">
        <f t="shared" si="10"/>
        <v/>
      </c>
      <c r="F124" t="str">
        <f t="shared" si="11"/>
        <v>.pdf</v>
      </c>
      <c r="G124">
        <f t="shared" si="12"/>
        <v>81</v>
      </c>
      <c r="H124" s="3">
        <f>LEN(Table1[[#This Row],[Auteur]])</f>
        <v>17</v>
      </c>
      <c r="I124" s="3" t="str">
        <f t="shared" si="14"/>
        <v>Object-Oriented Construction Handbook</v>
      </c>
    </row>
    <row r="125" spans="1:9" x14ac:dyDescent="0.45">
      <c r="A125" t="s">
        <v>71</v>
      </c>
      <c r="B125" t="str">
        <f t="shared" si="7"/>
        <v>2004</v>
      </c>
      <c r="C125" t="str">
        <f t="shared" si="8"/>
        <v>Wiley</v>
      </c>
      <c r="D125" t="str">
        <f t="shared" si="9"/>
        <v>Haupt</v>
      </c>
      <c r="E125" s="3" t="str">
        <f t="shared" si="10"/>
        <v/>
      </c>
      <c r="F125" t="str">
        <f t="shared" si="11"/>
        <v>.pdf</v>
      </c>
      <c r="G125">
        <f t="shared" si="12"/>
        <v>65</v>
      </c>
      <c r="H125" s="3">
        <f>LEN(Table1[[#This Row],[Auteur]])</f>
        <v>5</v>
      </c>
      <c r="I125" s="3" t="str">
        <f t="shared" si="14"/>
        <v>Practical Genetic Algorithms</v>
      </c>
    </row>
    <row r="126" spans="1:9" x14ac:dyDescent="0.45">
      <c r="A126" t="s">
        <v>560</v>
      </c>
      <c r="B126" t="str">
        <f t="shared" si="7"/>
        <v>2002</v>
      </c>
      <c r="C126" t="str">
        <f t="shared" si="8"/>
        <v>?</v>
      </c>
      <c r="D126" t="str">
        <f t="shared" si="9"/>
        <v>Ian Parberry, William Gasarch</v>
      </c>
      <c r="E126" s="3" t="str">
        <f t="shared" si="10"/>
        <v/>
      </c>
      <c r="F126" t="str">
        <f t="shared" si="11"/>
        <v>.pdf</v>
      </c>
      <c r="G126">
        <f t="shared" si="12"/>
        <v>73</v>
      </c>
      <c r="H126" s="3">
        <f>LEN(Table1[[#This Row],[Auteur]])</f>
        <v>29</v>
      </c>
      <c r="I126" s="3" t="str">
        <f t="shared" si="14"/>
        <v>Problems on Algorithms</v>
      </c>
    </row>
    <row r="127" spans="1:9" x14ac:dyDescent="0.45">
      <c r="A127" t="s">
        <v>561</v>
      </c>
      <c r="B127" t="str">
        <f t="shared" si="7"/>
        <v>2003</v>
      </c>
      <c r="C127" t="str">
        <f t="shared" si="8"/>
        <v>Springer</v>
      </c>
      <c r="D127" t="str">
        <f t="shared" si="9"/>
        <v>Steven S. Skiena Miguel A. Revilla</v>
      </c>
      <c r="E127" s="3" t="str">
        <f t="shared" si="10"/>
        <v/>
      </c>
      <c r="F127" t="str">
        <f t="shared" si="11"/>
        <v>.pdf</v>
      </c>
      <c r="G127">
        <f t="shared" si="12"/>
        <v>83</v>
      </c>
      <c r="H127" s="3">
        <f>LEN(Table1[[#This Row],[Auteur]])</f>
        <v>34</v>
      </c>
      <c r="I127" s="3" t="str">
        <f t="shared" si="14"/>
        <v>Programming Challenges</v>
      </c>
    </row>
    <row r="128" spans="1:9" x14ac:dyDescent="0.45">
      <c r="A128" t="s">
        <v>262</v>
      </c>
      <c r="B128" t="str">
        <f t="shared" si="7"/>
        <v>1999</v>
      </c>
      <c r="C128" t="str">
        <f t="shared" si="8"/>
        <v>Pearson</v>
      </c>
      <c r="D128" t="str">
        <f t="shared" si="9"/>
        <v>Martin Fowler, Kent Beck</v>
      </c>
      <c r="E128" s="3" t="str">
        <f t="shared" si="10"/>
        <v/>
      </c>
      <c r="F128" s="3" t="str">
        <f t="shared" si="11"/>
        <v>.pdf</v>
      </c>
      <c r="G128">
        <f t="shared" si="12"/>
        <v>100</v>
      </c>
      <c r="H128" s="3">
        <f>LEN(Table1[[#This Row],[Auteur]])</f>
        <v>24</v>
      </c>
      <c r="I128" s="3" t="str">
        <f t="shared" si="14"/>
        <v>Refactoring, Improving the Design of Existing Code</v>
      </c>
    </row>
    <row r="129" spans="1:9" x14ac:dyDescent="0.45">
      <c r="A129" t="s">
        <v>562</v>
      </c>
      <c r="B129" t="str">
        <f t="shared" si="7"/>
        <v>2005</v>
      </c>
      <c r="C129" t="str">
        <f t="shared" si="8"/>
        <v>Springer</v>
      </c>
      <c r="D129" t="str">
        <f t="shared" si="9"/>
        <v>Paolo Tonella, Alessandra Potrich</v>
      </c>
      <c r="E129" s="3" t="str">
        <f t="shared" si="10"/>
        <v/>
      </c>
      <c r="F129" t="str">
        <f t="shared" si="11"/>
        <v>.pdf</v>
      </c>
      <c r="G129">
        <f t="shared" si="12"/>
        <v>103</v>
      </c>
      <c r="H129" s="3">
        <f>LEN(Table1[[#This Row],[Auteur]])</f>
        <v>33</v>
      </c>
      <c r="I129" s="3" t="str">
        <f t="shared" si="14"/>
        <v>Reverse Engineering of Object Oriented Code</v>
      </c>
    </row>
    <row r="130" spans="1:9" x14ac:dyDescent="0.45">
      <c r="A130" t="s">
        <v>563</v>
      </c>
      <c r="B130" t="str">
        <f t="shared" ref="B130:B193" si="15">DatePub(A130)</f>
        <v>2005</v>
      </c>
      <c r="C130" t="str">
        <f t="shared" ref="C130:C193" si="16">Editeur(A130)</f>
        <v>Wiley</v>
      </c>
      <c r="D130" t="str">
        <f t="shared" ref="D130:D193" si="17">Auteur(A130)</f>
        <v>Eldad Eilam</v>
      </c>
      <c r="E130" s="3" t="str">
        <f t="shared" ref="E130:E193" si="18">ExtraInfo(A130)</f>
        <v/>
      </c>
      <c r="F130" t="str">
        <f t="shared" ref="F130:F193" si="19">Extension(A130)</f>
        <v>.pdf</v>
      </c>
      <c r="G130">
        <f t="shared" ref="G130:G193" si="20">LenFileName(A130)</f>
        <v>76</v>
      </c>
      <c r="H130" s="3">
        <f>LEN(Table1[[#This Row],[Auteur]])</f>
        <v>11</v>
      </c>
      <c r="I130" s="3" t="str">
        <f t="shared" ref="I130:I157" si="21">Title(A130)</f>
        <v>Reversing, Secrets of Reverse Engineering</v>
      </c>
    </row>
    <row r="131" spans="1:9" x14ac:dyDescent="0.45">
      <c r="A131" t="s">
        <v>564</v>
      </c>
      <c r="B131" t="str">
        <f t="shared" si="15"/>
        <v>2007</v>
      </c>
      <c r="C131" t="str">
        <f t="shared" si="16"/>
        <v>Addison-Wesley</v>
      </c>
      <c r="D131" t="str">
        <f t="shared" si="17"/>
        <v>Brian Chess, Jacob West</v>
      </c>
      <c r="E131" s="3" t="str">
        <f t="shared" si="18"/>
        <v/>
      </c>
      <c r="F131" t="str">
        <f t="shared" si="19"/>
        <v>.pdf</v>
      </c>
      <c r="G131">
        <f t="shared" si="20"/>
        <v>95</v>
      </c>
      <c r="H131" s="3">
        <f>LEN(Table1[[#This Row],[Auteur]])</f>
        <v>23</v>
      </c>
      <c r="I131" s="3" t="str">
        <f t="shared" si="21"/>
        <v>Secure Programming with Static Analysis</v>
      </c>
    </row>
    <row r="132" spans="1:9" x14ac:dyDescent="0.45">
      <c r="A132" t="s">
        <v>502</v>
      </c>
      <c r="B132" t="str">
        <f t="shared" si="15"/>
        <v>2008</v>
      </c>
      <c r="C132" t="str">
        <f t="shared" si="16"/>
        <v>Eyrolles</v>
      </c>
      <c r="D132" t="str">
        <f t="shared" si="17"/>
        <v>Claude Delannoy</v>
      </c>
      <c r="E132" s="3" t="str">
        <f t="shared" si="18"/>
        <v/>
      </c>
      <c r="F132" t="str">
        <f t="shared" si="19"/>
        <v>.pdf</v>
      </c>
      <c r="G132">
        <f t="shared" si="20"/>
        <v>88</v>
      </c>
      <c r="H132" s="3">
        <f>LEN(Table1[[#This Row],[Auteur]])</f>
        <v>15</v>
      </c>
      <c r="I132" s="3" t="str">
        <f t="shared" si="21"/>
        <v>S'initier à la programmation avec des exemples</v>
      </c>
    </row>
    <row r="133" spans="1:9" x14ac:dyDescent="0.45">
      <c r="A133" t="s">
        <v>565</v>
      </c>
      <c r="B133" t="str">
        <f t="shared" si="15"/>
        <v>1996</v>
      </c>
      <c r="C133" t="str">
        <f t="shared" si="16"/>
        <v>MIT Press</v>
      </c>
      <c r="D133" t="str">
        <f t="shared" si="17"/>
        <v>Abelson, Sussman</v>
      </c>
      <c r="E133" s="3" t="str">
        <f t="shared" si="18"/>
        <v/>
      </c>
      <c r="F133" t="str">
        <f t="shared" si="19"/>
        <v>.pdf</v>
      </c>
      <c r="G133">
        <f t="shared" si="20"/>
        <v>101</v>
      </c>
      <c r="H133" s="3">
        <f>LEN(Table1[[#This Row],[Auteur]])</f>
        <v>16</v>
      </c>
      <c r="I133" s="3" t="str">
        <f t="shared" si="21"/>
        <v>Structure and Interpretation of Computer Programs</v>
      </c>
    </row>
    <row r="134" spans="1:9" x14ac:dyDescent="0.45">
      <c r="A134" t="s">
        <v>566</v>
      </c>
      <c r="B134" t="str">
        <f t="shared" si="15"/>
        <v>2008</v>
      </c>
      <c r="C134" t="str">
        <f t="shared" si="16"/>
        <v>Springer</v>
      </c>
      <c r="D134" t="str">
        <f t="shared" si="17"/>
        <v>Steven S Skiena</v>
      </c>
      <c r="E134" s="3" t="str">
        <f t="shared" si="18"/>
        <v/>
      </c>
      <c r="F134" t="str">
        <f t="shared" si="19"/>
        <v>.pdf</v>
      </c>
      <c r="G134">
        <f t="shared" si="20"/>
        <v>77</v>
      </c>
      <c r="H134" s="3">
        <f>LEN(Table1[[#This Row],[Auteur]])</f>
        <v>15</v>
      </c>
      <c r="I134" s="3" t="str">
        <f t="shared" si="21"/>
        <v>The Algorithm Design Manual</v>
      </c>
    </row>
    <row r="135" spans="1:9" x14ac:dyDescent="0.45">
      <c r="A135" t="s">
        <v>567</v>
      </c>
      <c r="B135" t="str">
        <f t="shared" si="15"/>
        <v>2008</v>
      </c>
      <c r="C135" t="str">
        <f t="shared" si="16"/>
        <v>Addison-Wesley</v>
      </c>
      <c r="D135" t="str">
        <f t="shared" si="17"/>
        <v>Matt Weisfeld</v>
      </c>
      <c r="E135" s="3" t="str">
        <f t="shared" si="18"/>
        <v/>
      </c>
      <c r="F135" t="str">
        <f t="shared" si="19"/>
        <v>.pdf</v>
      </c>
      <c r="G135">
        <f t="shared" si="20"/>
        <v>89</v>
      </c>
      <c r="H135" s="3">
        <f>LEN(Table1[[#This Row],[Auteur]])</f>
        <v>13</v>
      </c>
      <c r="I135" s="3" t="str">
        <f t="shared" si="21"/>
        <v>The Object-Oriented Thought Process</v>
      </c>
    </row>
    <row r="136" spans="1:9" x14ac:dyDescent="0.45">
      <c r="A136" t="s">
        <v>568</v>
      </c>
      <c r="B136" t="str">
        <f t="shared" si="15"/>
        <v>1986</v>
      </c>
      <c r="C136" t="str">
        <f t="shared" si="16"/>
        <v>Wiley</v>
      </c>
      <c r="D136" t="str">
        <f t="shared" si="17"/>
        <v>Eric S Roberts</v>
      </c>
      <c r="E136" s="3" t="str">
        <f t="shared" si="18"/>
        <v/>
      </c>
      <c r="F136" s="3" t="str">
        <f t="shared" si="19"/>
        <v>.djvu</v>
      </c>
      <c r="G136">
        <f t="shared" si="20"/>
        <v>59</v>
      </c>
      <c r="H136" s="3">
        <f>LEN(Table1[[#This Row],[Auteur]])</f>
        <v>14</v>
      </c>
      <c r="I136" s="3" t="str">
        <f t="shared" si="21"/>
        <v>Thinking Recursively</v>
      </c>
    </row>
    <row r="137" spans="1:9" x14ac:dyDescent="0.45">
      <c r="A137" t="s">
        <v>569</v>
      </c>
      <c r="B137" t="str">
        <f t="shared" si="15"/>
        <v>2007</v>
      </c>
      <c r="C137" t="str">
        <f t="shared" si="16"/>
        <v>Red Hat</v>
      </c>
      <c r="D137" t="str">
        <f t="shared" si="17"/>
        <v>Ulrich Drepper</v>
      </c>
      <c r="E137" s="3" t="str">
        <f t="shared" si="18"/>
        <v/>
      </c>
      <c r="F137" t="str">
        <f t="shared" si="19"/>
        <v>.pdf</v>
      </c>
      <c r="G137">
        <f t="shared" si="20"/>
        <v>86</v>
      </c>
      <c r="H137" s="3">
        <f>LEN(Table1[[#This Row],[Auteur]])</f>
        <v>14</v>
      </c>
      <c r="I137" s="3" t="str">
        <f t="shared" si="21"/>
        <v>What Every Programmer Should Know About Memory</v>
      </c>
    </row>
    <row r="138" spans="1:9" x14ac:dyDescent="0.45">
      <c r="A138" t="s">
        <v>570</v>
      </c>
      <c r="B138" t="str">
        <f t="shared" si="15"/>
        <v>2009</v>
      </c>
      <c r="C138" t="str">
        <f t="shared" si="16"/>
        <v>O'Reilly</v>
      </c>
      <c r="D138" t="str">
        <f t="shared" si="17"/>
        <v>Richard Monson-Haefel</v>
      </c>
      <c r="E138" s="3" t="str">
        <f t="shared" si="18"/>
        <v/>
      </c>
      <c r="F138" t="str">
        <f t="shared" si="19"/>
        <v>.epub</v>
      </c>
      <c r="G138">
        <f t="shared" si="20"/>
        <v>95</v>
      </c>
      <c r="H138" s="3">
        <f>LEN(Table1[[#This Row],[Auteur]])</f>
        <v>21</v>
      </c>
      <c r="I138" s="3" t="str">
        <f t="shared" si="21"/>
        <v>97 Things Every Software Architect Should Know</v>
      </c>
    </row>
    <row r="139" spans="1:9" x14ac:dyDescent="0.45">
      <c r="A139" t="s">
        <v>571</v>
      </c>
      <c r="B139" t="str">
        <f t="shared" si="15"/>
        <v>2009</v>
      </c>
      <c r="C139" t="str">
        <f t="shared" si="16"/>
        <v>O'Reilly</v>
      </c>
      <c r="D139" t="str">
        <f t="shared" si="17"/>
        <v>Richard Monson-Haefel</v>
      </c>
      <c r="E139" s="3" t="str">
        <f t="shared" si="18"/>
        <v/>
      </c>
      <c r="F139" t="str">
        <f t="shared" si="19"/>
        <v>.pdf</v>
      </c>
      <c r="G139">
        <f t="shared" si="20"/>
        <v>94</v>
      </c>
      <c r="H139" s="3">
        <f>LEN(Table1[[#This Row],[Auteur]])</f>
        <v>21</v>
      </c>
      <c r="I139" s="3" t="str">
        <f t="shared" si="21"/>
        <v>97 Things Every Software Architect Should Know</v>
      </c>
    </row>
    <row r="140" spans="1:9" x14ac:dyDescent="0.45">
      <c r="A140" t="s">
        <v>572</v>
      </c>
      <c r="B140" t="str">
        <f t="shared" si="15"/>
        <v>2006</v>
      </c>
      <c r="C140" t="str">
        <f t="shared" si="16"/>
        <v>Dunod</v>
      </c>
      <c r="D140" t="str">
        <f t="shared" si="17"/>
        <v>Jacques Printz</v>
      </c>
      <c r="E140" s="3" t="str">
        <f t="shared" si="18"/>
        <v/>
      </c>
      <c r="F140" t="str">
        <f t="shared" si="19"/>
        <v>.pdf</v>
      </c>
      <c r="G140">
        <f t="shared" si="20"/>
        <v>61</v>
      </c>
      <c r="H140" s="3">
        <f>LEN(Table1[[#This Row],[Auteur]])</f>
        <v>14</v>
      </c>
      <c r="I140" s="3" t="str">
        <f t="shared" si="21"/>
        <v>Architecture Logicielle</v>
      </c>
    </row>
    <row r="141" spans="1:9" x14ac:dyDescent="0.45">
      <c r="A141" t="s">
        <v>573</v>
      </c>
      <c r="B141" t="str">
        <f t="shared" si="15"/>
        <v>2007</v>
      </c>
      <c r="C141" t="str">
        <f t="shared" si="16"/>
        <v>?</v>
      </c>
      <c r="D141" t="str">
        <f t="shared" si="17"/>
        <v>Jason S. McDonald</v>
      </c>
      <c r="E141" s="3" t="str">
        <f t="shared" si="18"/>
        <v/>
      </c>
      <c r="F141" t="str">
        <f t="shared" si="19"/>
        <v>.pdf</v>
      </c>
      <c r="G141">
        <f t="shared" si="20"/>
        <v>50</v>
      </c>
      <c r="H141" s="3">
        <f>LEN(Table1[[#This Row],[Auteur]])</f>
        <v>17</v>
      </c>
      <c r="I141" s="3" t="str">
        <f t="shared" si="21"/>
        <v>Design Pattern Card</v>
      </c>
    </row>
    <row r="142" spans="1:9" x14ac:dyDescent="0.45">
      <c r="A142" t="s">
        <v>574</v>
      </c>
      <c r="B142" t="str">
        <f t="shared" si="15"/>
        <v>2006</v>
      </c>
      <c r="C142" t="str">
        <f t="shared" si="16"/>
        <v>Wiley</v>
      </c>
      <c r="D142" t="str">
        <f t="shared" si="17"/>
        <v>Steve Holzner</v>
      </c>
      <c r="E142" s="3" t="str">
        <f t="shared" si="18"/>
        <v/>
      </c>
      <c r="F142" s="3" t="str">
        <f t="shared" si="19"/>
        <v>.pdf</v>
      </c>
      <c r="G142">
        <f t="shared" si="20"/>
        <v>64</v>
      </c>
      <c r="H142" s="3">
        <f>LEN(Table1[[#This Row],[Auteur]])</f>
        <v>13</v>
      </c>
      <c r="I142" s="3" t="str">
        <f t="shared" si="21"/>
        <v>Design Patterns for Dummies</v>
      </c>
    </row>
    <row r="143" spans="1:9" x14ac:dyDescent="0.45">
      <c r="A143" t="s">
        <v>575</v>
      </c>
      <c r="B143" t="str">
        <f t="shared" si="15"/>
        <v>1994</v>
      </c>
      <c r="C143" t="str">
        <f t="shared" si="16"/>
        <v>Pearson</v>
      </c>
      <c r="D143" t="str">
        <f t="shared" si="17"/>
        <v>Erich Gamma, Richard Helm, Ralph Johnson, John Vlissides</v>
      </c>
      <c r="E143" s="3" t="str">
        <f t="shared" si="18"/>
        <v/>
      </c>
      <c r="F143" s="3" t="str">
        <f t="shared" si="19"/>
        <v>.epub</v>
      </c>
      <c r="G143">
        <f t="shared" si="20"/>
        <v>145</v>
      </c>
      <c r="H143" s="3">
        <f>LEN(Table1[[#This Row],[Auteur]])</f>
        <v>56</v>
      </c>
      <c r="I143" s="3" t="str">
        <f t="shared" si="21"/>
        <v>Design Patterns, Elements of Reusable Object-Oriented Software</v>
      </c>
    </row>
    <row r="144" spans="1:9" x14ac:dyDescent="0.45">
      <c r="A144" t="s">
        <v>576</v>
      </c>
      <c r="B144" t="str">
        <f t="shared" si="15"/>
        <v>2009</v>
      </c>
      <c r="C144" t="str">
        <f t="shared" si="16"/>
        <v>Addison-Wesley</v>
      </c>
      <c r="D144" t="str">
        <f t="shared" si="17"/>
        <v>Krzysztof Cwalina, Brad Abrams</v>
      </c>
      <c r="E144" s="3" t="str">
        <f t="shared" si="18"/>
        <v/>
      </c>
      <c r="F144" s="3" t="str">
        <f t="shared" si="19"/>
        <v>.pdf</v>
      </c>
      <c r="G144">
        <f t="shared" si="20"/>
        <v>98</v>
      </c>
      <c r="H144" s="3">
        <f>LEN(Table1[[#This Row],[Auteur]])</f>
        <v>30</v>
      </c>
      <c r="I144" s="3" t="str">
        <f t="shared" si="21"/>
        <v>Framework Design Guidelines</v>
      </c>
    </row>
    <row r="145" spans="1:9" x14ac:dyDescent="0.45">
      <c r="A145" t="s">
        <v>577</v>
      </c>
      <c r="B145" t="str">
        <f t="shared" si="15"/>
        <v>2006</v>
      </c>
      <c r="C145" t="str">
        <f t="shared" si="16"/>
        <v>Wiley</v>
      </c>
      <c r="D145" t="str">
        <f t="shared" si="17"/>
        <v>Cay Horstmann</v>
      </c>
      <c r="E145" s="3" t="str">
        <f t="shared" si="18"/>
        <v/>
      </c>
      <c r="F145" t="str">
        <f t="shared" si="19"/>
        <v>.pdf</v>
      </c>
      <c r="G145">
        <f t="shared" si="20"/>
        <v>80</v>
      </c>
      <c r="H145" s="3">
        <f>LEN(Table1[[#This Row],[Auteur]])</f>
        <v>13</v>
      </c>
      <c r="I145" s="3" t="str">
        <f t="shared" si="21"/>
        <v>Object Oriented Design and Patterns</v>
      </c>
    </row>
    <row r="146" spans="1:9" x14ac:dyDescent="0.45">
      <c r="A146" t="s">
        <v>578</v>
      </c>
      <c r="B146" t="str">
        <f t="shared" si="15"/>
        <v>2002</v>
      </c>
      <c r="C146" t="str">
        <f t="shared" si="16"/>
        <v>Addison-Wesley</v>
      </c>
      <c r="D146" t="str">
        <f t="shared" si="17"/>
        <v>Martin Fowler et al</v>
      </c>
      <c r="E146" s="3" t="str">
        <f t="shared" si="18"/>
        <v/>
      </c>
      <c r="F146" t="str">
        <f t="shared" si="19"/>
        <v>.pdf</v>
      </c>
      <c r="G146">
        <f t="shared" si="20"/>
        <v>99</v>
      </c>
      <c r="H146" s="3">
        <f>LEN(Table1[[#This Row],[Auteur]])</f>
        <v>19</v>
      </c>
      <c r="I146" s="3" t="str">
        <f t="shared" si="21"/>
        <v>Patterns of Enterprise Application Architecture</v>
      </c>
    </row>
    <row r="147" spans="1:9" x14ac:dyDescent="0.45">
      <c r="A147" t="s">
        <v>579</v>
      </c>
      <c r="B147" t="str">
        <f t="shared" si="15"/>
        <v>2009</v>
      </c>
      <c r="C147" t="str">
        <f t="shared" si="16"/>
        <v>Springer</v>
      </c>
      <c r="D147" t="str">
        <f t="shared" si="17"/>
        <v>Daniel Page</v>
      </c>
      <c r="E147" s="3" t="str">
        <f t="shared" si="18"/>
        <v/>
      </c>
      <c r="F147" s="3" t="str">
        <f t="shared" si="19"/>
        <v>.pdf</v>
      </c>
      <c r="G147">
        <f t="shared" si="20"/>
        <v>87</v>
      </c>
      <c r="H147" s="3">
        <f>LEN(Table1[[#This Row],[Auteur]])</f>
        <v>11</v>
      </c>
      <c r="I147" s="3" t="str">
        <f t="shared" si="21"/>
        <v>A Practical Introduction to Computer Architecture</v>
      </c>
    </row>
    <row r="148" spans="1:9" x14ac:dyDescent="0.45">
      <c r="A148" t="s">
        <v>580</v>
      </c>
      <c r="B148" t="str">
        <f t="shared" si="15"/>
        <v>2011</v>
      </c>
      <c r="C148" t="str">
        <f t="shared" si="16"/>
        <v>Dunod</v>
      </c>
      <c r="D148" t="str">
        <f t="shared" si="17"/>
        <v>Georges Asch</v>
      </c>
      <c r="E148" s="3" t="str">
        <f t="shared" si="18"/>
        <v/>
      </c>
      <c r="F148" t="str">
        <f t="shared" si="19"/>
        <v>.pdf</v>
      </c>
      <c r="G148">
        <f t="shared" si="20"/>
        <v>92</v>
      </c>
      <c r="H148" s="3">
        <f>LEN(Table1[[#This Row],[Auteur]])</f>
        <v>12</v>
      </c>
      <c r="I148" s="3" t="str">
        <f t="shared" si="21"/>
        <v>Acquisition de données, Du capteur à l'ordinateur</v>
      </c>
    </row>
    <row r="149" spans="1:9" x14ac:dyDescent="0.45">
      <c r="A149" t="s">
        <v>581</v>
      </c>
      <c r="B149" t="str">
        <f t="shared" si="15"/>
        <v>2010</v>
      </c>
      <c r="C149" t="str">
        <f t="shared" si="16"/>
        <v>Pearson</v>
      </c>
      <c r="D149" t="str">
        <f t="shared" si="17"/>
        <v>Michel Martin</v>
      </c>
      <c r="E149" s="3" t="str">
        <f t="shared" si="18"/>
        <v/>
      </c>
      <c r="F149" s="3" t="str">
        <f t="shared" si="19"/>
        <v>.pdf</v>
      </c>
      <c r="G149">
        <f t="shared" si="20"/>
        <v>76</v>
      </c>
      <c r="H149" s="3">
        <f>LEN(Table1[[#This Row],[Auteur]])</f>
        <v>13</v>
      </c>
      <c r="I149" s="3" t="str">
        <f t="shared" si="21"/>
        <v>Assembler upgrader et dépanner son PC</v>
      </c>
    </row>
    <row r="150" spans="1:9" x14ac:dyDescent="0.45">
      <c r="A150" t="s">
        <v>582</v>
      </c>
      <c r="B150" t="str">
        <f t="shared" si="15"/>
        <v>2007</v>
      </c>
      <c r="C150" t="str">
        <f t="shared" si="16"/>
        <v>Elsevier</v>
      </c>
      <c r="D150" t="str">
        <f t="shared" si="17"/>
        <v>John L. Hennessy, David A. Patterson</v>
      </c>
      <c r="E150" s="3" t="str">
        <f t="shared" si="18"/>
        <v/>
      </c>
      <c r="F150" t="str">
        <f t="shared" si="19"/>
        <v>.pdf</v>
      </c>
      <c r="G150">
        <f t="shared" si="20"/>
        <v>117</v>
      </c>
      <c r="H150" s="3">
        <f>LEN(Table1[[#This Row],[Auteur]])</f>
        <v>36</v>
      </c>
      <c r="I150" s="3" t="str">
        <f t="shared" si="21"/>
        <v>Computer Architecture, A Quantitative Approach</v>
      </c>
    </row>
    <row r="151" spans="1:9" x14ac:dyDescent="0.45">
      <c r="A151" t="s">
        <v>583</v>
      </c>
      <c r="B151" t="str">
        <f t="shared" si="15"/>
        <v>2007</v>
      </c>
      <c r="C151" t="str">
        <f t="shared" si="16"/>
        <v>?</v>
      </c>
      <c r="D151" t="str">
        <f t="shared" si="17"/>
        <v>?</v>
      </c>
      <c r="E151" s="3" t="str">
        <f t="shared" si="18"/>
        <v/>
      </c>
      <c r="F151" t="str">
        <f t="shared" si="19"/>
        <v>.rar</v>
      </c>
      <c r="G151">
        <f t="shared" si="20"/>
        <v>90</v>
      </c>
      <c r="H151" s="3">
        <f>LEN(Table1[[#This Row],[Auteur]])</f>
        <v>1</v>
      </c>
      <c r="I151" s="3" t="str">
        <f t="shared" si="21"/>
        <v>Computer Architecture, A Quantitative Approach</v>
      </c>
    </row>
    <row r="152" spans="1:9" x14ac:dyDescent="0.45">
      <c r="A152" t="s">
        <v>584</v>
      </c>
      <c r="B152" t="str">
        <f t="shared" si="15"/>
        <v>2005</v>
      </c>
      <c r="C152" t="str">
        <f t="shared" si="16"/>
        <v>Elsevier</v>
      </c>
      <c r="D152" t="str">
        <f t="shared" si="17"/>
        <v>David a Patterson, John L Henne</v>
      </c>
      <c r="E152" s="3" t="str">
        <f t="shared" si="18"/>
        <v/>
      </c>
      <c r="F152" t="str">
        <f t="shared" si="19"/>
        <v>.pdf</v>
      </c>
      <c r="G152">
        <f t="shared" si="20"/>
        <v>131</v>
      </c>
      <c r="H152" s="3">
        <f>LEN(Table1[[#This Row],[Auteur]])</f>
        <v>31</v>
      </c>
      <c r="I152" s="3" t="str">
        <f t="shared" si="21"/>
        <v>Computer Organization and Design, The Hardware Software Interface</v>
      </c>
    </row>
    <row r="153" spans="1:9" x14ac:dyDescent="0.45">
      <c r="A153" t="s">
        <v>585</v>
      </c>
      <c r="B153" t="str">
        <f t="shared" si="15"/>
        <v>2005</v>
      </c>
      <c r="C153" t="str">
        <f t="shared" si="16"/>
        <v>?</v>
      </c>
      <c r="D153" t="str">
        <f t="shared" si="17"/>
        <v>?</v>
      </c>
      <c r="E153" s="3" t="str">
        <f t="shared" si="18"/>
        <v/>
      </c>
      <c r="F153" t="str">
        <f t="shared" si="19"/>
        <v>.pdf</v>
      </c>
      <c r="G153">
        <f t="shared" si="20"/>
        <v>95</v>
      </c>
      <c r="H153" s="3">
        <f>LEN(Table1[[#This Row],[Auteur]])</f>
        <v>1</v>
      </c>
      <c r="I153" s="3" t="str">
        <f t="shared" si="21"/>
        <v>Computer Organization and Design, The Hardware Software Interface</v>
      </c>
    </row>
    <row r="154" spans="1:9" x14ac:dyDescent="0.45">
      <c r="A154" t="s">
        <v>586</v>
      </c>
      <c r="B154" t="str">
        <f t="shared" si="15"/>
        <v>2009</v>
      </c>
      <c r="C154" t="str">
        <f t="shared" si="16"/>
        <v>Elsevier</v>
      </c>
      <c r="D154" t="str">
        <f t="shared" si="17"/>
        <v>David a Patterson, John L Henne</v>
      </c>
      <c r="E154" s="3" t="str">
        <f t="shared" si="18"/>
        <v>Scan</v>
      </c>
      <c r="F154" s="3" t="str">
        <f t="shared" si="19"/>
        <v>.pdf</v>
      </c>
      <c r="G154" s="3">
        <f t="shared" si="20"/>
        <v>138</v>
      </c>
      <c r="H154" s="3">
        <f>LEN(Table1[[#This Row],[Auteur]])</f>
        <v>31</v>
      </c>
      <c r="I154" s="3" t="str">
        <f t="shared" si="21"/>
        <v>Computer Organization and Design, The Hardware Software Interface</v>
      </c>
    </row>
    <row r="155" spans="1:9" x14ac:dyDescent="0.45">
      <c r="A155" t="s">
        <v>587</v>
      </c>
      <c r="B155" t="str">
        <f t="shared" si="15"/>
        <v>2009</v>
      </c>
      <c r="C155" t="str">
        <f t="shared" si="16"/>
        <v>?</v>
      </c>
      <c r="D155" t="str">
        <f t="shared" si="17"/>
        <v>?</v>
      </c>
      <c r="E155" s="3" t="str">
        <f t="shared" si="18"/>
        <v/>
      </c>
      <c r="F155" t="str">
        <f t="shared" si="19"/>
        <v>.rar</v>
      </c>
      <c r="G155">
        <f t="shared" si="20"/>
        <v>88</v>
      </c>
      <c r="H155" s="3">
        <f>LEN(Table1[[#This Row],[Auteur]])</f>
        <v>1</v>
      </c>
      <c r="I155" s="3" t="str">
        <f t="shared" si="21"/>
        <v>Computer Organization and Design, The Hardware Software Interface</v>
      </c>
    </row>
    <row r="156" spans="1:9" x14ac:dyDescent="0.45">
      <c r="A156" t="s">
        <v>1927</v>
      </c>
      <c r="B156" t="str">
        <f t="shared" si="15"/>
        <v>2014</v>
      </c>
      <c r="C156" t="str">
        <f t="shared" si="16"/>
        <v>Eyrolles</v>
      </c>
      <c r="D156" t="str">
        <f t="shared" si="17"/>
        <v>Sophie Lange</v>
      </c>
      <c r="E156" s="3" t="str">
        <f t="shared" si="18"/>
        <v/>
      </c>
      <c r="F156" t="str">
        <f t="shared" si="19"/>
        <v>.pdf</v>
      </c>
      <c r="G156">
        <f t="shared" si="20"/>
        <v>142</v>
      </c>
      <c r="H156" s="3">
        <f>LEN(Table1[[#This Row],[Auteur]])</f>
        <v>12</v>
      </c>
      <c r="I156" s="3" t="str">
        <f t="shared" si="21"/>
        <v>Configuration et dépannage de PC, Guide de formation avec exercices pratiques, De Win XP à Win 8</v>
      </c>
    </row>
    <row r="157" spans="1:9" x14ac:dyDescent="0.45">
      <c r="A157" t="s">
        <v>1928</v>
      </c>
      <c r="B157" t="str">
        <f t="shared" si="15"/>
        <v>2012</v>
      </c>
      <c r="C157" t="str">
        <f t="shared" si="16"/>
        <v>Eyrolles</v>
      </c>
      <c r="D157" t="str">
        <f t="shared" si="17"/>
        <v>Sophie Lange</v>
      </c>
      <c r="E157" s="3" t="str">
        <f t="shared" si="18"/>
        <v/>
      </c>
      <c r="F157" s="3" t="str">
        <f t="shared" si="19"/>
        <v>.pdf</v>
      </c>
      <c r="G157">
        <f t="shared" si="20"/>
        <v>141</v>
      </c>
      <c r="H157" s="3">
        <f>LEN(Table1[[#This Row],[Auteur]])</f>
        <v>12</v>
      </c>
      <c r="I157" s="3" t="str">
        <f t="shared" si="21"/>
        <v>Configuration et dépannage de PC, Guide de formation avec exercices pratiques, Win XP, Vista, 7</v>
      </c>
    </row>
    <row r="158" spans="1:9" hidden="1" x14ac:dyDescent="0.45">
      <c r="A158" t="s">
        <v>588</v>
      </c>
      <c r="B158" t="str">
        <f t="shared" si="15"/>
        <v>2005</v>
      </c>
      <c r="C158" t="str">
        <f t="shared" si="16"/>
        <v>Corollary Theorems</v>
      </c>
      <c r="D158" t="str">
        <f t="shared" si="17"/>
        <v>OG Popa</v>
      </c>
      <c r="E158" s="3" t="str">
        <f t="shared" si="18"/>
        <v/>
      </c>
      <c r="F158" t="str">
        <f t="shared" si="19"/>
        <v>.pdf</v>
      </c>
      <c r="G158">
        <f t="shared" si="20"/>
        <v>88</v>
      </c>
      <c r="H158" s="3">
        <f>LEN(Table1[[#This Row],[Auteur]])</f>
        <v>7</v>
      </c>
      <c r="I158" s="3" t="str">
        <f t="shared" ref="I158:I193" si="22">Title(A158)</f>
        <v>Learn Hardware, Firmware and Software Design</v>
      </c>
    </row>
    <row r="159" spans="1:9" x14ac:dyDescent="0.45">
      <c r="A159" t="s">
        <v>589</v>
      </c>
      <c r="B159" t="str">
        <f t="shared" si="15"/>
        <v>2005</v>
      </c>
      <c r="C159" t="str">
        <f t="shared" si="16"/>
        <v>?</v>
      </c>
      <c r="D159" t="str">
        <f t="shared" si="17"/>
        <v>?</v>
      </c>
      <c r="E159" s="3" t="str">
        <f t="shared" si="18"/>
        <v/>
      </c>
      <c r="F159" s="3" t="str">
        <f t="shared" si="19"/>
        <v>.rar</v>
      </c>
      <c r="G159">
        <f t="shared" si="20"/>
        <v>68</v>
      </c>
      <c r="H159" s="3">
        <f>LEN(Table1[[#This Row],[Auteur]])</f>
        <v>1</v>
      </c>
      <c r="I159" s="3" t="str">
        <f t="shared" si="22"/>
        <v>Learn Hardware, Firmware and Software Design</v>
      </c>
    </row>
    <row r="160" spans="1:9" x14ac:dyDescent="0.45">
      <c r="A160" t="s">
        <v>590</v>
      </c>
      <c r="B160" t="str">
        <f t="shared" si="15"/>
        <v>2008</v>
      </c>
      <c r="C160" t="str">
        <f t="shared" si="16"/>
        <v>Elsevier</v>
      </c>
      <c r="D160" t="str">
        <f t="shared" si="17"/>
        <v>Bruce Jacob, Spencer W. Ng, David T. Wang</v>
      </c>
      <c r="E160" s="3" t="str">
        <f t="shared" si="18"/>
        <v/>
      </c>
      <c r="F160" s="3" t="str">
        <f t="shared" si="19"/>
        <v>.pdf</v>
      </c>
      <c r="G160">
        <f t="shared" si="20"/>
        <v>101</v>
      </c>
      <c r="H160" s="3">
        <f>LEN(Table1[[#This Row],[Auteur]])</f>
        <v>41</v>
      </c>
      <c r="I160" s="3" t="str">
        <f t="shared" si="22"/>
        <v>Memory Systems, Cache, DRAM, Disk</v>
      </c>
    </row>
    <row r="161" spans="1:9" x14ac:dyDescent="0.45">
      <c r="A161" t="s">
        <v>591</v>
      </c>
      <c r="B161" t="str">
        <f t="shared" si="15"/>
        <v>2012</v>
      </c>
      <c r="C161" t="str">
        <f t="shared" si="16"/>
        <v>Dunod</v>
      </c>
      <c r="D161" t="str">
        <f t="shared" si="17"/>
        <v>Jacques Zorda, Abdelaziz M'zoughi</v>
      </c>
      <c r="E161" s="3" t="str">
        <f t="shared" si="18"/>
        <v/>
      </c>
      <c r="F161" s="3" t="str">
        <f t="shared" si="19"/>
        <v>.pdf</v>
      </c>
      <c r="G161">
        <f t="shared" si="20"/>
        <v>99</v>
      </c>
      <c r="H161" s="3">
        <f>LEN(Table1[[#This Row],[Auteur]])</f>
        <v>33</v>
      </c>
      <c r="I161" s="3" t="str">
        <f t="shared" si="22"/>
        <v>Mini manuel d'architecture de l'ordinateur</v>
      </c>
    </row>
    <row r="162" spans="1:9" x14ac:dyDescent="0.45">
      <c r="A162" t="s">
        <v>592</v>
      </c>
      <c r="B162" t="str">
        <f t="shared" si="15"/>
        <v>2007</v>
      </c>
      <c r="C162" t="str">
        <f t="shared" si="16"/>
        <v>Elsevier</v>
      </c>
      <c r="D162" t="str">
        <f t="shared" si="17"/>
        <v>Dominic Sweetman</v>
      </c>
      <c r="E162" s="3" t="str">
        <f t="shared" si="18"/>
        <v/>
      </c>
      <c r="F162" s="3" t="str">
        <f t="shared" si="19"/>
        <v>.pdf</v>
      </c>
      <c r="G162">
        <f t="shared" si="20"/>
        <v>69</v>
      </c>
      <c r="H162" s="3">
        <f>LEN(Table1[[#This Row],[Auteur]])</f>
        <v>16</v>
      </c>
      <c r="I162" s="3" t="str">
        <f t="shared" si="22"/>
        <v>See MIPS Run Linux</v>
      </c>
    </row>
    <row r="163" spans="1:9" x14ac:dyDescent="0.45">
      <c r="A163" t="s">
        <v>593</v>
      </c>
      <c r="B163" t="str">
        <f t="shared" si="15"/>
        <v>2002</v>
      </c>
      <c r="C163" t="str">
        <f t="shared" si="16"/>
        <v>CRC Press</v>
      </c>
      <c r="D163" t="str">
        <f t="shared" si="17"/>
        <v>Vojin Oklobdzija</v>
      </c>
      <c r="E163" s="3" t="str">
        <f t="shared" si="18"/>
        <v/>
      </c>
      <c r="F163" t="str">
        <f t="shared" si="19"/>
        <v>.pdf</v>
      </c>
      <c r="G163">
        <f t="shared" si="20"/>
        <v>77</v>
      </c>
      <c r="H163" s="3">
        <f>LEN(Table1[[#This Row],[Auteur]])</f>
        <v>16</v>
      </c>
      <c r="I163" s="3" t="str">
        <f t="shared" si="22"/>
        <v>The Computer Engineering Handbook</v>
      </c>
    </row>
    <row r="164" spans="1:9" x14ac:dyDescent="0.45">
      <c r="A164" t="s">
        <v>594</v>
      </c>
      <c r="B164" t="str">
        <f t="shared" si="15"/>
        <v>2009</v>
      </c>
      <c r="C164" t="str">
        <f t="shared" si="16"/>
        <v>Lakeview Research</v>
      </c>
      <c r="D164" t="str">
        <f t="shared" si="17"/>
        <v>Jan Axelson</v>
      </c>
      <c r="E164" s="3" t="str">
        <f t="shared" si="18"/>
        <v/>
      </c>
      <c r="F164" s="3" t="str">
        <f t="shared" si="19"/>
        <v>.pdf</v>
      </c>
      <c r="G164">
        <f t="shared" si="20"/>
        <v>90</v>
      </c>
      <c r="H164" s="3">
        <f>LEN(Table1[[#This Row],[Auteur]])</f>
        <v>11</v>
      </c>
      <c r="I164" s="3" t="str">
        <f t="shared" si="22"/>
        <v>USB Complete, The Developer's Guide</v>
      </c>
    </row>
    <row r="165" spans="1:9" x14ac:dyDescent="0.45">
      <c r="A165" t="s">
        <v>649</v>
      </c>
      <c r="B165" t="str">
        <f t="shared" si="15"/>
        <v>2014</v>
      </c>
      <c r="C165" t="str">
        <f t="shared" si="16"/>
        <v>Maker Media</v>
      </c>
      <c r="D165" t="str">
        <f t="shared" si="17"/>
        <v>Kimmo Karvinen, Tero Karvinen</v>
      </c>
      <c r="E165" s="3" t="str">
        <f t="shared" si="18"/>
        <v/>
      </c>
      <c r="F165" t="str">
        <f t="shared" si="19"/>
        <v>.pdf</v>
      </c>
      <c r="G165">
        <f t="shared" si="20"/>
        <v>87</v>
      </c>
      <c r="H165" s="3">
        <f>LEN(Table1[[#This Row],[Auteur]])</f>
        <v>29</v>
      </c>
      <c r="I165" s="3" t="str">
        <f t="shared" si="22"/>
        <v>Getting Started with Sensors</v>
      </c>
    </row>
    <row r="166" spans="1:9" x14ac:dyDescent="0.45">
      <c r="A166" t="s">
        <v>650</v>
      </c>
      <c r="B166" t="str">
        <f t="shared" si="15"/>
        <v>2014</v>
      </c>
      <c r="C166" t="str">
        <f t="shared" si="16"/>
        <v>Dunod</v>
      </c>
      <c r="D166" t="str">
        <f t="shared" si="17"/>
        <v>Karvinen, Valtokari</v>
      </c>
      <c r="E166" s="3" t="str">
        <f t="shared" si="18"/>
        <v/>
      </c>
      <c r="F166" t="str">
        <f t="shared" si="19"/>
        <v>.pdf</v>
      </c>
      <c r="G166">
        <f t="shared" si="20"/>
        <v>84</v>
      </c>
      <c r="H166" s="3">
        <f>LEN(Table1[[#This Row],[Auteur]])</f>
        <v>19</v>
      </c>
      <c r="I166" s="3" t="str">
        <f t="shared" si="22"/>
        <v>Les capteurs pour Arduino et Raspberry Pi</v>
      </c>
    </row>
    <row r="167" spans="1:9" x14ac:dyDescent="0.45">
      <c r="A167" t="s">
        <v>651</v>
      </c>
      <c r="B167" t="str">
        <f t="shared" si="15"/>
        <v>2014</v>
      </c>
      <c r="C167" t="str">
        <f t="shared" si="16"/>
        <v>Maker Media</v>
      </c>
      <c r="D167" t="str">
        <f t="shared" si="17"/>
        <v>Tero Karvinen, Kimmo Karvinen, Ville Valtokari</v>
      </c>
      <c r="E167" s="3" t="str">
        <f t="shared" si="18"/>
        <v/>
      </c>
      <c r="F167" s="3" t="str">
        <f t="shared" si="19"/>
        <v>.epub</v>
      </c>
      <c r="G167">
        <f t="shared" si="20"/>
        <v>89</v>
      </c>
      <c r="H167" s="3">
        <f>LEN(Table1[[#This Row],[Auteur]])</f>
        <v>46</v>
      </c>
      <c r="I167" s="3" t="str">
        <f t="shared" si="22"/>
        <v>Make Sensors</v>
      </c>
    </row>
    <row r="168" spans="1:9" x14ac:dyDescent="0.45">
      <c r="A168" t="s">
        <v>652</v>
      </c>
      <c r="B168" t="str">
        <f t="shared" si="15"/>
        <v>2016</v>
      </c>
      <c r="C168" t="str">
        <f t="shared" si="16"/>
        <v>Eyrolles</v>
      </c>
      <c r="D168" t="str">
        <f t="shared" si="17"/>
        <v>Simon Monk</v>
      </c>
      <c r="E168" s="3" t="str">
        <f t="shared" si="18"/>
        <v/>
      </c>
      <c r="F168" t="str">
        <f t="shared" si="19"/>
        <v>.pdf</v>
      </c>
      <c r="G168">
        <f t="shared" si="20"/>
        <v>91</v>
      </c>
      <c r="H168" s="3">
        <f>LEN(Table1[[#This Row],[Auteur]])</f>
        <v>10</v>
      </c>
      <c r="I168" s="3" t="str">
        <f t="shared" si="22"/>
        <v>Mouvement, lumière et son avec Arduino et Raspberry Pi</v>
      </c>
    </row>
    <row r="169" spans="1:9" x14ac:dyDescent="0.45">
      <c r="A169" t="s">
        <v>653</v>
      </c>
      <c r="B169" t="str">
        <f t="shared" si="15"/>
        <v>2013</v>
      </c>
      <c r="C169" t="str">
        <f t="shared" si="16"/>
        <v>Packt</v>
      </c>
      <c r="D169" t="str">
        <f t="shared" si="17"/>
        <v>Andrew K. Dennis</v>
      </c>
      <c r="E169" s="3" t="str">
        <f t="shared" si="18"/>
        <v/>
      </c>
      <c r="F169" s="3" t="str">
        <f t="shared" si="19"/>
        <v>.pdf</v>
      </c>
      <c r="G169" s="3">
        <f t="shared" si="20"/>
        <v>89</v>
      </c>
      <c r="H169" s="3">
        <f>LEN(Table1[[#This Row],[Auteur]])</f>
        <v>16</v>
      </c>
      <c r="I169" s="3" t="str">
        <f t="shared" si="22"/>
        <v>Raspberry Pi Home Automation with Arduino</v>
      </c>
    </row>
    <row r="170" spans="1:9" x14ac:dyDescent="0.45">
      <c r="A170" t="s">
        <v>654</v>
      </c>
      <c r="B170" t="str">
        <f t="shared" si="15"/>
        <v>2015</v>
      </c>
      <c r="C170" t="str">
        <f t="shared" si="16"/>
        <v>Packt</v>
      </c>
      <c r="D170" t="str">
        <f t="shared" si="17"/>
        <v>Andrew K. Dennis</v>
      </c>
      <c r="E170" s="3" t="str">
        <f t="shared" si="18"/>
        <v/>
      </c>
      <c r="F170" s="3" t="str">
        <f t="shared" si="19"/>
        <v>.pdf</v>
      </c>
      <c r="G170">
        <f t="shared" si="20"/>
        <v>89</v>
      </c>
      <c r="H170" s="3">
        <f>LEN(Table1[[#This Row],[Auteur]])</f>
        <v>16</v>
      </c>
      <c r="I170" s="3" t="str">
        <f t="shared" si="22"/>
        <v>Raspberry Pi Home Automation with Arduino</v>
      </c>
    </row>
    <row r="171" spans="1:9" x14ac:dyDescent="0.45">
      <c r="A171" t="s">
        <v>814</v>
      </c>
      <c r="B171" t="str">
        <f t="shared" si="15"/>
        <v>2015</v>
      </c>
      <c r="C171" t="str">
        <f t="shared" si="16"/>
        <v>McGraw-Hill</v>
      </c>
      <c r="D171" t="str">
        <f t="shared" si="17"/>
        <v>Donald Norris</v>
      </c>
      <c r="E171" s="3" t="str">
        <f t="shared" si="18"/>
        <v/>
      </c>
      <c r="F171" s="3" t="str">
        <f t="shared" si="19"/>
        <v>.pdf</v>
      </c>
      <c r="G171">
        <f t="shared" si="20"/>
        <v>145</v>
      </c>
      <c r="H171" s="3">
        <f>LEN(Table1[[#This Row],[Auteur]])</f>
        <v>13</v>
      </c>
      <c r="I171" s="3" t="str">
        <f t="shared" si="22"/>
        <v>The Internet of Things, Do-It-Yourself at Home Projects for Arduino, Raspberry Pi and BeagleBone Black</v>
      </c>
    </row>
    <row r="172" spans="1:9" x14ac:dyDescent="0.45">
      <c r="A172" t="s">
        <v>595</v>
      </c>
      <c r="B172" t="str">
        <f t="shared" si="15"/>
        <v>2015</v>
      </c>
      <c r="C172" t="str">
        <f t="shared" si="16"/>
        <v>Eyrolles</v>
      </c>
      <c r="D172" t="str">
        <f t="shared" si="17"/>
        <v>Becky Stewart</v>
      </c>
      <c r="E172" s="3" t="str">
        <f t="shared" si="18"/>
        <v/>
      </c>
      <c r="F172" s="3" t="str">
        <f t="shared" si="19"/>
        <v>.pdf</v>
      </c>
      <c r="G172">
        <f t="shared" si="20"/>
        <v>65</v>
      </c>
      <c r="H172" s="3">
        <f>LEN(Table1[[#This Row],[Auteur]])</f>
        <v>13</v>
      </c>
      <c r="I172" s="3" t="str">
        <f t="shared" si="22"/>
        <v>À l'aventure avec Arduino</v>
      </c>
    </row>
    <row r="173" spans="1:9" x14ac:dyDescent="0.45">
      <c r="A173" t="s">
        <v>596</v>
      </c>
      <c r="B173" t="str">
        <f t="shared" si="15"/>
        <v>?</v>
      </c>
      <c r="C173" t="str">
        <f t="shared" si="16"/>
        <v>?</v>
      </c>
      <c r="D173" t="str">
        <f t="shared" si="17"/>
        <v>?</v>
      </c>
      <c r="E173" s="3" t="str">
        <f t="shared" si="18"/>
        <v/>
      </c>
      <c r="F173" t="str">
        <f t="shared" si="19"/>
        <v>.rar</v>
      </c>
      <c r="G173">
        <f t="shared" si="20"/>
        <v>35</v>
      </c>
      <c r="H173" s="3">
        <f>LEN(Table1[[#This Row],[Auteur]])</f>
        <v>1</v>
      </c>
      <c r="I173" s="3" t="str">
        <f t="shared" si="22"/>
        <v>À l'aventure avec Arduino, Code</v>
      </c>
    </row>
    <row r="174" spans="1:9" x14ac:dyDescent="0.45">
      <c r="A174" t="s">
        <v>597</v>
      </c>
      <c r="B174" t="str">
        <f t="shared" si="15"/>
        <v>2011</v>
      </c>
      <c r="C174" t="str">
        <f t="shared" si="16"/>
        <v>?</v>
      </c>
      <c r="D174" t="str">
        <f t="shared" si="17"/>
        <v>Floss Manuals</v>
      </c>
      <c r="E174" s="3" t="str">
        <f t="shared" si="18"/>
        <v/>
      </c>
      <c r="F174" t="str">
        <f t="shared" si="19"/>
        <v>.epub</v>
      </c>
      <c r="G174">
        <f t="shared" si="20"/>
        <v>35</v>
      </c>
      <c r="H174" s="3">
        <f>LEN(Table1[[#This Row],[Auteur]])</f>
        <v>13</v>
      </c>
      <c r="I174" s="3" t="str">
        <f t="shared" si="22"/>
        <v>Arduino</v>
      </c>
    </row>
    <row r="175" spans="1:9" x14ac:dyDescent="0.45">
      <c r="A175" t="s">
        <v>598</v>
      </c>
      <c r="B175" t="str">
        <f t="shared" si="15"/>
        <v>2011</v>
      </c>
      <c r="C175" t="str">
        <f t="shared" si="16"/>
        <v>?</v>
      </c>
      <c r="D175" t="str">
        <f t="shared" si="17"/>
        <v>Floss Manuals</v>
      </c>
      <c r="E175" s="3" t="str">
        <f t="shared" si="18"/>
        <v/>
      </c>
      <c r="F175" t="str">
        <f t="shared" si="19"/>
        <v>.pdf</v>
      </c>
      <c r="G175">
        <f t="shared" si="20"/>
        <v>34</v>
      </c>
      <c r="H175" s="3">
        <f>LEN(Table1[[#This Row],[Auteur]])</f>
        <v>13</v>
      </c>
      <c r="I175" s="3" t="str">
        <f t="shared" si="22"/>
        <v>Arduino</v>
      </c>
    </row>
    <row r="176" spans="1:9" x14ac:dyDescent="0.45">
      <c r="A176" t="s">
        <v>599</v>
      </c>
      <c r="B176" t="str">
        <f t="shared" si="15"/>
        <v>2013</v>
      </c>
      <c r="C176" t="str">
        <f t="shared" si="16"/>
        <v>Apress</v>
      </c>
      <c r="D176" t="str">
        <f t="shared" si="17"/>
        <v>James Floyd Kelly, Harold Timmis</v>
      </c>
      <c r="E176" s="3" t="str">
        <f t="shared" si="18"/>
        <v/>
      </c>
      <c r="F176" t="str">
        <f t="shared" si="19"/>
        <v>.pdf</v>
      </c>
      <c r="G176">
        <f t="shared" si="20"/>
        <v>75</v>
      </c>
      <c r="H176" s="3">
        <f>LEN(Table1[[#This Row],[Auteur]])</f>
        <v>32</v>
      </c>
      <c r="I176" s="3" t="str">
        <f t="shared" si="22"/>
        <v>Arduino Adventures</v>
      </c>
    </row>
    <row r="177" spans="1:9" x14ac:dyDescent="0.45">
      <c r="A177" t="s">
        <v>600</v>
      </c>
      <c r="B177" t="str">
        <f t="shared" si="15"/>
        <v>2012</v>
      </c>
      <c r="C177" t="str">
        <f t="shared" si="16"/>
        <v>Apress</v>
      </c>
      <c r="D177" t="str">
        <f t="shared" si="17"/>
        <v>Enrique Ramos Melgar, Ciriaco Castro Díez, Przemek Jaworski</v>
      </c>
      <c r="E177" s="3" t="str">
        <f t="shared" si="18"/>
        <v/>
      </c>
      <c r="F177" t="str">
        <f t="shared" si="19"/>
        <v>.pdf</v>
      </c>
      <c r="G177">
        <f t="shared" si="20"/>
        <v>111</v>
      </c>
      <c r="H177" s="3">
        <f>LEN(Table1[[#This Row],[Auteur]])</f>
        <v>59</v>
      </c>
      <c r="I177" s="3" t="str">
        <f t="shared" si="22"/>
        <v>Arduino and Kinect Projects</v>
      </c>
    </row>
    <row r="178" spans="1:9" x14ac:dyDescent="0.45">
      <c r="A178" t="s">
        <v>601</v>
      </c>
      <c r="B178" t="str">
        <f t="shared" si="15"/>
        <v>2013</v>
      </c>
      <c r="C178" t="str">
        <f t="shared" si="16"/>
        <v>Apress</v>
      </c>
      <c r="D178" t="str">
        <f t="shared" si="17"/>
        <v>Jon Lazar</v>
      </c>
      <c r="E178" s="3" t="str">
        <f t="shared" si="18"/>
        <v/>
      </c>
      <c r="F178" t="str">
        <f t="shared" si="19"/>
        <v>.pdf</v>
      </c>
      <c r="G178">
        <f t="shared" si="20"/>
        <v>59</v>
      </c>
      <c r="H178" s="3">
        <f>LEN(Table1[[#This Row],[Auteur]])</f>
        <v>9</v>
      </c>
      <c r="I178" s="3" t="str">
        <f t="shared" si="22"/>
        <v>Arduino and Lego Projects</v>
      </c>
    </row>
    <row r="179" spans="1:9" x14ac:dyDescent="0.45">
      <c r="A179" t="s">
        <v>602</v>
      </c>
      <c r="B179" t="str">
        <f t="shared" si="15"/>
        <v>2014</v>
      </c>
      <c r="C179" t="str">
        <f t="shared" si="16"/>
        <v>Packt</v>
      </c>
      <c r="D179" t="str">
        <f t="shared" si="17"/>
        <v>Marco Schwartz, Stefan Buttigieg</v>
      </c>
      <c r="E179" s="3" t="str">
        <f t="shared" si="18"/>
        <v/>
      </c>
      <c r="F179" t="str">
        <f t="shared" si="19"/>
        <v>.pdf</v>
      </c>
      <c r="G179">
        <f t="shared" si="20"/>
        <v>82</v>
      </c>
      <c r="H179" s="3">
        <f>LEN(Table1[[#This Row],[Auteur]])</f>
        <v>32</v>
      </c>
      <c r="I179" s="3" t="str">
        <f t="shared" si="22"/>
        <v>Arduino Android Blueprints</v>
      </c>
    </row>
    <row r="180" spans="1:9" x14ac:dyDescent="0.45">
      <c r="A180" t="s">
        <v>603</v>
      </c>
      <c r="B180" t="str">
        <f t="shared" si="15"/>
        <v>2011</v>
      </c>
      <c r="C180" t="str">
        <f t="shared" si="16"/>
        <v>O'Reilly</v>
      </c>
      <c r="D180" t="str">
        <f t="shared" si="17"/>
        <v>Kimmo Karvinen, Tero Karvinen</v>
      </c>
      <c r="E180" s="3" t="str">
        <f t="shared" si="18"/>
        <v/>
      </c>
      <c r="F180" t="str">
        <f t="shared" si="19"/>
        <v>.pdf</v>
      </c>
      <c r="G180">
        <f t="shared" si="20"/>
        <v>80</v>
      </c>
      <c r="H180" s="3">
        <f>LEN(Table1[[#This Row],[Auteur]])</f>
        <v>29</v>
      </c>
      <c r="I180" s="3" t="str">
        <f t="shared" si="22"/>
        <v>Arduino Bots and Gadgets</v>
      </c>
    </row>
    <row r="181" spans="1:9" x14ac:dyDescent="0.45">
      <c r="A181" t="s">
        <v>604</v>
      </c>
      <c r="B181" t="str">
        <f t="shared" si="15"/>
        <v>2011</v>
      </c>
      <c r="C181" t="str">
        <f t="shared" si="16"/>
        <v>O'Reilly</v>
      </c>
      <c r="D181" t="str">
        <f t="shared" si="17"/>
        <v>Michael Margolis</v>
      </c>
      <c r="E181" s="3" t="str">
        <f t="shared" si="18"/>
        <v/>
      </c>
      <c r="F181" t="str">
        <f t="shared" si="19"/>
        <v>.pdf</v>
      </c>
      <c r="G181">
        <f t="shared" si="20"/>
        <v>67</v>
      </c>
      <c r="H181" s="3">
        <f>LEN(Table1[[#This Row],[Auteur]])</f>
        <v>16</v>
      </c>
      <c r="I181" s="3" t="str">
        <f t="shared" si="22"/>
        <v>Arduino Cookbook</v>
      </c>
    </row>
    <row r="182" spans="1:9" x14ac:dyDescent="0.45">
      <c r="A182" t="s">
        <v>605</v>
      </c>
      <c r="B182" t="str">
        <f t="shared" si="15"/>
        <v>2012</v>
      </c>
      <c r="C182" t="str">
        <f t="shared" si="16"/>
        <v>O'Reilly</v>
      </c>
      <c r="D182" t="str">
        <f t="shared" si="17"/>
        <v>Michael Margolis</v>
      </c>
      <c r="E182" s="3" t="str">
        <f t="shared" si="18"/>
        <v/>
      </c>
      <c r="F182" s="3" t="str">
        <f t="shared" si="19"/>
        <v>.pdf</v>
      </c>
      <c r="G182">
        <f t="shared" si="20"/>
        <v>67</v>
      </c>
      <c r="H182" s="3">
        <f>LEN(Table1[[#This Row],[Auteur]])</f>
        <v>16</v>
      </c>
      <c r="I182" s="3" t="str">
        <f t="shared" si="22"/>
        <v>Arduino Cookbook</v>
      </c>
    </row>
    <row r="183" spans="1:9" x14ac:dyDescent="0.45">
      <c r="A183" t="s">
        <v>606</v>
      </c>
      <c r="B183" t="str">
        <f t="shared" si="15"/>
        <v>2015</v>
      </c>
      <c r="C183" t="str">
        <f t="shared" si="16"/>
        <v>Packt</v>
      </c>
      <c r="D183" t="str">
        <f t="shared" si="17"/>
        <v>Cornel Amariei</v>
      </c>
      <c r="E183" s="3" t="str">
        <f t="shared" si="18"/>
        <v/>
      </c>
      <c r="F183" t="str">
        <f t="shared" si="19"/>
        <v>.pdf</v>
      </c>
      <c r="G183">
        <f t="shared" si="20"/>
        <v>66</v>
      </c>
      <c r="H183" s="3">
        <f>LEN(Table1[[#This Row],[Auteur]])</f>
        <v>14</v>
      </c>
      <c r="I183" s="3" t="str">
        <f t="shared" si="22"/>
        <v>Arduino Development Cookbook</v>
      </c>
    </row>
    <row r="184" spans="1:9" x14ac:dyDescent="0.45">
      <c r="A184" t="s">
        <v>607</v>
      </c>
      <c r="B184" t="str">
        <f t="shared" si="15"/>
        <v>2015</v>
      </c>
      <c r="C184" t="str">
        <f t="shared" si="16"/>
        <v>Packt</v>
      </c>
      <c r="D184" t="str">
        <f t="shared" si="17"/>
        <v>Don Wilcher</v>
      </c>
      <c r="E184" s="3" t="str">
        <f t="shared" si="18"/>
        <v/>
      </c>
      <c r="F184" t="str">
        <f t="shared" si="19"/>
        <v>.pdf</v>
      </c>
      <c r="G184">
        <f t="shared" si="20"/>
        <v>65</v>
      </c>
      <c r="H184" s="3">
        <f>LEN(Table1[[#This Row],[Auteur]])</f>
        <v>11</v>
      </c>
      <c r="I184" s="3" t="str">
        <f t="shared" si="22"/>
        <v>Arduino Electronics Blueprints</v>
      </c>
    </row>
    <row r="185" spans="1:9" x14ac:dyDescent="0.45">
      <c r="A185" t="s">
        <v>608</v>
      </c>
      <c r="B185" t="str">
        <f t="shared" si="15"/>
        <v>2015</v>
      </c>
      <c r="C185" t="str">
        <f t="shared" si="16"/>
        <v>Packt</v>
      </c>
      <c r="D185" t="str">
        <f t="shared" si="17"/>
        <v>Marco Schwartz</v>
      </c>
      <c r="E185" s="3" t="str">
        <f t="shared" si="18"/>
        <v/>
      </c>
      <c r="F185" t="str">
        <f t="shared" si="19"/>
        <v>.pdf</v>
      </c>
      <c r="G185">
        <f t="shared" si="20"/>
        <v>63</v>
      </c>
      <c r="H185" s="3">
        <f>LEN(Table1[[#This Row],[Auteur]])</f>
        <v>14</v>
      </c>
      <c r="I185" s="3" t="str">
        <f t="shared" si="22"/>
        <v>Arduino for Secret Agents</v>
      </c>
    </row>
    <row r="186" spans="1:9" x14ac:dyDescent="0.45">
      <c r="A186" t="s">
        <v>609</v>
      </c>
      <c r="B186" t="str">
        <f t="shared" si="15"/>
        <v>2013</v>
      </c>
      <c r="C186" t="str">
        <f t="shared" si="16"/>
        <v>Manning</v>
      </c>
      <c r="D186" t="str">
        <f t="shared" si="17"/>
        <v>Martin Evans, Joshua Noble, Jordan Hochenbaum</v>
      </c>
      <c r="E186" s="3" t="str">
        <f t="shared" si="18"/>
        <v/>
      </c>
      <c r="F186" s="3" t="str">
        <f t="shared" si="19"/>
        <v>.pdf</v>
      </c>
      <c r="G186">
        <f t="shared" si="20"/>
        <v>88</v>
      </c>
      <c r="H186" s="3">
        <f>LEN(Table1[[#This Row],[Auteur]])</f>
        <v>45</v>
      </c>
      <c r="I186" s="3" t="str">
        <f t="shared" si="22"/>
        <v>Arduino in Action</v>
      </c>
    </row>
    <row r="187" spans="1:9" x14ac:dyDescent="0.45">
      <c r="A187" t="s">
        <v>610</v>
      </c>
      <c r="B187" t="str">
        <f t="shared" si="15"/>
        <v>2014</v>
      </c>
      <c r="C187" t="str">
        <f t="shared" si="16"/>
        <v>Dunod</v>
      </c>
      <c r="D187" t="str">
        <f t="shared" si="17"/>
        <v>Christian Tavernier</v>
      </c>
      <c r="E187" s="3" t="str">
        <f t="shared" si="18"/>
        <v/>
      </c>
      <c r="F187" t="str">
        <f t="shared" si="19"/>
        <v>.pdf</v>
      </c>
      <c r="G187">
        <f t="shared" si="20"/>
        <v>110</v>
      </c>
      <c r="H187" s="3">
        <f>LEN(Table1[[#This Row],[Auteur]])</f>
        <v>19</v>
      </c>
      <c r="I187" s="3" t="str">
        <f t="shared" si="22"/>
        <v>Arduino Maîtrisez sa programmation et ses cartes d'interface</v>
      </c>
    </row>
    <row r="188" spans="1:9" x14ac:dyDescent="0.45">
      <c r="A188" t="s">
        <v>611</v>
      </c>
      <c r="B188" t="str">
        <f t="shared" si="15"/>
        <v>2015</v>
      </c>
      <c r="C188" t="str">
        <f t="shared" si="16"/>
        <v>Apress</v>
      </c>
      <c r="D188" t="str">
        <f t="shared" si="17"/>
        <v>Mike Cook</v>
      </c>
      <c r="E188" s="3" t="str">
        <f t="shared" si="18"/>
        <v/>
      </c>
      <c r="F188" s="3" t="str">
        <f t="shared" si="19"/>
        <v>.pdf</v>
      </c>
      <c r="G188">
        <f t="shared" si="20"/>
        <v>66</v>
      </c>
      <c r="H188" s="3">
        <f>LEN(Table1[[#This Row],[Auteur]])</f>
        <v>9</v>
      </c>
      <c r="I188" s="3" t="str">
        <f t="shared" si="22"/>
        <v>Arduino Music and Audio Projects</v>
      </c>
    </row>
    <row r="189" spans="1:9" x14ac:dyDescent="0.45">
      <c r="A189" t="s">
        <v>612</v>
      </c>
      <c r="B189" t="str">
        <f t="shared" si="15"/>
        <v>2014</v>
      </c>
      <c r="C189" t="str">
        <f t="shared" si="16"/>
        <v>?</v>
      </c>
      <c r="D189" t="str">
        <f t="shared" si="17"/>
        <v>Simon Landrault, Hippolyte Weisslinger</v>
      </c>
      <c r="E189" s="3" t="str">
        <f t="shared" si="18"/>
        <v/>
      </c>
      <c r="F189" t="str">
        <f t="shared" si="19"/>
        <v>.epub</v>
      </c>
      <c r="G189">
        <f t="shared" si="20"/>
        <v>99</v>
      </c>
      <c r="H189" s="3">
        <f>LEN(Table1[[#This Row],[Auteur]])</f>
        <v>38</v>
      </c>
      <c r="I189" s="3" t="str">
        <f t="shared" si="22"/>
        <v>Arduino Premiers pas en informatique embarquée</v>
      </c>
    </row>
    <row r="190" spans="1:9" x14ac:dyDescent="0.45">
      <c r="A190" t="s">
        <v>613</v>
      </c>
      <c r="B190" t="str">
        <f t="shared" si="15"/>
        <v>2014</v>
      </c>
      <c r="C190" t="str">
        <f t="shared" si="16"/>
        <v>?</v>
      </c>
      <c r="D190" t="str">
        <f t="shared" si="17"/>
        <v>Simon Landrault, Hippolyte Weisslinger</v>
      </c>
      <c r="E190" s="3" t="str">
        <f t="shared" si="18"/>
        <v/>
      </c>
      <c r="F190" s="3" t="str">
        <f t="shared" si="19"/>
        <v>.pdf</v>
      </c>
      <c r="G190" s="3">
        <f t="shared" si="20"/>
        <v>98</v>
      </c>
      <c r="H190" s="3">
        <f>LEN(Table1[[#This Row],[Auteur]])</f>
        <v>38</v>
      </c>
      <c r="I190" s="3" t="str">
        <f t="shared" si="22"/>
        <v>Arduino Premiers pas en informatique embarquée</v>
      </c>
    </row>
    <row r="191" spans="1:9" x14ac:dyDescent="0.45">
      <c r="A191" t="s">
        <v>614</v>
      </c>
      <c r="B191" t="str">
        <f t="shared" si="15"/>
        <v>2011</v>
      </c>
      <c r="C191" t="str">
        <f t="shared" si="16"/>
        <v>Apress</v>
      </c>
      <c r="D191" t="str">
        <f t="shared" si="17"/>
        <v>Emery Premeaux, Brian Evans</v>
      </c>
      <c r="E191" s="3" t="str">
        <f t="shared" si="18"/>
        <v/>
      </c>
      <c r="F191" t="str">
        <f t="shared" si="19"/>
        <v>.pdf</v>
      </c>
      <c r="G191">
        <f t="shared" si="20"/>
        <v>86</v>
      </c>
      <c r="H191" s="3">
        <f>LEN(Table1[[#This Row],[Auteur]])</f>
        <v>27</v>
      </c>
      <c r="I191" s="3" t="str">
        <f t="shared" si="22"/>
        <v>Arduino Projects to Save the World</v>
      </c>
    </row>
    <row r="192" spans="1:9" x14ac:dyDescent="0.45">
      <c r="A192" t="s">
        <v>615</v>
      </c>
      <c r="B192" t="str">
        <f t="shared" si="15"/>
        <v>2011</v>
      </c>
      <c r="C192" t="str">
        <f t="shared" si="16"/>
        <v>Apress</v>
      </c>
      <c r="D192" t="str">
        <f t="shared" si="17"/>
        <v>Warren, Adams, Holle</v>
      </c>
      <c r="E192" s="3" t="str">
        <f t="shared" si="18"/>
        <v/>
      </c>
      <c r="F192" t="str">
        <f t="shared" si="19"/>
        <v>.pdf</v>
      </c>
      <c r="G192">
        <f t="shared" si="20"/>
        <v>61</v>
      </c>
      <c r="H192" s="3">
        <f>LEN(Table1[[#This Row],[Auteur]])</f>
        <v>20</v>
      </c>
      <c r="I192" s="3" t="str">
        <f t="shared" si="22"/>
        <v>Arduino Robotics</v>
      </c>
    </row>
    <row r="193" spans="1:9" x14ac:dyDescent="0.45">
      <c r="A193" t="s">
        <v>616</v>
      </c>
      <c r="B193" t="str">
        <f t="shared" si="15"/>
        <v>2015</v>
      </c>
      <c r="C193" t="str">
        <f t="shared" si="16"/>
        <v>Wiley</v>
      </c>
      <c r="D193" t="str">
        <f t="shared" si="17"/>
        <v>James A. Langbridge</v>
      </c>
      <c r="E193" s="3" t="str">
        <f t="shared" si="18"/>
        <v/>
      </c>
      <c r="F193" t="str">
        <f t="shared" si="19"/>
        <v>.pdf</v>
      </c>
      <c r="G193">
        <f t="shared" si="20"/>
        <v>59</v>
      </c>
      <c r="H193" s="3">
        <f>LEN(Table1[[#This Row],[Auteur]])</f>
        <v>19</v>
      </c>
      <c r="I193" s="3" t="str">
        <f t="shared" si="22"/>
        <v>Arduino Sketches</v>
      </c>
    </row>
    <row r="194" spans="1:9" x14ac:dyDescent="0.45">
      <c r="A194" t="s">
        <v>617</v>
      </c>
      <c r="B194" t="str">
        <f t="shared" ref="B194:B257" si="23">DatePub(A194)</f>
        <v>2012</v>
      </c>
      <c r="C194" t="str">
        <f t="shared" ref="C194:C257" si="24">Editeur(A194)</f>
        <v>?</v>
      </c>
      <c r="D194" t="str">
        <f t="shared" ref="D194:D257" si="25">Auteur(A194)</f>
        <v>?</v>
      </c>
      <c r="E194" s="3" t="str">
        <f t="shared" ref="E194:E257" si="26">ExtraInfo(A194)</f>
        <v/>
      </c>
      <c r="F194" s="3" t="str">
        <f t="shared" ref="F194:F257" si="27">Extension(A194)</f>
        <v>.pdf</v>
      </c>
      <c r="G194">
        <f t="shared" ref="G194:G257" si="28">LenFileName(A194)</f>
        <v>52</v>
      </c>
      <c r="H194" s="3">
        <f>LEN(Table1[[#This Row],[Auteur]])</f>
        <v>1</v>
      </c>
      <c r="I194" s="3" t="str">
        <f t="shared" ref="I194:I203" si="29">Title(A194)</f>
        <v>Arduino Starter Kit Projects Book</v>
      </c>
    </row>
    <row r="195" spans="1:9" x14ac:dyDescent="0.45">
      <c r="A195" t="s">
        <v>618</v>
      </c>
      <c r="B195" t="str">
        <f t="shared" si="23"/>
        <v>2015</v>
      </c>
      <c r="C195" t="str">
        <f t="shared" si="24"/>
        <v>SS Publishing</v>
      </c>
      <c r="D195" t="str">
        <f t="shared" si="25"/>
        <v>Robert Scott</v>
      </c>
      <c r="E195" s="3" t="str">
        <f t="shared" si="26"/>
        <v/>
      </c>
      <c r="F195" t="str">
        <f t="shared" si="27"/>
        <v>.epub</v>
      </c>
      <c r="G195">
        <f t="shared" si="28"/>
        <v>92</v>
      </c>
      <c r="H195" s="3">
        <f>LEN(Table1[[#This Row],[Auteur]])</f>
        <v>12</v>
      </c>
      <c r="I195" s="3" t="str">
        <f t="shared" si="29"/>
        <v>Arduino User Guide for Operating System</v>
      </c>
    </row>
    <row r="196" spans="1:9" x14ac:dyDescent="0.45">
      <c r="A196" t="s">
        <v>619</v>
      </c>
      <c r="B196" t="str">
        <f t="shared" si="23"/>
        <v>2015</v>
      </c>
      <c r="C196" t="str">
        <f t="shared" si="24"/>
        <v>SS Publishing</v>
      </c>
      <c r="D196" t="str">
        <f t="shared" si="25"/>
        <v>Robert Scott</v>
      </c>
      <c r="E196" s="3" t="str">
        <f t="shared" si="26"/>
        <v/>
      </c>
      <c r="F196" s="3" t="str">
        <f t="shared" si="27"/>
        <v>.pdf</v>
      </c>
      <c r="G196" s="3">
        <f t="shared" si="28"/>
        <v>91</v>
      </c>
      <c r="H196" s="3">
        <f>LEN(Table1[[#This Row],[Auteur]])</f>
        <v>12</v>
      </c>
      <c r="I196" s="3" t="str">
        <f t="shared" si="29"/>
        <v>Arduino User Guide for Operating System</v>
      </c>
    </row>
    <row r="197" spans="1:9" x14ac:dyDescent="0.45">
      <c r="A197" t="s">
        <v>620</v>
      </c>
      <c r="B197" t="str">
        <f t="shared" si="23"/>
        <v>2012</v>
      </c>
      <c r="C197" t="str">
        <f t="shared" si="24"/>
        <v>Apress</v>
      </c>
      <c r="D197" t="str">
        <f t="shared" si="25"/>
        <v>Tony Olsson</v>
      </c>
      <c r="E197" s="3" t="str">
        <f t="shared" si="26"/>
        <v/>
      </c>
      <c r="F197" t="str">
        <f t="shared" si="27"/>
        <v>.pdf</v>
      </c>
      <c r="G197">
        <f t="shared" si="28"/>
        <v>53</v>
      </c>
      <c r="H197" s="3">
        <f>LEN(Table1[[#This Row],[Auteur]])</f>
        <v>11</v>
      </c>
      <c r="I197" s="3" t="str">
        <f t="shared" si="29"/>
        <v>Arduino Wearables</v>
      </c>
    </row>
    <row r="198" spans="1:9" x14ac:dyDescent="0.45">
      <c r="A198" t="s">
        <v>621</v>
      </c>
      <c r="B198" t="str">
        <f t="shared" si="23"/>
        <v>2013</v>
      </c>
      <c r="C198" t="str">
        <f t="shared" si="24"/>
        <v>No Starch</v>
      </c>
      <c r="D198" t="str">
        <f t="shared" si="25"/>
        <v>John Boxall</v>
      </c>
      <c r="E198" s="3" t="str">
        <f t="shared" si="26"/>
        <v/>
      </c>
      <c r="F198" s="3" t="str">
        <f t="shared" si="27"/>
        <v>.pdf</v>
      </c>
      <c r="G198">
        <f t="shared" si="28"/>
        <v>55</v>
      </c>
      <c r="H198" s="3">
        <f>LEN(Table1[[#This Row],[Auteur]])</f>
        <v>11</v>
      </c>
      <c r="I198" s="3" t="str">
        <f t="shared" si="29"/>
        <v>Arduino Workshop</v>
      </c>
    </row>
    <row r="199" spans="1:9" x14ac:dyDescent="0.45">
      <c r="A199" t="s">
        <v>622</v>
      </c>
      <c r="B199" t="str">
        <f t="shared" si="23"/>
        <v>2011</v>
      </c>
      <c r="C199" t="str">
        <f t="shared" si="24"/>
        <v>The Pragmatic Programmers</v>
      </c>
      <c r="D199" t="str">
        <f t="shared" si="25"/>
        <v>Maik Schmidf</v>
      </c>
      <c r="E199" s="3" t="str">
        <f t="shared" si="26"/>
        <v/>
      </c>
      <c r="F199" s="3" t="str">
        <f t="shared" si="27"/>
        <v>.pdf</v>
      </c>
      <c r="G199">
        <f t="shared" si="28"/>
        <v>92</v>
      </c>
      <c r="H199" s="3">
        <f>LEN(Table1[[#This Row],[Auteur]])</f>
        <v>12</v>
      </c>
      <c r="I199" s="3" t="str">
        <f t="shared" si="29"/>
        <v>Arduino, A Quick-Start Guide</v>
      </c>
    </row>
    <row r="200" spans="1:9" x14ac:dyDescent="0.45">
      <c r="A200" t="s">
        <v>623</v>
      </c>
      <c r="B200" t="str">
        <f t="shared" si="23"/>
        <v>2015</v>
      </c>
      <c r="C200" t="str">
        <f t="shared" si="24"/>
        <v>The Pragmatic Programmers</v>
      </c>
      <c r="D200" t="str">
        <f t="shared" si="25"/>
        <v>Maik Schmidf</v>
      </c>
      <c r="E200" s="3" t="str">
        <f t="shared" si="26"/>
        <v/>
      </c>
      <c r="F200" t="str">
        <f t="shared" si="27"/>
        <v>.pdf</v>
      </c>
      <c r="G200">
        <f t="shared" si="28"/>
        <v>92</v>
      </c>
      <c r="H200" s="3">
        <f>LEN(Table1[[#This Row],[Auteur]])</f>
        <v>12</v>
      </c>
      <c r="I200" s="3" t="str">
        <f t="shared" si="29"/>
        <v>Arduino, A Quick-Start Guide</v>
      </c>
    </row>
    <row r="201" spans="1:9" x14ac:dyDescent="0.45">
      <c r="A201" t="s">
        <v>624</v>
      </c>
      <c r="B201" t="str">
        <f t="shared" si="23"/>
        <v>2016</v>
      </c>
      <c r="C201" t="str">
        <f t="shared" si="24"/>
        <v>O'Reilly</v>
      </c>
      <c r="D201" t="str">
        <f t="shared" si="25"/>
        <v>J. M. Hughes</v>
      </c>
      <c r="E201" s="3" t="str">
        <f t="shared" si="26"/>
        <v/>
      </c>
      <c r="F201" t="str">
        <f t="shared" si="27"/>
        <v>.epub</v>
      </c>
      <c r="G201">
        <f t="shared" si="28"/>
        <v>70</v>
      </c>
      <c r="H201" s="3">
        <f>LEN(Table1[[#This Row],[Auteur]])</f>
        <v>12</v>
      </c>
      <c r="I201" s="3" t="str">
        <f t="shared" si="29"/>
        <v>Arduino, A Technical Reference</v>
      </c>
    </row>
    <row r="202" spans="1:9" x14ac:dyDescent="0.45">
      <c r="A202" t="s">
        <v>625</v>
      </c>
      <c r="B202" t="str">
        <f t="shared" si="23"/>
        <v>2016</v>
      </c>
      <c r="C202" t="str">
        <f t="shared" si="24"/>
        <v>O'Reilly</v>
      </c>
      <c r="D202" t="str">
        <f t="shared" si="25"/>
        <v>J. M. Hughes</v>
      </c>
      <c r="E202" s="3" t="str">
        <f t="shared" si="26"/>
        <v/>
      </c>
      <c r="F202" s="3" t="str">
        <f t="shared" si="27"/>
        <v>.pdf</v>
      </c>
      <c r="G202" s="3">
        <f t="shared" si="28"/>
        <v>69</v>
      </c>
      <c r="H202" s="3">
        <f>LEN(Table1[[#This Row],[Auteur]])</f>
        <v>12</v>
      </c>
      <c r="I202" s="3" t="str">
        <f t="shared" si="29"/>
        <v>Arduino, A Technical Reference</v>
      </c>
    </row>
    <row r="203" spans="1:9" x14ac:dyDescent="0.45">
      <c r="A203" t="s">
        <v>626</v>
      </c>
      <c r="B203" t="str">
        <f t="shared" si="23"/>
        <v>2006</v>
      </c>
      <c r="C203" t="str">
        <f t="shared" si="24"/>
        <v>?</v>
      </c>
      <c r="D203" t="str">
        <f t="shared" si="25"/>
        <v>Jean-Noël Montagné</v>
      </c>
      <c r="E203" s="3" t="str">
        <f t="shared" si="26"/>
        <v/>
      </c>
      <c r="F203" s="3" t="str">
        <f t="shared" si="27"/>
        <v>.pdf</v>
      </c>
      <c r="G203">
        <f t="shared" si="28"/>
        <v>47</v>
      </c>
      <c r="H203" s="3">
        <f>LEN(Table1[[#This Row],[Auteur]])</f>
        <v>18</v>
      </c>
      <c r="I203" s="3" t="str">
        <f t="shared" si="29"/>
        <v>Atelier Arduino</v>
      </c>
    </row>
    <row r="204" spans="1:9" hidden="1" x14ac:dyDescent="0.45">
      <c r="A204" t="s">
        <v>627</v>
      </c>
      <c r="B204" t="str">
        <f t="shared" si="23"/>
        <v>2012</v>
      </c>
      <c r="C204" t="str">
        <f t="shared" si="24"/>
        <v>O'Reilly</v>
      </c>
      <c r="D204" t="str">
        <f t="shared" si="25"/>
        <v>Patrick Di Justo, Emily Gertz</v>
      </c>
      <c r="E204" s="3" t="str">
        <f t="shared" si="26"/>
        <v/>
      </c>
      <c r="F204" t="str">
        <f t="shared" si="27"/>
        <v>.pdf</v>
      </c>
      <c r="G204">
        <f t="shared" si="28"/>
        <v>91</v>
      </c>
      <c r="H204" s="3">
        <f>LEN(Table1[[#This Row],[Auteur]])</f>
        <v>29</v>
      </c>
      <c r="I204" s="3" t="str">
        <f t="shared" ref="I204:I257" si="30">Title(A204)</f>
        <v>Atmospheric Monitoring with Arduino</v>
      </c>
    </row>
    <row r="205" spans="1:9" x14ac:dyDescent="0.45">
      <c r="A205" t="s">
        <v>628</v>
      </c>
      <c r="B205" t="str">
        <f t="shared" si="23"/>
        <v>2013</v>
      </c>
      <c r="C205" t="str">
        <f t="shared" si="24"/>
        <v>Apress</v>
      </c>
      <c r="D205" t="str">
        <f t="shared" si="25"/>
        <v>Michal McRoberts</v>
      </c>
      <c r="E205" s="3" t="str">
        <f t="shared" si="26"/>
        <v/>
      </c>
      <c r="F205" t="str">
        <f t="shared" si="27"/>
        <v>.pdf</v>
      </c>
      <c r="G205">
        <f t="shared" si="28"/>
        <v>66</v>
      </c>
      <c r="H205" s="3">
        <f>LEN(Table1[[#This Row],[Auteur]])</f>
        <v>16</v>
      </c>
      <c r="I205" s="3" t="str">
        <f t="shared" si="30"/>
        <v>Beginning Arduino</v>
      </c>
    </row>
    <row r="206" spans="1:9" x14ac:dyDescent="0.45">
      <c r="A206" t="s">
        <v>629</v>
      </c>
      <c r="B206" t="str">
        <f t="shared" si="23"/>
        <v>2012</v>
      </c>
      <c r="C206" t="str">
        <f t="shared" si="24"/>
        <v>Apress</v>
      </c>
      <c r="D206" t="str">
        <f t="shared" si="25"/>
        <v>Jack Purdum</v>
      </c>
      <c r="E206" s="3" t="str">
        <f t="shared" si="26"/>
        <v/>
      </c>
      <c r="F206" t="str">
        <f t="shared" si="27"/>
        <v>.pdf</v>
      </c>
      <c r="G206">
        <f t="shared" si="28"/>
        <v>67</v>
      </c>
      <c r="H206" s="3">
        <f>LEN(Table1[[#This Row],[Auteur]])</f>
        <v>11</v>
      </c>
      <c r="I206" s="3" t="str">
        <f t="shared" si="30"/>
        <v>Beginning C for Arduino</v>
      </c>
    </row>
    <row r="207" spans="1:9" x14ac:dyDescent="0.45">
      <c r="A207" t="s">
        <v>630</v>
      </c>
      <c r="B207" t="str">
        <f t="shared" si="23"/>
        <v>2015</v>
      </c>
      <c r="C207" t="str">
        <f t="shared" si="24"/>
        <v>Apress</v>
      </c>
      <c r="D207" t="str">
        <f t="shared" si="25"/>
        <v>Jack Purdum</v>
      </c>
      <c r="E207" s="3" t="str">
        <f t="shared" si="26"/>
        <v/>
      </c>
      <c r="F207" s="3" t="str">
        <f t="shared" si="27"/>
        <v>.pdf</v>
      </c>
      <c r="G207">
        <f t="shared" si="28"/>
        <v>67</v>
      </c>
      <c r="H207" s="3">
        <f>LEN(Table1[[#This Row],[Auteur]])</f>
        <v>11</v>
      </c>
      <c r="I207" s="3" t="str">
        <f t="shared" si="30"/>
        <v>Beginning C for Arduino</v>
      </c>
    </row>
    <row r="208" spans="1:9" x14ac:dyDescent="0.45">
      <c r="A208" t="s">
        <v>631</v>
      </c>
      <c r="B208" t="str">
        <f t="shared" si="23"/>
        <v>2016</v>
      </c>
      <c r="C208" t="str">
        <f t="shared" si="24"/>
        <v>Apress</v>
      </c>
      <c r="D208" t="str">
        <f t="shared" si="25"/>
        <v>Adeel Javed</v>
      </c>
      <c r="E208" s="3" t="str">
        <f t="shared" si="26"/>
        <v/>
      </c>
      <c r="F208" t="str">
        <f t="shared" si="27"/>
        <v>.pdf</v>
      </c>
      <c r="G208">
        <f t="shared" si="28"/>
        <v>88</v>
      </c>
      <c r="H208" s="3">
        <f>LEN(Table1[[#This Row],[Auteur]])</f>
        <v>11</v>
      </c>
      <c r="I208" s="3" t="str">
        <f t="shared" si="30"/>
        <v>Building Arduino Projects for the Internet of Things</v>
      </c>
    </row>
    <row r="209" spans="1:9" x14ac:dyDescent="0.45">
      <c r="A209" t="s">
        <v>632</v>
      </c>
      <c r="B209" t="str">
        <f t="shared" si="23"/>
        <v>2013</v>
      </c>
      <c r="C209" t="str">
        <f t="shared" si="24"/>
        <v>Packt</v>
      </c>
      <c r="D209" t="str">
        <f t="shared" si="25"/>
        <v>Julien Bayle</v>
      </c>
      <c r="E209" s="3" t="str">
        <f t="shared" si="26"/>
        <v/>
      </c>
      <c r="F209" t="str">
        <f t="shared" si="27"/>
        <v>.pdf</v>
      </c>
      <c r="G209">
        <f t="shared" si="28"/>
        <v>61</v>
      </c>
      <c r="H209" s="3">
        <f>LEN(Table1[[#This Row],[Auteur]])</f>
        <v>12</v>
      </c>
      <c r="I209" s="3" t="str">
        <f t="shared" si="30"/>
        <v>C Programming for Arduino</v>
      </c>
    </row>
    <row r="210" spans="1:9" x14ac:dyDescent="0.45">
      <c r="A210" t="s">
        <v>633</v>
      </c>
      <c r="B210" t="str">
        <f t="shared" si="23"/>
        <v>2011</v>
      </c>
      <c r="C210" t="str">
        <f t="shared" si="24"/>
        <v>Maker Media</v>
      </c>
      <c r="D210" t="str">
        <f t="shared" si="25"/>
        <v>Massimo Banzi</v>
      </c>
      <c r="E210" s="3" t="str">
        <f t="shared" si="26"/>
        <v/>
      </c>
      <c r="F210" s="3" t="str">
        <f t="shared" si="27"/>
        <v>.pdf</v>
      </c>
      <c r="G210">
        <f t="shared" si="28"/>
        <v>79</v>
      </c>
      <c r="H210" s="3">
        <f>LEN(Table1[[#This Row],[Auteur]])</f>
        <v>13</v>
      </c>
      <c r="I210" s="3" t="str">
        <f t="shared" si="30"/>
        <v>Getting Started with Arduino</v>
      </c>
    </row>
    <row r="211" spans="1:9" x14ac:dyDescent="0.45">
      <c r="A211" t="s">
        <v>634</v>
      </c>
      <c r="B211" t="str">
        <f t="shared" si="23"/>
        <v>2014</v>
      </c>
      <c r="C211" t="str">
        <f t="shared" si="24"/>
        <v>Maker Media</v>
      </c>
      <c r="D211" t="str">
        <f t="shared" si="25"/>
        <v>Massimo Banzi, Michael Shiloh</v>
      </c>
      <c r="E211" s="3" t="str">
        <f t="shared" si="26"/>
        <v/>
      </c>
      <c r="F211" s="3" t="str">
        <f t="shared" si="27"/>
        <v>.pdf</v>
      </c>
      <c r="G211">
        <f t="shared" si="28"/>
        <v>95</v>
      </c>
      <c r="H211" s="3">
        <f>LEN(Table1[[#This Row],[Auteur]])</f>
        <v>29</v>
      </c>
      <c r="I211" s="3" t="str">
        <f t="shared" si="30"/>
        <v>Getting Started with Arduino</v>
      </c>
    </row>
    <row r="212" spans="1:9" x14ac:dyDescent="0.45">
      <c r="A212" t="s">
        <v>635</v>
      </c>
      <c r="B212" t="str">
        <f t="shared" si="23"/>
        <v>2012</v>
      </c>
      <c r="C212" t="str">
        <f t="shared" si="24"/>
        <v>O'Reilly</v>
      </c>
      <c r="D212" t="str">
        <f t="shared" si="25"/>
        <v>Tom Igoe</v>
      </c>
      <c r="E212" s="3" t="str">
        <f t="shared" si="26"/>
        <v/>
      </c>
      <c r="F212" t="str">
        <f t="shared" si="27"/>
        <v>.pdf</v>
      </c>
      <c r="G212">
        <f t="shared" si="28"/>
        <v>60</v>
      </c>
      <c r="H212" s="3">
        <f>LEN(Table1[[#This Row],[Auteur]])</f>
        <v>8</v>
      </c>
      <c r="I212" s="3" t="str">
        <f t="shared" si="30"/>
        <v>Getting Started with RFID</v>
      </c>
    </row>
    <row r="213" spans="1:9" x14ac:dyDescent="0.45">
      <c r="A213" t="s">
        <v>636</v>
      </c>
      <c r="B213" t="str">
        <f t="shared" si="23"/>
        <v>2014</v>
      </c>
      <c r="C213" t="str">
        <f t="shared" si="24"/>
        <v>Packt</v>
      </c>
      <c r="D213" t="str">
        <f t="shared" si="25"/>
        <v>Marco Schwartz</v>
      </c>
      <c r="E213" s="3" t="str">
        <f t="shared" si="26"/>
        <v/>
      </c>
      <c r="F213" t="str">
        <f t="shared" si="27"/>
        <v>.pdf</v>
      </c>
      <c r="G213">
        <f t="shared" si="28"/>
        <v>77</v>
      </c>
      <c r="H213" s="3">
        <f>LEN(Table1[[#This Row],[Auteur]])</f>
        <v>14</v>
      </c>
      <c r="I213" s="3" t="str">
        <f t="shared" si="30"/>
        <v>Internet of Things with the Arduino Yún</v>
      </c>
    </row>
    <row r="214" spans="1:9" x14ac:dyDescent="0.45">
      <c r="A214" t="s">
        <v>637</v>
      </c>
      <c r="B214" t="str">
        <f t="shared" si="23"/>
        <v>2011</v>
      </c>
      <c r="C214" t="str">
        <f t="shared" si="24"/>
        <v>O'Reilly</v>
      </c>
      <c r="D214" t="str">
        <f t="shared" si="25"/>
        <v>Alasdair Allan</v>
      </c>
      <c r="E214" s="3" t="str">
        <f t="shared" si="26"/>
        <v/>
      </c>
      <c r="F214" t="str">
        <f t="shared" si="27"/>
        <v>.pdf</v>
      </c>
      <c r="G214">
        <f t="shared" si="28"/>
        <v>69</v>
      </c>
      <c r="H214" s="3">
        <f>LEN(Table1[[#This Row],[Auteur]])</f>
        <v>14</v>
      </c>
      <c r="I214" s="3" t="str">
        <f t="shared" si="30"/>
        <v>iOS Sensor Apps with Arduino</v>
      </c>
    </row>
    <row r="215" spans="1:9" x14ac:dyDescent="0.45">
      <c r="A215" t="s">
        <v>638</v>
      </c>
      <c r="B215" t="str">
        <f t="shared" si="23"/>
        <v>2015</v>
      </c>
      <c r="C215" t="str">
        <f t="shared" si="24"/>
        <v>Eyrolles</v>
      </c>
      <c r="D215" t="str">
        <f t="shared" si="25"/>
        <v>Erik Bartmann</v>
      </c>
      <c r="E215" s="3" t="str">
        <f t="shared" si="26"/>
        <v/>
      </c>
      <c r="F215" t="str">
        <f t="shared" si="27"/>
        <v>.pdf</v>
      </c>
      <c r="G215">
        <f t="shared" si="28"/>
        <v>71</v>
      </c>
      <c r="H215" s="3">
        <f>LEN(Table1[[#This Row],[Auteur]])</f>
        <v>13</v>
      </c>
      <c r="I215" s="3" t="str">
        <f t="shared" si="30"/>
        <v>Le grand livre d'Arduino</v>
      </c>
    </row>
    <row r="216" spans="1:9" x14ac:dyDescent="0.45">
      <c r="A216" t="s">
        <v>639</v>
      </c>
      <c r="B216" t="str">
        <f t="shared" si="23"/>
        <v>2015</v>
      </c>
      <c r="C216" t="str">
        <f t="shared" si="24"/>
        <v>?</v>
      </c>
      <c r="D216" t="str">
        <f t="shared" si="25"/>
        <v>?</v>
      </c>
      <c r="E216" s="3" t="str">
        <f t="shared" si="26"/>
        <v/>
      </c>
      <c r="F216" t="str">
        <f t="shared" si="27"/>
        <v>.zip</v>
      </c>
      <c r="G216">
        <f t="shared" si="28"/>
        <v>63</v>
      </c>
      <c r="H216" s="3">
        <f>LEN(Table1[[#This Row],[Auteur]])</f>
        <v>1</v>
      </c>
      <c r="I216" s="3" t="str">
        <f t="shared" si="30"/>
        <v>Le grand livre d'Arduino</v>
      </c>
    </row>
    <row r="217" spans="1:9" x14ac:dyDescent="0.45">
      <c r="A217" t="s">
        <v>640</v>
      </c>
      <c r="B217" t="str">
        <f t="shared" si="23"/>
        <v>2012</v>
      </c>
      <c r="C217" t="str">
        <f t="shared" si="24"/>
        <v>Apress</v>
      </c>
      <c r="D217" t="str">
        <f t="shared" si="25"/>
        <v>Don Wilcher</v>
      </c>
      <c r="E217" s="3" t="str">
        <f t="shared" si="26"/>
        <v/>
      </c>
      <c r="F217" s="3" t="str">
        <f t="shared" si="27"/>
        <v>.pdf</v>
      </c>
      <c r="G217" s="3">
        <f t="shared" si="28"/>
        <v>66</v>
      </c>
      <c r="H217" s="3">
        <f>LEN(Table1[[#This Row],[Auteur]])</f>
        <v>11</v>
      </c>
      <c r="I217" s="3" t="str">
        <f t="shared" si="30"/>
        <v>Learn Electronics with Arduino</v>
      </c>
    </row>
    <row r="218" spans="1:9" x14ac:dyDescent="0.45">
      <c r="A218" t="s">
        <v>641</v>
      </c>
      <c r="B218" t="str">
        <f t="shared" si="23"/>
        <v>2012</v>
      </c>
      <c r="C218" t="str">
        <f t="shared" si="24"/>
        <v>O'Reilly</v>
      </c>
      <c r="D218" t="str">
        <f t="shared" si="25"/>
        <v>Tero Karvinen, Kimmo Karvinen</v>
      </c>
      <c r="E218" s="3" t="str">
        <f t="shared" si="26"/>
        <v/>
      </c>
      <c r="F218" s="3" t="str">
        <f t="shared" si="27"/>
        <v>.pdf</v>
      </c>
      <c r="G218">
        <f t="shared" si="28"/>
        <v>92</v>
      </c>
      <c r="H218" s="3">
        <f>LEN(Table1[[#This Row],[Auteur]])</f>
        <v>29</v>
      </c>
      <c r="I218" s="3" t="str">
        <f t="shared" si="30"/>
        <v>Make a Mind-Controlled Arduino Robot</v>
      </c>
    </row>
    <row r="219" spans="1:9" x14ac:dyDescent="0.45">
      <c r="A219" t="s">
        <v>642</v>
      </c>
      <c r="B219" t="str">
        <f t="shared" si="23"/>
        <v>2011</v>
      </c>
      <c r="C219" t="str">
        <f t="shared" si="24"/>
        <v>Apress</v>
      </c>
      <c r="D219" t="str">
        <f t="shared" si="25"/>
        <v>Harold Timmis</v>
      </c>
      <c r="E219" s="3" t="str">
        <f t="shared" si="26"/>
        <v/>
      </c>
      <c r="F219" s="3" t="str">
        <f t="shared" si="27"/>
        <v>.pdf</v>
      </c>
      <c r="G219" s="3">
        <f t="shared" si="28"/>
        <v>67</v>
      </c>
      <c r="H219" s="3">
        <f>LEN(Table1[[#This Row],[Auteur]])</f>
        <v>13</v>
      </c>
      <c r="I219" s="3" t="str">
        <f t="shared" si="30"/>
        <v>Practical Arduino Engineering</v>
      </c>
    </row>
    <row r="220" spans="1:9" x14ac:dyDescent="0.45">
      <c r="A220" t="s">
        <v>643</v>
      </c>
      <c r="B220" t="str">
        <f t="shared" si="23"/>
        <v>2009</v>
      </c>
      <c r="C220" t="str">
        <f t="shared" si="24"/>
        <v>Apress</v>
      </c>
      <c r="D220" t="str">
        <f t="shared" si="25"/>
        <v>Jonathan Oxer, Hugh Blemings</v>
      </c>
      <c r="E220" s="3" t="str">
        <f t="shared" si="26"/>
        <v/>
      </c>
      <c r="F220" s="3" t="str">
        <f t="shared" si="27"/>
        <v>.pdf</v>
      </c>
      <c r="G220">
        <f t="shared" si="28"/>
        <v>110</v>
      </c>
      <c r="H220" s="3">
        <f>LEN(Table1[[#This Row],[Auteur]])</f>
        <v>28</v>
      </c>
      <c r="I220" s="3" t="str">
        <f t="shared" si="30"/>
        <v>Practical Arduino, Cool Projects for Open Source Hardware</v>
      </c>
    </row>
    <row r="221" spans="1:9" x14ac:dyDescent="0.45">
      <c r="A221" t="s">
        <v>644</v>
      </c>
      <c r="B221" t="str">
        <f t="shared" si="23"/>
        <v>2012</v>
      </c>
      <c r="C221" t="str">
        <f t="shared" si="24"/>
        <v>Apress</v>
      </c>
      <c r="D221" t="str">
        <f t="shared" si="25"/>
        <v>Alan Trevennor</v>
      </c>
      <c r="E221" s="3" t="str">
        <f t="shared" si="26"/>
        <v/>
      </c>
      <c r="F221" s="3" t="str">
        <f t="shared" si="27"/>
        <v>.pdf</v>
      </c>
      <c r="G221">
        <f t="shared" si="28"/>
        <v>69</v>
      </c>
      <c r="H221" s="3">
        <f>LEN(Table1[[#This Row],[Auteur]])</f>
        <v>14</v>
      </c>
      <c r="I221" s="3" t="str">
        <f t="shared" si="30"/>
        <v>Practical AVR Microcontrollers</v>
      </c>
    </row>
    <row r="222" spans="1:9" x14ac:dyDescent="0.45">
      <c r="A222" t="s">
        <v>645</v>
      </c>
      <c r="B222" t="str">
        <f t="shared" si="23"/>
        <v>2013</v>
      </c>
      <c r="C222" t="str">
        <f t="shared" si="24"/>
        <v>Wiley</v>
      </c>
      <c r="D222" t="str">
        <f t="shared" si="25"/>
        <v>Andreas Göransson, David Cuartielles Ruiz</v>
      </c>
      <c r="E222" s="3" t="str">
        <f t="shared" si="26"/>
        <v/>
      </c>
      <c r="F222" t="str">
        <f t="shared" si="27"/>
        <v>.pdf</v>
      </c>
      <c r="G222">
        <f t="shared" si="28"/>
        <v>125</v>
      </c>
      <c r="H222" s="3">
        <f>LEN(Table1[[#This Row],[Auteur]])</f>
        <v>41</v>
      </c>
      <c r="I222" s="3" t="str">
        <f t="shared" si="30"/>
        <v>Professional Android Open Accessory Programming with Arduino</v>
      </c>
    </row>
    <row r="223" spans="1:9" x14ac:dyDescent="0.45">
      <c r="A223" t="s">
        <v>646</v>
      </c>
      <c r="B223" t="str">
        <f t="shared" si="23"/>
        <v>2015</v>
      </c>
      <c r="C223" t="str">
        <f t="shared" si="24"/>
        <v>Packt</v>
      </c>
      <c r="D223" t="str">
        <f t="shared" si="25"/>
        <v>Marco Schwartz, Oliver Manickum</v>
      </c>
      <c r="E223" s="3" t="str">
        <f t="shared" si="26"/>
        <v/>
      </c>
      <c r="F223" t="str">
        <f t="shared" si="27"/>
        <v>.pdf</v>
      </c>
      <c r="G223">
        <f t="shared" si="28"/>
        <v>87</v>
      </c>
      <c r="H223" s="3">
        <f>LEN(Table1[[#This Row],[Auteur]])</f>
        <v>31</v>
      </c>
      <c r="I223" s="3" t="str">
        <f t="shared" si="30"/>
        <v>Programming Arduino with LabVIEW</v>
      </c>
    </row>
    <row r="224" spans="1:9" x14ac:dyDescent="0.45">
      <c r="A224" t="s">
        <v>647</v>
      </c>
      <c r="B224" t="str">
        <f t="shared" si="23"/>
        <v>2012</v>
      </c>
      <c r="C224" t="str">
        <f t="shared" si="24"/>
        <v>The Pragmatic Programmers</v>
      </c>
      <c r="D224" t="str">
        <f t="shared" si="25"/>
        <v>Mike Riley</v>
      </c>
      <c r="E224" s="3" t="str">
        <f t="shared" si="26"/>
        <v/>
      </c>
      <c r="F224" t="str">
        <f t="shared" si="27"/>
        <v>.pdf</v>
      </c>
      <c r="G224">
        <f t="shared" si="28"/>
        <v>126</v>
      </c>
      <c r="H224" s="3">
        <f>LEN(Table1[[#This Row],[Auteur]])</f>
        <v>10</v>
      </c>
      <c r="I224" s="3" t="str">
        <f t="shared" si="30"/>
        <v>Programming Your Home, Automate with Arduino, Android, and Your Computer</v>
      </c>
    </row>
    <row r="225" spans="1:9" x14ac:dyDescent="0.45">
      <c r="A225" t="s">
        <v>648</v>
      </c>
      <c r="B225" t="str">
        <f t="shared" si="23"/>
        <v>2015</v>
      </c>
      <c r="C225" t="str">
        <f t="shared" si="24"/>
        <v>Packt</v>
      </c>
      <c r="D225" t="str">
        <f t="shared" si="25"/>
        <v>Pratik Desai</v>
      </c>
      <c r="E225" s="3" t="str">
        <f t="shared" si="26"/>
        <v/>
      </c>
      <c r="F225" t="str">
        <f t="shared" si="27"/>
        <v>.pdf</v>
      </c>
      <c r="G225">
        <f t="shared" si="28"/>
        <v>66</v>
      </c>
      <c r="H225" s="3">
        <f>LEN(Table1[[#This Row],[Auteur]])</f>
        <v>12</v>
      </c>
      <c r="I225" s="3" t="str">
        <f t="shared" si="30"/>
        <v>Python Programming for Arduino</v>
      </c>
    </row>
    <row r="226" spans="1:9" x14ac:dyDescent="0.45">
      <c r="A226" t="s">
        <v>655</v>
      </c>
      <c r="B226" t="str">
        <f t="shared" si="23"/>
        <v>2014</v>
      </c>
      <c r="C226" t="str">
        <f t="shared" si="24"/>
        <v>Eyrolles</v>
      </c>
      <c r="D226" t="str">
        <f t="shared" si="25"/>
        <v>Matt Richardson, Shawn Wallace</v>
      </c>
      <c r="E226" s="3" t="str">
        <f t="shared" si="26"/>
        <v/>
      </c>
      <c r="F226" t="str">
        <f t="shared" si="27"/>
        <v>.pdf</v>
      </c>
      <c r="G226">
        <f t="shared" si="28"/>
        <v>88</v>
      </c>
      <c r="H226" s="3">
        <f>LEN(Table1[[#This Row],[Auteur]])</f>
        <v>30</v>
      </c>
      <c r="I226" s="3" t="str">
        <f t="shared" si="30"/>
        <v>À la découverte du Raspberry Pi</v>
      </c>
    </row>
    <row r="227" spans="1:9" x14ac:dyDescent="0.45">
      <c r="A227" t="s">
        <v>656</v>
      </c>
      <c r="B227" t="str">
        <f t="shared" si="23"/>
        <v>2014</v>
      </c>
      <c r="C227" t="str">
        <f t="shared" si="24"/>
        <v>Wiley</v>
      </c>
      <c r="D227" t="str">
        <f t="shared" si="25"/>
        <v>Carrie Anne Philbin</v>
      </c>
      <c r="E227" s="3" t="str">
        <f t="shared" si="26"/>
        <v/>
      </c>
      <c r="F227" t="str">
        <f t="shared" si="27"/>
        <v>.pdf</v>
      </c>
      <c r="G227">
        <f t="shared" si="28"/>
        <v>69</v>
      </c>
      <c r="H227" s="3">
        <f>LEN(Table1[[#This Row],[Auteur]])</f>
        <v>19</v>
      </c>
      <c r="I227" s="3" t="str">
        <f t="shared" si="30"/>
        <v>Adventures in Raspberry Pi</v>
      </c>
    </row>
    <row r="228" spans="1:9" x14ac:dyDescent="0.45">
      <c r="A228" t="s">
        <v>657</v>
      </c>
      <c r="B228" t="str">
        <f t="shared" si="23"/>
        <v>2015</v>
      </c>
      <c r="C228" t="str">
        <f t="shared" si="24"/>
        <v>Suntime Publishing</v>
      </c>
      <c r="D228" t="str">
        <f t="shared" si="25"/>
        <v>Charles Daniels</v>
      </c>
      <c r="E228" s="3" t="str">
        <f t="shared" si="26"/>
        <v/>
      </c>
      <c r="F228" s="3" t="str">
        <f t="shared" si="27"/>
        <v>.pdf</v>
      </c>
      <c r="G228">
        <f t="shared" si="28"/>
        <v>76</v>
      </c>
      <c r="H228" s="3">
        <f>LEN(Table1[[#This Row],[Auteur]])</f>
        <v>15</v>
      </c>
      <c r="I228" s="3" t="str">
        <f t="shared" si="30"/>
        <v>Beginning Raspberry Pi 2</v>
      </c>
    </row>
    <row r="229" spans="1:9" x14ac:dyDescent="0.45">
      <c r="A229" t="s">
        <v>658</v>
      </c>
      <c r="B229" t="str">
        <f t="shared" si="23"/>
        <v>2013</v>
      </c>
      <c r="C229" t="str">
        <f t="shared" si="24"/>
        <v>Apress</v>
      </c>
      <c r="D229" t="str">
        <f t="shared" si="25"/>
        <v>Charles Bell</v>
      </c>
      <c r="E229" s="3" t="str">
        <f t="shared" si="26"/>
        <v/>
      </c>
      <c r="F229" t="str">
        <f t="shared" si="27"/>
        <v>.epub</v>
      </c>
      <c r="G229">
        <f t="shared" si="28"/>
        <v>93</v>
      </c>
      <c r="H229" s="3">
        <f>LEN(Table1[[#This Row],[Auteur]])</f>
        <v>12</v>
      </c>
      <c r="I229" s="3" t="str">
        <f t="shared" si="30"/>
        <v>Beginning Sensor Networks with Arduino and Raspberry Pi</v>
      </c>
    </row>
    <row r="230" spans="1:9" x14ac:dyDescent="0.45">
      <c r="A230" t="s">
        <v>659</v>
      </c>
      <c r="B230" t="str">
        <f t="shared" si="23"/>
        <v>2015</v>
      </c>
      <c r="C230" t="str">
        <f t="shared" si="24"/>
        <v>Packt</v>
      </c>
      <c r="D230" t="str">
        <f t="shared" si="25"/>
        <v>Matthew Poole</v>
      </c>
      <c r="E230" s="3" t="str">
        <f t="shared" si="26"/>
        <v/>
      </c>
      <c r="F230" s="3" t="str">
        <f t="shared" si="27"/>
        <v>.pdf</v>
      </c>
      <c r="G230">
        <f t="shared" si="28"/>
        <v>86</v>
      </c>
      <c r="H230" s="3">
        <f>LEN(Table1[[#This Row],[Auteur]])</f>
        <v>13</v>
      </c>
      <c r="I230" s="3" t="str">
        <f t="shared" si="30"/>
        <v>Building a Home Security System with Raspberry Pi</v>
      </c>
    </row>
    <row r="231" spans="1:9" x14ac:dyDescent="0.45">
      <c r="A231" t="s">
        <v>660</v>
      </c>
      <c r="B231" t="str">
        <f t="shared" si="23"/>
        <v>2014</v>
      </c>
      <c r="C231" t="str">
        <f t="shared" si="24"/>
        <v>Apress</v>
      </c>
      <c r="D231" t="str">
        <f t="shared" si="25"/>
        <v>Warren Gay</v>
      </c>
      <c r="E231" s="3" t="str">
        <f t="shared" si="26"/>
        <v/>
      </c>
      <c r="F231" t="str">
        <f t="shared" si="27"/>
        <v>.pdf</v>
      </c>
      <c r="G231">
        <f t="shared" si="28"/>
        <v>66</v>
      </c>
      <c r="H231" s="3">
        <f>LEN(Table1[[#This Row],[Auteur]])</f>
        <v>10</v>
      </c>
      <c r="I231" s="3" t="str">
        <f t="shared" si="30"/>
        <v>Experimenting with Raspberry Pi</v>
      </c>
    </row>
    <row r="232" spans="1:9" x14ac:dyDescent="0.45">
      <c r="A232" t="s">
        <v>661</v>
      </c>
      <c r="B232" t="str">
        <f t="shared" si="23"/>
        <v>2016</v>
      </c>
      <c r="C232" t="str">
        <f t="shared" si="24"/>
        <v>Wiley</v>
      </c>
      <c r="D232" t="str">
        <f t="shared" si="25"/>
        <v>Derek Molloy</v>
      </c>
      <c r="E232" s="3" t="str">
        <f t="shared" si="26"/>
        <v/>
      </c>
      <c r="F232" t="str">
        <f t="shared" si="27"/>
        <v>.epub</v>
      </c>
      <c r="G232">
        <f t="shared" si="28"/>
        <v>89</v>
      </c>
      <c r="H232" s="3">
        <f>LEN(Table1[[#This Row],[Auteur]])</f>
        <v>12</v>
      </c>
      <c r="I232" s="3" t="str">
        <f t="shared" si="30"/>
        <v>Exploring Raspberry Pi Interfacing to the Real World</v>
      </c>
    </row>
    <row r="233" spans="1:9" x14ac:dyDescent="0.45">
      <c r="A233" t="s">
        <v>662</v>
      </c>
      <c r="B233" t="str">
        <f t="shared" si="23"/>
        <v>2016</v>
      </c>
      <c r="C233" t="str">
        <f t="shared" si="24"/>
        <v>Wiley</v>
      </c>
      <c r="D233" t="str">
        <f t="shared" si="25"/>
        <v>Derek Molloy</v>
      </c>
      <c r="E233" s="3" t="str">
        <f t="shared" si="26"/>
        <v/>
      </c>
      <c r="F233" s="3" t="str">
        <f t="shared" si="27"/>
        <v>.pdf</v>
      </c>
      <c r="G233">
        <f t="shared" si="28"/>
        <v>88</v>
      </c>
      <c r="H233" s="3">
        <f>LEN(Table1[[#This Row],[Auteur]])</f>
        <v>12</v>
      </c>
      <c r="I233" s="3" t="str">
        <f t="shared" si="30"/>
        <v>Exploring Raspberry Pi Interfacing to the Real World</v>
      </c>
    </row>
    <row r="234" spans="1:9" x14ac:dyDescent="0.45">
      <c r="A234" t="s">
        <v>663</v>
      </c>
      <c r="B234" t="str">
        <f t="shared" si="23"/>
        <v>2015</v>
      </c>
      <c r="C234" t="str">
        <f t="shared" si="24"/>
        <v>Apress</v>
      </c>
      <c r="D234" t="str">
        <f t="shared" si="25"/>
        <v>Warren Gay</v>
      </c>
      <c r="E234" s="3" t="str">
        <f t="shared" si="26"/>
        <v/>
      </c>
      <c r="F234" t="str">
        <f t="shared" si="27"/>
        <v>.pdf</v>
      </c>
      <c r="G234">
        <f t="shared" si="28"/>
        <v>72</v>
      </c>
      <c r="H234" s="3">
        <f>LEN(Table1[[#This Row],[Auteur]])</f>
        <v>10</v>
      </c>
      <c r="I234" s="3" t="str">
        <f t="shared" si="30"/>
        <v>Exploring the Raspberry Pi 2 with C++</v>
      </c>
    </row>
    <row r="235" spans="1:9" x14ac:dyDescent="0.45">
      <c r="A235" t="s">
        <v>664</v>
      </c>
      <c r="B235" t="str">
        <f t="shared" si="23"/>
        <v>2015</v>
      </c>
      <c r="C235" t="str">
        <f t="shared" si="24"/>
        <v>Maker Media</v>
      </c>
      <c r="D235" t="str">
        <f t="shared" si="25"/>
        <v>Matt Richardson, Shawn Wallace</v>
      </c>
      <c r="E235" s="3" t="str">
        <f t="shared" si="26"/>
        <v/>
      </c>
      <c r="F235" t="str">
        <f t="shared" si="27"/>
        <v>.epub</v>
      </c>
      <c r="G235">
        <f t="shared" si="28"/>
        <v>102</v>
      </c>
      <c r="H235" s="3">
        <f>LEN(Table1[[#This Row],[Auteur]])</f>
        <v>30</v>
      </c>
      <c r="I235" s="3" t="str">
        <f t="shared" si="30"/>
        <v>Getting Started with Raspberry Pi</v>
      </c>
    </row>
    <row r="236" spans="1:9" x14ac:dyDescent="0.45">
      <c r="A236" t="s">
        <v>665</v>
      </c>
      <c r="B236" t="str">
        <f t="shared" si="23"/>
        <v>2013</v>
      </c>
      <c r="C236" t="str">
        <f t="shared" si="24"/>
        <v>O'Reilly</v>
      </c>
      <c r="D236" t="str">
        <f t="shared" si="25"/>
        <v>Matt Richardson, Shawn Wallace</v>
      </c>
      <c r="E236" s="3" t="str">
        <f t="shared" si="26"/>
        <v/>
      </c>
      <c r="F236" t="str">
        <f t="shared" si="27"/>
        <v>.pdf</v>
      </c>
      <c r="G236">
        <f t="shared" si="28"/>
        <v>90</v>
      </c>
      <c r="H236" s="3">
        <f>LEN(Table1[[#This Row],[Auteur]])</f>
        <v>30</v>
      </c>
      <c r="I236" s="3" t="str">
        <f t="shared" si="30"/>
        <v>Getting Started with Raspberry Pi</v>
      </c>
    </row>
    <row r="237" spans="1:9" x14ac:dyDescent="0.45">
      <c r="A237" t="s">
        <v>666</v>
      </c>
      <c r="B237" t="str">
        <f t="shared" si="23"/>
        <v>2016</v>
      </c>
      <c r="C237" t="str">
        <f t="shared" si="24"/>
        <v>?</v>
      </c>
      <c r="D237" t="str">
        <f t="shared" si="25"/>
        <v>Agus Kurniawan</v>
      </c>
      <c r="E237" s="3" t="str">
        <f t="shared" si="26"/>
        <v/>
      </c>
      <c r="F237" t="str">
        <f t="shared" si="27"/>
        <v>.epub</v>
      </c>
      <c r="G237">
        <f t="shared" si="28"/>
        <v>64</v>
      </c>
      <c r="H237" s="3">
        <f>LEN(Table1[[#This Row],[Auteur]])</f>
        <v>14</v>
      </c>
      <c r="I237" s="3" t="str">
        <f t="shared" si="30"/>
        <v>Getting Started with Raspberry Pi 3</v>
      </c>
    </row>
    <row r="238" spans="1:9" x14ac:dyDescent="0.45">
      <c r="A238" t="s">
        <v>667</v>
      </c>
      <c r="B238" t="str">
        <f t="shared" si="23"/>
        <v>2016</v>
      </c>
      <c r="C238" t="str">
        <f t="shared" si="24"/>
        <v>?</v>
      </c>
      <c r="D238" t="str">
        <f t="shared" si="25"/>
        <v>Agus Kurniawan</v>
      </c>
      <c r="E238" s="3" t="str">
        <f t="shared" si="26"/>
        <v/>
      </c>
      <c r="F238" t="str">
        <f t="shared" si="27"/>
        <v>.pdf</v>
      </c>
      <c r="G238">
        <f t="shared" si="28"/>
        <v>63</v>
      </c>
      <c r="H238" s="3">
        <f>LEN(Table1[[#This Row],[Auteur]])</f>
        <v>14</v>
      </c>
      <c r="I238" s="3" t="str">
        <f t="shared" si="30"/>
        <v>Getting Started with Raspberry Pi 3</v>
      </c>
    </row>
    <row r="239" spans="1:9" x14ac:dyDescent="0.45">
      <c r="A239" t="s">
        <v>668</v>
      </c>
      <c r="B239" t="str">
        <f t="shared" si="23"/>
        <v>2016</v>
      </c>
      <c r="C239" t="str">
        <f t="shared" si="24"/>
        <v>Packt</v>
      </c>
      <c r="D239" t="str">
        <f t="shared" si="25"/>
        <v>Richard Grimmett</v>
      </c>
      <c r="E239" s="3" t="str">
        <f t="shared" si="26"/>
        <v/>
      </c>
      <c r="F239" s="3" t="str">
        <f t="shared" si="27"/>
        <v>.epub</v>
      </c>
      <c r="G239">
        <f t="shared" si="28"/>
        <v>79</v>
      </c>
      <c r="H239" s="3">
        <f>LEN(Table1[[#This Row],[Auteur]])</f>
        <v>16</v>
      </c>
      <c r="I239" s="3" t="str">
        <f t="shared" si="30"/>
        <v>Getting Started with Raspberry Pi Zero</v>
      </c>
    </row>
    <row r="240" spans="1:9" x14ac:dyDescent="0.45">
      <c r="A240" t="s">
        <v>669</v>
      </c>
      <c r="B240" t="str">
        <f t="shared" si="23"/>
        <v>2016</v>
      </c>
      <c r="C240" t="str">
        <f t="shared" si="24"/>
        <v>Packt</v>
      </c>
      <c r="D240" t="str">
        <f t="shared" si="25"/>
        <v>Richard Grimmett</v>
      </c>
      <c r="E240" s="3" t="str">
        <f t="shared" si="26"/>
        <v/>
      </c>
      <c r="F240" t="str">
        <f t="shared" si="27"/>
        <v>.pdf</v>
      </c>
      <c r="G240">
        <f t="shared" si="28"/>
        <v>78</v>
      </c>
      <c r="H240" s="3">
        <f>LEN(Table1[[#This Row],[Auteur]])</f>
        <v>16</v>
      </c>
      <c r="I240" s="3" t="str">
        <f t="shared" si="30"/>
        <v>Getting Started with Raspberry Pi Zero</v>
      </c>
    </row>
    <row r="241" spans="1:9" x14ac:dyDescent="0.45">
      <c r="A241" t="s">
        <v>670</v>
      </c>
      <c r="B241" t="str">
        <f t="shared" si="23"/>
        <v>2013</v>
      </c>
      <c r="C241" t="str">
        <f t="shared" si="24"/>
        <v>?</v>
      </c>
      <c r="D241" t="str">
        <f t="shared" si="25"/>
        <v>Kevin Johnson</v>
      </c>
      <c r="E241" s="3" t="str">
        <f t="shared" si="26"/>
        <v/>
      </c>
      <c r="F241" t="str">
        <f t="shared" si="27"/>
        <v>.epub</v>
      </c>
      <c r="G241">
        <f t="shared" si="28"/>
        <v>65</v>
      </c>
      <c r="H241" s="3">
        <f>LEN(Table1[[#This Row],[Auteur]])</f>
        <v>13</v>
      </c>
      <c r="I241" s="3" t="str">
        <f t="shared" si="30"/>
        <v>Getting Started with the Raspberry Pi</v>
      </c>
    </row>
    <row r="242" spans="1:9" x14ac:dyDescent="0.45">
      <c r="A242" t="s">
        <v>671</v>
      </c>
      <c r="B242" t="str">
        <f t="shared" si="23"/>
        <v>2016</v>
      </c>
      <c r="C242" t="str">
        <f t="shared" si="24"/>
        <v>Manning</v>
      </c>
      <c r="D242" t="str">
        <f t="shared" si="25"/>
        <v>Ryan Heitz</v>
      </c>
      <c r="E242" s="3" t="str">
        <f t="shared" si="26"/>
        <v/>
      </c>
      <c r="F242" t="str">
        <f t="shared" si="27"/>
        <v>.epub</v>
      </c>
      <c r="G242">
        <f t="shared" si="28"/>
        <v>104</v>
      </c>
      <c r="H242" s="3">
        <f>LEN(Table1[[#This Row],[Auteur]])</f>
        <v>10</v>
      </c>
      <c r="I242" s="3" t="str">
        <f t="shared" si="30"/>
        <v>Hello Raspberry Pi! Python programming for kids and other beginners</v>
      </c>
    </row>
    <row r="243" spans="1:9" x14ac:dyDescent="0.45">
      <c r="A243" t="s">
        <v>672</v>
      </c>
      <c r="B243" t="str">
        <f t="shared" si="23"/>
        <v>2016</v>
      </c>
      <c r="C243" t="str">
        <f t="shared" si="24"/>
        <v>Manning</v>
      </c>
      <c r="D243" t="str">
        <f t="shared" si="25"/>
        <v>Ryan Heitz</v>
      </c>
      <c r="E243" s="3" t="str">
        <f t="shared" si="26"/>
        <v/>
      </c>
      <c r="F243" t="str">
        <f t="shared" si="27"/>
        <v>.pdf</v>
      </c>
      <c r="G243">
        <f t="shared" si="28"/>
        <v>103</v>
      </c>
      <c r="H243" s="3">
        <f>LEN(Table1[[#This Row],[Auteur]])</f>
        <v>10</v>
      </c>
      <c r="I243" s="3" t="str">
        <f t="shared" si="30"/>
        <v>Hello Raspberry Pi! Python programming for kids and other beginners</v>
      </c>
    </row>
    <row r="244" spans="1:9" x14ac:dyDescent="0.45">
      <c r="A244" t="s">
        <v>673</v>
      </c>
      <c r="B244" t="str">
        <f t="shared" si="23"/>
        <v>?</v>
      </c>
      <c r="C244" t="str">
        <f t="shared" si="24"/>
        <v>?</v>
      </c>
      <c r="D244" t="str">
        <f t="shared" si="25"/>
        <v>?</v>
      </c>
      <c r="E244" s="3" t="str">
        <f t="shared" si="26"/>
        <v>Document</v>
      </c>
      <c r="F244" t="str">
        <f t="shared" si="27"/>
        <v>.pdf</v>
      </c>
      <c r="G244">
        <f t="shared" si="28"/>
        <v>70</v>
      </c>
      <c r="H244" s="3">
        <f>LEN(Table1[[#This Row],[Auteur]])</f>
        <v>1</v>
      </c>
      <c r="I244" s="3" t="str">
        <f t="shared" si="30"/>
        <v>How to Mount an External Hard Drive on the Raspberry Pi</v>
      </c>
    </row>
    <row r="245" spans="1:9" x14ac:dyDescent="0.45">
      <c r="A245" t="s">
        <v>674</v>
      </c>
      <c r="B245" t="str">
        <f t="shared" si="23"/>
        <v>2015</v>
      </c>
      <c r="C245" t="str">
        <f t="shared" si="24"/>
        <v>Apress</v>
      </c>
      <c r="D245" t="str">
        <f t="shared" si="25"/>
        <v>Peter Membrey, David Hows</v>
      </c>
      <c r="E245" s="3" t="str">
        <f t="shared" si="26"/>
        <v/>
      </c>
      <c r="F245" t="str">
        <f t="shared" si="27"/>
        <v>.pdf</v>
      </c>
      <c r="G245">
        <f t="shared" si="28"/>
        <v>104</v>
      </c>
      <c r="H245" s="3">
        <f>LEN(Table1[[#This Row],[Auteur]])</f>
        <v>25</v>
      </c>
      <c r="I245" s="3" t="str">
        <f t="shared" si="30"/>
        <v>Learn Raspberry Pi 2 with Linux and Windows 10</v>
      </c>
    </row>
    <row r="246" spans="1:9" x14ac:dyDescent="0.45">
      <c r="A246" t="s">
        <v>675</v>
      </c>
      <c r="B246" t="str">
        <f t="shared" si="23"/>
        <v>2014</v>
      </c>
      <c r="C246" t="str">
        <f t="shared" si="24"/>
        <v>Apress</v>
      </c>
      <c r="D246" t="str">
        <f t="shared" si="25"/>
        <v>Wolfram Donat</v>
      </c>
      <c r="E246" s="3" t="str">
        <f t="shared" si="26"/>
        <v/>
      </c>
      <c r="F246" s="3" t="str">
        <f t="shared" si="27"/>
        <v>.pdf</v>
      </c>
      <c r="G246">
        <f t="shared" si="28"/>
        <v>80</v>
      </c>
      <c r="H246" s="3">
        <f>LEN(Table1[[#This Row],[Auteur]])</f>
        <v>13</v>
      </c>
      <c r="I246" s="3" t="str">
        <f t="shared" si="30"/>
        <v>Learn Raspberry Pi Programming with Python</v>
      </c>
    </row>
    <row r="247" spans="1:9" x14ac:dyDescent="0.45">
      <c r="A247" t="s">
        <v>676</v>
      </c>
      <c r="B247" t="str">
        <f t="shared" si="23"/>
        <v>2013</v>
      </c>
      <c r="C247" t="str">
        <f t="shared" si="24"/>
        <v>Apress</v>
      </c>
      <c r="D247" t="str">
        <f t="shared" si="25"/>
        <v>Peter Membrey, David Hows</v>
      </c>
      <c r="E247" s="3" t="str">
        <f t="shared" si="26"/>
        <v/>
      </c>
      <c r="F247" s="3" t="str">
        <f t="shared" si="27"/>
        <v>.pdf</v>
      </c>
      <c r="G247">
        <f t="shared" si="28"/>
        <v>79</v>
      </c>
      <c r="H247" s="3">
        <f>LEN(Table1[[#This Row],[Auteur]])</f>
        <v>25</v>
      </c>
      <c r="I247" s="3" t="str">
        <f t="shared" si="30"/>
        <v>Learn Raspberry Pi with Linux</v>
      </c>
    </row>
    <row r="248" spans="1:9" x14ac:dyDescent="0.45">
      <c r="A248" t="s">
        <v>677</v>
      </c>
      <c r="B248" t="str">
        <f t="shared" si="23"/>
        <v>2015</v>
      </c>
      <c r="C248" t="str">
        <f t="shared" si="24"/>
        <v>Packt</v>
      </c>
      <c r="D248" t="str">
        <f t="shared" si="25"/>
        <v>Peter Waher</v>
      </c>
      <c r="E248" s="3" t="str">
        <f t="shared" si="26"/>
        <v/>
      </c>
      <c r="F248" t="str">
        <f t="shared" si="27"/>
        <v>.pdf</v>
      </c>
      <c r="G248">
        <f t="shared" si="28"/>
        <v>62</v>
      </c>
      <c r="H248" s="3">
        <f>LEN(Table1[[#This Row],[Auteur]])</f>
        <v>11</v>
      </c>
      <c r="I248" s="3" t="str">
        <f t="shared" si="30"/>
        <v>Learning Internet of Things</v>
      </c>
    </row>
    <row r="249" spans="1:9" x14ac:dyDescent="0.45">
      <c r="A249" t="s">
        <v>678</v>
      </c>
      <c r="B249" t="str">
        <f t="shared" si="23"/>
        <v>2014</v>
      </c>
      <c r="C249" t="str">
        <f t="shared" si="24"/>
        <v>Wiley</v>
      </c>
      <c r="D249" t="str">
        <f t="shared" si="25"/>
        <v>Alex Bradbury, Ben Everard</v>
      </c>
      <c r="E249" s="3" t="str">
        <f t="shared" si="26"/>
        <v/>
      </c>
      <c r="F249" s="3" t="str">
        <f t="shared" si="27"/>
        <v>.pdf</v>
      </c>
      <c r="G249">
        <f t="shared" si="28"/>
        <v>83</v>
      </c>
      <c r="H249" s="3">
        <f>LEN(Table1[[#This Row],[Auteur]])</f>
        <v>26</v>
      </c>
      <c r="I249" s="3" t="str">
        <f t="shared" si="30"/>
        <v>Learning Python with Raspberry Pi</v>
      </c>
    </row>
    <row r="250" spans="1:9" x14ac:dyDescent="0.45">
      <c r="A250" t="s">
        <v>679</v>
      </c>
      <c r="B250" t="str">
        <f t="shared" si="23"/>
        <v>2014</v>
      </c>
      <c r="C250" t="str">
        <f t="shared" si="24"/>
        <v>Apress</v>
      </c>
      <c r="D250" t="str">
        <f t="shared" si="25"/>
        <v>Warren Gay</v>
      </c>
      <c r="E250" s="3" t="str">
        <f t="shared" si="26"/>
        <v/>
      </c>
      <c r="F250" s="3" t="str">
        <f t="shared" si="27"/>
        <v>.pdf</v>
      </c>
      <c r="G250" s="3">
        <f t="shared" si="28"/>
        <v>61</v>
      </c>
      <c r="H250" s="3">
        <f>LEN(Table1[[#This Row],[Auteur]])</f>
        <v>10</v>
      </c>
      <c r="I250" s="3" t="str">
        <f t="shared" si="30"/>
        <v>Mastering the Raspberry Pi</v>
      </c>
    </row>
    <row r="251" spans="1:9" x14ac:dyDescent="0.45">
      <c r="A251" t="s">
        <v>680</v>
      </c>
      <c r="B251" t="str">
        <f t="shared" si="23"/>
        <v>2016</v>
      </c>
      <c r="C251" t="str">
        <f t="shared" si="24"/>
        <v>Maker Media</v>
      </c>
      <c r="D251" t="str">
        <f t="shared" si="25"/>
        <v>Simon Monk</v>
      </c>
      <c r="E251" s="3" t="str">
        <f t="shared" si="26"/>
        <v/>
      </c>
      <c r="F251" t="str">
        <f t="shared" si="27"/>
        <v>.pdf</v>
      </c>
      <c r="G251">
        <f t="shared" si="28"/>
        <v>96</v>
      </c>
      <c r="H251" s="3">
        <f>LEN(Table1[[#This Row],[Auteur]])</f>
        <v>10</v>
      </c>
      <c r="I251" s="3" t="str">
        <f t="shared" si="30"/>
        <v>Movement, Light, and Sound with Arduino and Raspberry Pi</v>
      </c>
    </row>
    <row r="252" spans="1:9" x14ac:dyDescent="0.45">
      <c r="A252" t="s">
        <v>681</v>
      </c>
      <c r="B252" t="str">
        <f t="shared" si="23"/>
        <v>2015</v>
      </c>
      <c r="C252" t="str">
        <f t="shared" si="24"/>
        <v>Packt</v>
      </c>
      <c r="D252" t="str">
        <f t="shared" si="25"/>
        <v>Aamir Lakhani, Joseph Muniz</v>
      </c>
      <c r="E252" s="3" t="str">
        <f t="shared" si="26"/>
        <v/>
      </c>
      <c r="F252" t="str">
        <f t="shared" si="27"/>
        <v>.pdf</v>
      </c>
      <c r="G252">
        <f t="shared" si="28"/>
        <v>88</v>
      </c>
      <c r="H252" s="3">
        <f>LEN(Table1[[#This Row],[Auteur]])</f>
        <v>27</v>
      </c>
      <c r="I252" s="3" t="str">
        <f t="shared" si="30"/>
        <v>Penetration Testing with Raspberry Pi</v>
      </c>
    </row>
    <row r="253" spans="1:9" x14ac:dyDescent="0.45">
      <c r="A253" t="s">
        <v>682</v>
      </c>
      <c r="B253" t="str">
        <f t="shared" si="23"/>
        <v>2013</v>
      </c>
      <c r="C253" t="str">
        <f t="shared" si="24"/>
        <v>Apress</v>
      </c>
      <c r="D253" t="str">
        <f t="shared" si="25"/>
        <v>Brendan Horan</v>
      </c>
      <c r="E253" s="3" t="str">
        <f t="shared" si="26"/>
        <v/>
      </c>
      <c r="F253" t="str">
        <f t="shared" si="27"/>
        <v>.pdf</v>
      </c>
      <c r="G253">
        <f t="shared" si="28"/>
        <v>60</v>
      </c>
      <c r="H253" s="3">
        <f>LEN(Table1[[#This Row],[Auteur]])</f>
        <v>13</v>
      </c>
      <c r="I253" s="3" t="str">
        <f t="shared" si="30"/>
        <v>Practical Raspberry Pi</v>
      </c>
    </row>
    <row r="254" spans="1:9" x14ac:dyDescent="0.45">
      <c r="A254" t="s">
        <v>683</v>
      </c>
      <c r="B254" t="str">
        <f t="shared" si="23"/>
        <v>2014</v>
      </c>
      <c r="C254" t="str">
        <f t="shared" si="24"/>
        <v>Dunod</v>
      </c>
      <c r="D254" t="str">
        <f t="shared" si="25"/>
        <v>Simon Monk</v>
      </c>
      <c r="E254" s="3" t="str">
        <f t="shared" si="26"/>
        <v/>
      </c>
      <c r="F254" s="3" t="str">
        <f t="shared" si="27"/>
        <v>.pdf</v>
      </c>
      <c r="G254">
        <f t="shared" si="28"/>
        <v>72</v>
      </c>
      <c r="H254" s="3">
        <f>LEN(Table1[[#This Row],[Auteur]])</f>
        <v>10</v>
      </c>
      <c r="I254" s="3" t="str">
        <f t="shared" si="30"/>
        <v>Programmez un Raspberry Pi avec Python</v>
      </c>
    </row>
    <row r="255" spans="1:9" x14ac:dyDescent="0.45">
      <c r="A255" t="s">
        <v>684</v>
      </c>
      <c r="B255" t="str">
        <f t="shared" si="23"/>
        <v>2013</v>
      </c>
      <c r="C255" t="str">
        <f t="shared" si="24"/>
        <v>McGraw-Hill</v>
      </c>
      <c r="D255" t="str">
        <f t="shared" si="25"/>
        <v>Simon Monk</v>
      </c>
      <c r="E255" s="3" t="str">
        <f t="shared" si="26"/>
        <v/>
      </c>
      <c r="F255" t="str">
        <f t="shared" si="27"/>
        <v>.epub</v>
      </c>
      <c r="G255">
        <f t="shared" si="28"/>
        <v>106</v>
      </c>
      <c r="H255" s="3">
        <f>LEN(Table1[[#This Row],[Auteur]])</f>
        <v>10</v>
      </c>
      <c r="I255" s="3" t="str">
        <f t="shared" si="30"/>
        <v>Programming the Raspberry Pi, Getting Started with Python</v>
      </c>
    </row>
    <row r="256" spans="1:9" x14ac:dyDescent="0.45">
      <c r="A256" t="s">
        <v>685</v>
      </c>
      <c r="B256" t="str">
        <f t="shared" si="23"/>
        <v>2013</v>
      </c>
      <c r="C256" t="str">
        <f t="shared" si="24"/>
        <v>?</v>
      </c>
      <c r="D256" t="str">
        <f t="shared" si="25"/>
        <v>?</v>
      </c>
      <c r="E256" s="3" t="str">
        <f t="shared" si="26"/>
        <v/>
      </c>
      <c r="F256" t="str">
        <f t="shared" si="27"/>
        <v>.rar</v>
      </c>
      <c r="G256">
        <f t="shared" si="28"/>
        <v>90</v>
      </c>
      <c r="H256" s="3">
        <f>LEN(Table1[[#This Row],[Auteur]])</f>
        <v>1</v>
      </c>
      <c r="I256" s="3" t="str">
        <f t="shared" si="30"/>
        <v>Programming the Raspberry Pi, Getting Started with Python</v>
      </c>
    </row>
    <row r="257" spans="1:9" x14ac:dyDescent="0.45">
      <c r="A257" t="s">
        <v>686</v>
      </c>
      <c r="B257" t="str">
        <f t="shared" si="23"/>
        <v>2016</v>
      </c>
      <c r="C257" t="str">
        <f t="shared" si="24"/>
        <v>McGraw-Hill</v>
      </c>
      <c r="D257" t="str">
        <f t="shared" si="25"/>
        <v>Simon Monk</v>
      </c>
      <c r="E257" s="3" t="str">
        <f t="shared" si="26"/>
        <v/>
      </c>
      <c r="F257" s="3" t="str">
        <f t="shared" si="27"/>
        <v>.pdf</v>
      </c>
      <c r="G257">
        <f t="shared" si="28"/>
        <v>105</v>
      </c>
      <c r="H257" s="3">
        <f>LEN(Table1[[#This Row],[Auteur]])</f>
        <v>10</v>
      </c>
      <c r="I257" s="3" t="str">
        <f t="shared" si="30"/>
        <v>Programming the Raspberry Pi, Getting Started with Python</v>
      </c>
    </row>
    <row r="258" spans="1:9" x14ac:dyDescent="0.45">
      <c r="A258" t="s">
        <v>687</v>
      </c>
      <c r="B258" t="str">
        <f t="shared" ref="B258:B321" si="31">DatePub(A258)</f>
        <v>2015</v>
      </c>
      <c r="C258" t="str">
        <f t="shared" ref="C258:C321" si="32">Editeur(A258)</f>
        <v>Packt</v>
      </c>
      <c r="D258" t="str">
        <f t="shared" ref="D258:D321" si="33">Auteur(A258)</f>
        <v>Gokhan Kurt</v>
      </c>
      <c r="E258" s="3" t="str">
        <f t="shared" ref="E258:E321" si="34">ExtraInfo(A258)</f>
        <v/>
      </c>
      <c r="F258" t="str">
        <f t="shared" ref="F258:F321" si="35">Extension(A258)</f>
        <v>.epub</v>
      </c>
      <c r="G258">
        <f t="shared" ref="G258:G321" si="36">LenFileName(A258)</f>
        <v>65</v>
      </c>
      <c r="H258" s="3">
        <f>LEN(Table1[[#This Row],[Auteur]])</f>
        <v>11</v>
      </c>
      <c r="I258" s="3" t="str">
        <f t="shared" ref="I258:I321" si="37">Title(A258)</f>
        <v>Raspberry Pi Android Projects</v>
      </c>
    </row>
    <row r="259" spans="1:9" x14ac:dyDescent="0.45">
      <c r="A259" t="s">
        <v>688</v>
      </c>
      <c r="B259" t="str">
        <f t="shared" si="31"/>
        <v>2015</v>
      </c>
      <c r="C259" t="str">
        <f t="shared" si="32"/>
        <v>Packt</v>
      </c>
      <c r="D259" t="str">
        <f t="shared" si="33"/>
        <v>Dan Nixon</v>
      </c>
      <c r="E259" s="3" t="str">
        <f t="shared" si="34"/>
        <v/>
      </c>
      <c r="F259" t="str">
        <f t="shared" si="35"/>
        <v>.pdf</v>
      </c>
      <c r="G259">
        <f t="shared" si="36"/>
        <v>56</v>
      </c>
      <c r="H259" s="3">
        <f>LEN(Table1[[#This Row],[Auteur]])</f>
        <v>9</v>
      </c>
      <c r="I259" s="3" t="str">
        <f t="shared" si="37"/>
        <v>Raspberry Pi Blueprints</v>
      </c>
    </row>
    <row r="260" spans="1:9" x14ac:dyDescent="0.45">
      <c r="A260" t="s">
        <v>689</v>
      </c>
      <c r="B260" t="str">
        <f t="shared" si="31"/>
        <v>2016</v>
      </c>
      <c r="C260" t="str">
        <f t="shared" si="32"/>
        <v>Packt</v>
      </c>
      <c r="D260" t="str">
        <f t="shared" si="33"/>
        <v>Andrew K. Dennis</v>
      </c>
      <c r="E260" s="3" t="str">
        <f t="shared" si="34"/>
        <v/>
      </c>
      <c r="F260" t="str">
        <f t="shared" si="35"/>
        <v>.epub</v>
      </c>
      <c r="G260">
        <f t="shared" si="36"/>
        <v>86</v>
      </c>
      <c r="H260" s="3">
        <f>LEN(Table1[[#This Row],[Auteur]])</f>
        <v>16</v>
      </c>
      <c r="I260" s="3" t="str">
        <f t="shared" si="37"/>
        <v>Raspberry Pi Computer Architecture Essentials</v>
      </c>
    </row>
    <row r="261" spans="1:9" x14ac:dyDescent="0.45">
      <c r="A261" t="s">
        <v>690</v>
      </c>
      <c r="B261" t="str">
        <f t="shared" si="31"/>
        <v>2016</v>
      </c>
      <c r="C261" t="str">
        <f t="shared" si="32"/>
        <v>Packt</v>
      </c>
      <c r="D261" t="str">
        <f t="shared" si="33"/>
        <v>Andrew K. Dennis</v>
      </c>
      <c r="E261" s="3" t="str">
        <f t="shared" si="34"/>
        <v/>
      </c>
      <c r="F261" s="3" t="str">
        <f t="shared" si="35"/>
        <v>.pdf</v>
      </c>
      <c r="G261" s="3">
        <f t="shared" si="36"/>
        <v>85</v>
      </c>
      <c r="H261" s="3">
        <f>LEN(Table1[[#This Row],[Auteur]])</f>
        <v>16</v>
      </c>
      <c r="I261" s="3" t="str">
        <f t="shared" si="37"/>
        <v>Raspberry Pi Computer Architecture Essentials</v>
      </c>
    </row>
    <row r="262" spans="1:9" x14ac:dyDescent="0.45">
      <c r="A262" t="s">
        <v>691</v>
      </c>
      <c r="B262" t="str">
        <f t="shared" si="31"/>
        <v>2015</v>
      </c>
      <c r="C262" t="str">
        <f t="shared" si="32"/>
        <v>Packt</v>
      </c>
      <c r="D262" t="str">
        <f t="shared" si="33"/>
        <v>Ashwin Pajankar</v>
      </c>
      <c r="E262" s="3" t="str">
        <f t="shared" si="34"/>
        <v/>
      </c>
      <c r="F262" s="3" t="str">
        <f t="shared" si="35"/>
        <v>.pdf</v>
      </c>
      <c r="G262">
        <f t="shared" si="36"/>
        <v>79</v>
      </c>
      <c r="H262" s="3">
        <f>LEN(Table1[[#This Row],[Auteur]])</f>
        <v>15</v>
      </c>
      <c r="I262" s="3" t="str">
        <f t="shared" si="37"/>
        <v>Raspberry Pi Computer Vision Programming</v>
      </c>
    </row>
    <row r="263" spans="1:9" x14ac:dyDescent="0.45">
      <c r="A263" t="s">
        <v>692</v>
      </c>
      <c r="B263" t="str">
        <f t="shared" si="31"/>
        <v>2016</v>
      </c>
      <c r="C263" t="str">
        <f t="shared" si="32"/>
        <v>O'Reilly</v>
      </c>
      <c r="D263" t="str">
        <f t="shared" si="33"/>
        <v>Simon Monk</v>
      </c>
      <c r="E263" s="3" t="str">
        <f t="shared" si="34"/>
        <v/>
      </c>
      <c r="F263" s="3" t="str">
        <f t="shared" si="35"/>
        <v>.epub</v>
      </c>
      <c r="G263" s="3">
        <f t="shared" si="36"/>
        <v>67</v>
      </c>
      <c r="H263" s="3">
        <f>LEN(Table1[[#This Row],[Auteur]])</f>
        <v>10</v>
      </c>
      <c r="I263" s="3" t="str">
        <f t="shared" si="37"/>
        <v>Raspberry Pi Cookbook</v>
      </c>
    </row>
    <row r="264" spans="1:9" x14ac:dyDescent="0.45">
      <c r="A264" t="s">
        <v>693</v>
      </c>
      <c r="B264" t="str">
        <f t="shared" si="31"/>
        <v>2016</v>
      </c>
      <c r="C264" t="str">
        <f t="shared" si="32"/>
        <v>O'Reilly</v>
      </c>
      <c r="D264" t="str">
        <f t="shared" si="33"/>
        <v>Simon Monk</v>
      </c>
      <c r="E264" s="3" t="str">
        <f t="shared" si="34"/>
        <v/>
      </c>
      <c r="F264" s="3" t="str">
        <f t="shared" si="35"/>
        <v>.pdf</v>
      </c>
      <c r="G264">
        <f t="shared" si="36"/>
        <v>66</v>
      </c>
      <c r="H264" s="3">
        <f>LEN(Table1[[#This Row],[Auteur]])</f>
        <v>10</v>
      </c>
      <c r="I264" s="3" t="str">
        <f t="shared" si="37"/>
        <v>Raspberry Pi Cookbook</v>
      </c>
    </row>
    <row r="265" spans="1:9" x14ac:dyDescent="0.45">
      <c r="A265" t="s">
        <v>694</v>
      </c>
      <c r="B265" t="str">
        <f t="shared" si="31"/>
        <v>2014</v>
      </c>
      <c r="C265" t="str">
        <f t="shared" si="32"/>
        <v>O'Reilly</v>
      </c>
      <c r="D265" t="str">
        <f t="shared" si="33"/>
        <v>Simon Monk</v>
      </c>
      <c r="E265" s="3" t="str">
        <f t="shared" si="34"/>
        <v/>
      </c>
      <c r="F265" t="str">
        <f t="shared" si="35"/>
        <v>.pdf</v>
      </c>
      <c r="G265">
        <f t="shared" si="36"/>
        <v>58</v>
      </c>
      <c r="H265" s="3">
        <f>LEN(Table1[[#This Row],[Auteur]])</f>
        <v>10</v>
      </c>
      <c r="I265" s="3" t="str">
        <f t="shared" si="37"/>
        <v>Raspberry Pi Cookbook</v>
      </c>
    </row>
    <row r="266" spans="1:9" x14ac:dyDescent="0.45">
      <c r="A266" t="s">
        <v>695</v>
      </c>
      <c r="B266" t="str">
        <f t="shared" si="31"/>
        <v>2014</v>
      </c>
      <c r="C266" t="str">
        <f t="shared" si="32"/>
        <v>Packt</v>
      </c>
      <c r="D266" t="str">
        <f t="shared" si="33"/>
        <v>Tim Cox</v>
      </c>
      <c r="E266" s="3" t="str">
        <f t="shared" si="34"/>
        <v/>
      </c>
      <c r="F266" s="3" t="str">
        <f t="shared" si="35"/>
        <v>.pdf</v>
      </c>
      <c r="G266" s="3">
        <f t="shared" si="36"/>
        <v>75</v>
      </c>
      <c r="H266" s="3">
        <f>LEN(Table1[[#This Row],[Auteur]])</f>
        <v>7</v>
      </c>
      <c r="I266" s="3" t="str">
        <f t="shared" si="37"/>
        <v>Raspberry Pi Cookbook for Python Programmers</v>
      </c>
    </row>
    <row r="267" spans="1:9" x14ac:dyDescent="0.45">
      <c r="A267" t="s">
        <v>696</v>
      </c>
      <c r="B267" t="str">
        <f t="shared" si="31"/>
        <v>2015</v>
      </c>
      <c r="C267" t="str">
        <f t="shared" si="32"/>
        <v>Packt</v>
      </c>
      <c r="D267" t="str">
        <f t="shared" si="33"/>
        <v>Sai Yamanoor, Srihari Yamanoor</v>
      </c>
      <c r="E267" s="3" t="str">
        <f t="shared" si="34"/>
        <v/>
      </c>
      <c r="F267" t="str">
        <f t="shared" si="35"/>
        <v>.pdf</v>
      </c>
      <c r="G267">
        <f t="shared" si="36"/>
        <v>84</v>
      </c>
      <c r="H267" s="3">
        <f>LEN(Table1[[#This Row],[Auteur]])</f>
        <v>30</v>
      </c>
      <c r="I267" s="3" t="str">
        <f t="shared" si="37"/>
        <v>Raspberry Pi Embedded Projects</v>
      </c>
    </row>
    <row r="268" spans="1:9" x14ac:dyDescent="0.45">
      <c r="A268" t="s">
        <v>697</v>
      </c>
      <c r="B268" t="str">
        <f t="shared" si="31"/>
        <v>2013</v>
      </c>
      <c r="C268" t="str">
        <f t="shared" si="32"/>
        <v>Wiley</v>
      </c>
      <c r="D268" t="str">
        <f t="shared" si="33"/>
        <v>Sean McManus, Mike Cook</v>
      </c>
      <c r="E268" s="3" t="str">
        <f t="shared" si="34"/>
        <v/>
      </c>
      <c r="F268" s="3" t="str">
        <f t="shared" si="35"/>
        <v>.pdf</v>
      </c>
      <c r="G268">
        <f t="shared" si="36"/>
        <v>79</v>
      </c>
      <c r="H268" s="3">
        <f>LEN(Table1[[#This Row],[Auteur]])</f>
        <v>23</v>
      </c>
      <c r="I268" s="3" t="str">
        <f t="shared" si="37"/>
        <v>Raspberry Pi for Dummies</v>
      </c>
    </row>
    <row r="269" spans="1:9" x14ac:dyDescent="0.45">
      <c r="A269" t="s">
        <v>698</v>
      </c>
      <c r="B269" t="str">
        <f t="shared" si="31"/>
        <v>2014</v>
      </c>
      <c r="C269" t="str">
        <f t="shared" si="32"/>
        <v>Wiley</v>
      </c>
      <c r="D269" t="str">
        <f t="shared" si="33"/>
        <v>Sean McManus, Mike Cook</v>
      </c>
      <c r="E269" s="3" t="str">
        <f t="shared" si="34"/>
        <v/>
      </c>
      <c r="F269" t="str">
        <f t="shared" si="35"/>
        <v>.epub</v>
      </c>
      <c r="G269">
        <f t="shared" si="36"/>
        <v>80</v>
      </c>
      <c r="H269" s="3">
        <f>LEN(Table1[[#This Row],[Auteur]])</f>
        <v>23</v>
      </c>
      <c r="I269" s="3" t="str">
        <f t="shared" si="37"/>
        <v>Raspberry Pi for Dummies</v>
      </c>
    </row>
    <row r="270" spans="1:9" x14ac:dyDescent="0.45">
      <c r="A270" t="s">
        <v>699</v>
      </c>
      <c r="B270" t="str">
        <f t="shared" si="31"/>
        <v>2015</v>
      </c>
      <c r="C270" t="str">
        <f t="shared" si="32"/>
        <v>Wiley</v>
      </c>
      <c r="D270" t="str">
        <f t="shared" si="33"/>
        <v>Richard Wentk</v>
      </c>
      <c r="E270" s="3" t="str">
        <f t="shared" si="34"/>
        <v/>
      </c>
      <c r="F270" s="3" t="str">
        <f t="shared" si="35"/>
        <v>.epub</v>
      </c>
      <c r="G270">
        <f t="shared" si="36"/>
        <v>71</v>
      </c>
      <c r="H270" s="3">
        <f>LEN(Table1[[#This Row],[Auteur]])</f>
        <v>13</v>
      </c>
      <c r="I270" s="3" t="str">
        <f t="shared" si="37"/>
        <v>Raspberry Pi for Kids for Dummies</v>
      </c>
    </row>
    <row r="271" spans="1:9" x14ac:dyDescent="0.45">
      <c r="A271" t="s">
        <v>700</v>
      </c>
      <c r="B271" t="str">
        <f t="shared" si="31"/>
        <v>2015</v>
      </c>
      <c r="C271" t="str">
        <f t="shared" si="32"/>
        <v>Wiley</v>
      </c>
      <c r="D271" t="str">
        <f t="shared" si="33"/>
        <v>Richard Wentk</v>
      </c>
      <c r="E271" s="3" t="str">
        <f t="shared" si="34"/>
        <v/>
      </c>
      <c r="F271" s="3" t="str">
        <f t="shared" si="35"/>
        <v>.pdf</v>
      </c>
      <c r="G271" s="3">
        <f t="shared" si="36"/>
        <v>70</v>
      </c>
      <c r="H271" s="3">
        <f>LEN(Table1[[#This Row],[Auteur]])</f>
        <v>13</v>
      </c>
      <c r="I271" s="3" t="str">
        <f t="shared" si="37"/>
        <v>Raspberry Pi for Kids for Dummies</v>
      </c>
    </row>
    <row r="272" spans="1:9" x14ac:dyDescent="0.45">
      <c r="A272" t="s">
        <v>701</v>
      </c>
      <c r="B272" t="str">
        <f t="shared" si="31"/>
        <v>2013</v>
      </c>
      <c r="C272" t="str">
        <f t="shared" si="32"/>
        <v>Packt</v>
      </c>
      <c r="D272" t="str">
        <f t="shared" si="33"/>
        <v>Stefan Sjogelid</v>
      </c>
      <c r="E272" s="3" t="str">
        <f t="shared" si="34"/>
        <v/>
      </c>
      <c r="F272" t="str">
        <f t="shared" si="35"/>
        <v>.pdf</v>
      </c>
      <c r="G272">
        <f t="shared" si="36"/>
        <v>69</v>
      </c>
      <c r="H272" s="3">
        <f>LEN(Table1[[#This Row],[Auteur]])</f>
        <v>15</v>
      </c>
      <c r="I272" s="3" t="str">
        <f t="shared" si="37"/>
        <v>Raspberry Pi for Secret Agents</v>
      </c>
    </row>
    <row r="273" spans="1:9" x14ac:dyDescent="0.45">
      <c r="A273" t="s">
        <v>702</v>
      </c>
      <c r="B273" t="str">
        <f t="shared" si="31"/>
        <v>2015</v>
      </c>
      <c r="C273" t="str">
        <f t="shared" si="32"/>
        <v>Packt</v>
      </c>
      <c r="D273" t="str">
        <f t="shared" si="33"/>
        <v>Shea Silverman</v>
      </c>
      <c r="E273" s="3" t="str">
        <f t="shared" si="34"/>
        <v/>
      </c>
      <c r="F273" t="str">
        <f t="shared" si="35"/>
        <v>.pdf</v>
      </c>
      <c r="G273">
        <f t="shared" si="36"/>
        <v>65</v>
      </c>
      <c r="H273" s="3">
        <f>LEN(Table1[[#This Row],[Auteur]])</f>
        <v>14</v>
      </c>
      <c r="I273" s="3" t="str">
        <f t="shared" si="37"/>
        <v>Raspberry Pi Gaming</v>
      </c>
    </row>
    <row r="274" spans="1:9" x14ac:dyDescent="0.45">
      <c r="A274" t="s">
        <v>703</v>
      </c>
      <c r="B274" t="str">
        <f t="shared" si="31"/>
        <v>2014</v>
      </c>
      <c r="C274" t="str">
        <f t="shared" si="32"/>
        <v>O'Reilly</v>
      </c>
      <c r="D274" t="str">
        <f t="shared" si="33"/>
        <v>Ruth Suehle, Tom Callaway</v>
      </c>
      <c r="E274" s="3" t="str">
        <f t="shared" si="34"/>
        <v/>
      </c>
      <c r="F274" s="3" t="str">
        <f t="shared" si="35"/>
        <v>.epub</v>
      </c>
      <c r="G274">
        <f t="shared" si="36"/>
        <v>71</v>
      </c>
      <c r="H274" s="3">
        <f>LEN(Table1[[#This Row],[Auteur]])</f>
        <v>25</v>
      </c>
      <c r="I274" s="3" t="str">
        <f t="shared" si="37"/>
        <v>Raspberry Pi Hacks</v>
      </c>
    </row>
    <row r="275" spans="1:9" x14ac:dyDescent="0.45">
      <c r="A275" t="s">
        <v>704</v>
      </c>
      <c r="B275" t="str">
        <f t="shared" si="31"/>
        <v>2014</v>
      </c>
      <c r="C275" t="str">
        <f t="shared" si="32"/>
        <v>O'Reilly</v>
      </c>
      <c r="D275" t="str">
        <f t="shared" si="33"/>
        <v>Ruth Suehle, Tom Callaway</v>
      </c>
      <c r="E275" s="3" t="str">
        <f t="shared" si="34"/>
        <v/>
      </c>
      <c r="F275" t="str">
        <f t="shared" si="35"/>
        <v>.pdf</v>
      </c>
      <c r="G275">
        <f t="shared" si="36"/>
        <v>70</v>
      </c>
      <c r="H275" s="3">
        <f>LEN(Table1[[#This Row],[Auteur]])</f>
        <v>25</v>
      </c>
      <c r="I275" s="3" t="str">
        <f t="shared" si="37"/>
        <v>Raspberry Pi Hacks</v>
      </c>
    </row>
    <row r="276" spans="1:9" x14ac:dyDescent="0.45">
      <c r="A276" t="s">
        <v>705</v>
      </c>
      <c r="B276" t="str">
        <f t="shared" si="31"/>
        <v>?</v>
      </c>
      <c r="C276" t="str">
        <f t="shared" si="32"/>
        <v>Wiley</v>
      </c>
      <c r="D276" t="str">
        <f t="shared" si="33"/>
        <v>Andrew Robinson, Mike Cook</v>
      </c>
      <c r="E276" s="3" t="str">
        <f t="shared" si="34"/>
        <v/>
      </c>
      <c r="F276" t="str">
        <f t="shared" si="35"/>
        <v>.pdf</v>
      </c>
      <c r="G276">
        <f t="shared" si="36"/>
        <v>80</v>
      </c>
      <c r="H276" s="3">
        <f>LEN(Table1[[#This Row],[Auteur]])</f>
        <v>26</v>
      </c>
      <c r="I276" s="3" t="str">
        <f t="shared" si="37"/>
        <v>Raspberry Pi Hardware Projects Vol. 1</v>
      </c>
    </row>
    <row r="277" spans="1:9" x14ac:dyDescent="0.45">
      <c r="A277" t="s">
        <v>706</v>
      </c>
      <c r="B277" t="str">
        <f t="shared" si="31"/>
        <v>2014</v>
      </c>
      <c r="C277" t="str">
        <f t="shared" si="32"/>
        <v>Apress</v>
      </c>
      <c r="D277" t="str">
        <f t="shared" si="33"/>
        <v>Warren Gay</v>
      </c>
      <c r="E277" s="3" t="str">
        <f t="shared" si="34"/>
        <v/>
      </c>
      <c r="F277" t="str">
        <f t="shared" si="35"/>
        <v>.pdf</v>
      </c>
      <c r="G277">
        <f t="shared" si="36"/>
        <v>66</v>
      </c>
      <c r="H277" s="3">
        <f>LEN(Table1[[#This Row],[Auteur]])</f>
        <v>10</v>
      </c>
      <c r="I277" s="3" t="str">
        <f t="shared" si="37"/>
        <v>Raspberry Pi Hardware Reference</v>
      </c>
    </row>
    <row r="278" spans="1:9" x14ac:dyDescent="0.45">
      <c r="A278" t="s">
        <v>707</v>
      </c>
      <c r="B278" t="str">
        <f t="shared" si="31"/>
        <v>2015</v>
      </c>
      <c r="C278" t="str">
        <f t="shared" si="32"/>
        <v>Packt</v>
      </c>
      <c r="D278" t="str">
        <f t="shared" si="33"/>
        <v>Agus Kurniawan</v>
      </c>
      <c r="E278" s="3" t="str">
        <f t="shared" si="34"/>
        <v/>
      </c>
      <c r="F278" s="3" t="str">
        <f t="shared" si="35"/>
        <v>.pdf</v>
      </c>
      <c r="G278" s="3">
        <f t="shared" si="36"/>
        <v>65</v>
      </c>
      <c r="H278" s="3">
        <f>LEN(Table1[[#This Row],[Auteur]])</f>
        <v>14</v>
      </c>
      <c r="I278" s="3" t="str">
        <f t="shared" si="37"/>
        <v>Raspberry Pi LED Blueprints</v>
      </c>
    </row>
    <row r="279" spans="1:9" x14ac:dyDescent="0.45">
      <c r="A279" t="s">
        <v>708</v>
      </c>
      <c r="B279" t="str">
        <f t="shared" si="31"/>
        <v>2015</v>
      </c>
      <c r="C279" t="str">
        <f t="shared" si="32"/>
        <v>Packt</v>
      </c>
      <c r="D279" t="str">
        <f t="shared" si="33"/>
        <v>Sai+Srihari Yamanoor</v>
      </c>
      <c r="E279" s="3" t="str">
        <f t="shared" si="34"/>
        <v/>
      </c>
      <c r="F279" s="3" t="str">
        <f t="shared" si="35"/>
        <v>.pdf</v>
      </c>
      <c r="G279" s="3">
        <f t="shared" si="36"/>
        <v>78</v>
      </c>
      <c r="H279" s="3">
        <f>LEN(Table1[[#This Row],[Auteur]])</f>
        <v>20</v>
      </c>
      <c r="I279" s="3" t="str">
        <f t="shared" si="37"/>
        <v>Raspberry Pi Mechatronics Projects</v>
      </c>
    </row>
    <row r="280" spans="1:9" x14ac:dyDescent="0.45">
      <c r="A280" t="s">
        <v>709</v>
      </c>
      <c r="B280" t="str">
        <f t="shared" si="31"/>
        <v>2013</v>
      </c>
      <c r="C280" t="str">
        <f t="shared" si="32"/>
        <v>Packt</v>
      </c>
      <c r="D280" t="str">
        <f t="shared" si="33"/>
        <v>Rick Golden</v>
      </c>
      <c r="E280" s="3" t="str">
        <f t="shared" si="34"/>
        <v/>
      </c>
      <c r="F280" t="str">
        <f t="shared" si="35"/>
        <v>.pdf</v>
      </c>
      <c r="G280">
        <f t="shared" si="36"/>
        <v>75</v>
      </c>
      <c r="H280" s="3">
        <f>LEN(Table1[[#This Row],[Auteur]])</f>
        <v>11</v>
      </c>
      <c r="I280" s="3" t="str">
        <f t="shared" si="37"/>
        <v>Raspberry Pi Networking Cookbook</v>
      </c>
    </row>
    <row r="281" spans="1:9" x14ac:dyDescent="0.45">
      <c r="A281" t="s">
        <v>710</v>
      </c>
      <c r="B281" t="str">
        <f t="shared" si="31"/>
        <v>2015</v>
      </c>
      <c r="C281" t="str">
        <f t="shared" si="32"/>
        <v>Packt</v>
      </c>
      <c r="D281" t="str">
        <f t="shared" si="33"/>
        <v>Rick Golden</v>
      </c>
      <c r="E281" s="3" t="str">
        <f t="shared" si="34"/>
        <v/>
      </c>
      <c r="F281" s="3" t="str">
        <f t="shared" si="35"/>
        <v>.pdf</v>
      </c>
      <c r="G281">
        <f t="shared" si="36"/>
        <v>75</v>
      </c>
      <c r="H281" s="3">
        <f>LEN(Table1[[#This Row],[Auteur]])</f>
        <v>11</v>
      </c>
      <c r="I281" s="3" t="str">
        <f t="shared" si="37"/>
        <v>Raspberry Pi Networking Cookbook</v>
      </c>
    </row>
    <row r="282" spans="1:9" x14ac:dyDescent="0.45">
      <c r="A282" t="s">
        <v>711</v>
      </c>
      <c r="B282" t="str">
        <f t="shared" si="31"/>
        <v>2014</v>
      </c>
      <c r="C282" t="str">
        <f t="shared" si="32"/>
        <v>Packt</v>
      </c>
      <c r="D282" t="str">
        <f t="shared" si="33"/>
        <v>Daniel Bates</v>
      </c>
      <c r="E282" s="3" t="str">
        <f t="shared" si="34"/>
        <v/>
      </c>
      <c r="F282" s="3" t="str">
        <f t="shared" si="35"/>
        <v>.pdf</v>
      </c>
      <c r="G282" s="3">
        <f t="shared" si="36"/>
        <v>74</v>
      </c>
      <c r="H282" s="3">
        <f>LEN(Table1[[#This Row],[Auteur]])</f>
        <v>12</v>
      </c>
      <c r="I282" s="3" t="str">
        <f t="shared" si="37"/>
        <v>Raspberry Pi Projects for Kids</v>
      </c>
    </row>
    <row r="283" spans="1:9" x14ac:dyDescent="0.45">
      <c r="A283" t="s">
        <v>712</v>
      </c>
      <c r="B283" t="str">
        <f t="shared" si="31"/>
        <v>2015</v>
      </c>
      <c r="C283" t="str">
        <f t="shared" si="32"/>
        <v>Packt</v>
      </c>
      <c r="D283" t="str">
        <f t="shared" si="33"/>
        <v>Daniel Bates</v>
      </c>
      <c r="E283" s="3" t="str">
        <f t="shared" si="34"/>
        <v/>
      </c>
      <c r="F283" t="str">
        <f t="shared" si="35"/>
        <v>.pdf</v>
      </c>
      <c r="G283">
        <f t="shared" si="36"/>
        <v>74</v>
      </c>
      <c r="H283" s="3">
        <f>LEN(Table1[[#This Row],[Auteur]])</f>
        <v>12</v>
      </c>
      <c r="I283" s="3" t="str">
        <f t="shared" si="37"/>
        <v>Raspberry Pi Projects for Kids</v>
      </c>
    </row>
    <row r="284" spans="1:9" x14ac:dyDescent="0.45">
      <c r="A284" t="s">
        <v>713</v>
      </c>
      <c r="B284" t="str">
        <f t="shared" si="31"/>
        <v>2015</v>
      </c>
      <c r="C284" t="str">
        <f t="shared" si="32"/>
        <v>Packt</v>
      </c>
      <c r="D284" t="str">
        <f t="shared" si="33"/>
        <v>Richard Grimmett</v>
      </c>
      <c r="E284" s="3" t="str">
        <f t="shared" si="34"/>
        <v/>
      </c>
      <c r="F284" s="3" t="str">
        <f t="shared" si="35"/>
        <v>.pdf</v>
      </c>
      <c r="G284" s="3">
        <f t="shared" si="36"/>
        <v>71</v>
      </c>
      <c r="H284" s="3">
        <f>LEN(Table1[[#This Row],[Auteur]])</f>
        <v>16</v>
      </c>
      <c r="I284" s="3" t="str">
        <f t="shared" si="37"/>
        <v>Raspberry Pi Robotic Blueprints</v>
      </c>
    </row>
    <row r="285" spans="1:9" x14ac:dyDescent="0.45">
      <c r="A285" t="s">
        <v>714</v>
      </c>
      <c r="B285" t="str">
        <f t="shared" si="31"/>
        <v>2015</v>
      </c>
      <c r="C285" t="str">
        <f t="shared" si="32"/>
        <v>Packt</v>
      </c>
      <c r="D285" t="str">
        <f t="shared" si="33"/>
        <v>Richard Grimmett</v>
      </c>
      <c r="E285" s="3" t="str">
        <f t="shared" si="34"/>
        <v/>
      </c>
      <c r="F285" t="str">
        <f t="shared" si="35"/>
        <v>.pdf</v>
      </c>
      <c r="G285">
        <f t="shared" si="36"/>
        <v>72</v>
      </c>
      <c r="H285" s="3">
        <f>LEN(Table1[[#This Row],[Auteur]])</f>
        <v>16</v>
      </c>
      <c r="I285" s="3" t="str">
        <f t="shared" si="37"/>
        <v>Raspberry Pi Robotics Essentials</v>
      </c>
    </row>
    <row r="286" spans="1:9" x14ac:dyDescent="0.45">
      <c r="A286" t="s">
        <v>715</v>
      </c>
      <c r="B286" t="str">
        <f t="shared" si="31"/>
        <v>2015</v>
      </c>
      <c r="C286" t="str">
        <f t="shared" si="32"/>
        <v>Packt</v>
      </c>
      <c r="D286" t="str">
        <f t="shared" si="33"/>
        <v>Richard Grimmett</v>
      </c>
      <c r="E286" t="str">
        <f t="shared" si="34"/>
        <v/>
      </c>
      <c r="F286" t="str">
        <f t="shared" si="35"/>
        <v>.epub</v>
      </c>
      <c r="G286">
        <f t="shared" si="36"/>
        <v>79</v>
      </c>
      <c r="H286" s="3">
        <f>LEN(Table1[[#This Row],[Auteur]])</f>
        <v>16</v>
      </c>
      <c r="I286" s="3" t="str">
        <f t="shared" si="37"/>
        <v>Raspberry Pi Robotics Projects</v>
      </c>
    </row>
    <row r="287" spans="1:9" x14ac:dyDescent="0.45">
      <c r="A287" t="s">
        <v>716</v>
      </c>
      <c r="B287" t="str">
        <f t="shared" si="31"/>
        <v>2014</v>
      </c>
      <c r="C287" t="str">
        <f t="shared" si="32"/>
        <v>Packt</v>
      </c>
      <c r="D287" t="str">
        <f t="shared" si="33"/>
        <v>Richard Grimmett</v>
      </c>
      <c r="E287" s="3" t="str">
        <f t="shared" si="34"/>
        <v/>
      </c>
      <c r="F287" t="str">
        <f t="shared" si="35"/>
        <v>.pdf</v>
      </c>
      <c r="G287">
        <f t="shared" si="36"/>
        <v>70</v>
      </c>
      <c r="H287" s="3">
        <f>LEN(Table1[[#This Row],[Auteur]])</f>
        <v>16</v>
      </c>
      <c r="I287" s="3" t="str">
        <f t="shared" si="37"/>
        <v>Raspberry Pi Robotics Projects</v>
      </c>
    </row>
    <row r="288" spans="1:9" x14ac:dyDescent="0.45">
      <c r="A288" t="s">
        <v>717</v>
      </c>
      <c r="B288" t="str">
        <f t="shared" si="31"/>
        <v>2014</v>
      </c>
      <c r="C288" t="str">
        <f t="shared" si="32"/>
        <v>Packt</v>
      </c>
      <c r="D288" t="str">
        <f t="shared" si="33"/>
        <v>Piotr J. Kula</v>
      </c>
      <c r="E288" s="3" t="str">
        <f t="shared" si="34"/>
        <v/>
      </c>
      <c r="F288" t="str">
        <f t="shared" si="35"/>
        <v>.epub</v>
      </c>
      <c r="G288">
        <f t="shared" si="36"/>
        <v>68</v>
      </c>
      <c r="H288" s="3">
        <f>LEN(Table1[[#This Row],[Auteur]])</f>
        <v>13</v>
      </c>
      <c r="I288" s="3" t="str">
        <f t="shared" si="37"/>
        <v>Raspberry Pi Server Essentials</v>
      </c>
    </row>
    <row r="289" spans="1:9" x14ac:dyDescent="0.45">
      <c r="A289" t="s">
        <v>718</v>
      </c>
      <c r="B289" t="str">
        <f t="shared" si="31"/>
        <v>2014</v>
      </c>
      <c r="C289" t="str">
        <f t="shared" si="32"/>
        <v>Packt</v>
      </c>
      <c r="D289" t="str">
        <f t="shared" si="33"/>
        <v>Piotr J. Kula</v>
      </c>
      <c r="E289" s="3" t="str">
        <f t="shared" si="34"/>
        <v/>
      </c>
      <c r="F289" t="str">
        <f t="shared" si="35"/>
        <v>.pdf</v>
      </c>
      <c r="G289">
        <f t="shared" si="36"/>
        <v>67</v>
      </c>
      <c r="H289" s="3">
        <f>LEN(Table1[[#This Row],[Auteur]])</f>
        <v>13</v>
      </c>
      <c r="I289" s="3" t="str">
        <f t="shared" si="37"/>
        <v>Raspberry Pi Server Essentials</v>
      </c>
    </row>
    <row r="290" spans="1:9" x14ac:dyDescent="0.45">
      <c r="A290" t="s">
        <v>719</v>
      </c>
      <c r="B290" t="str">
        <f t="shared" si="31"/>
        <v>2014</v>
      </c>
      <c r="C290" t="str">
        <f t="shared" si="32"/>
        <v>Apress</v>
      </c>
      <c r="D290" t="str">
        <f t="shared" si="33"/>
        <v>Warren Gay</v>
      </c>
      <c r="E290" s="3" t="str">
        <f t="shared" si="34"/>
        <v/>
      </c>
      <c r="F290" t="str">
        <f t="shared" si="35"/>
        <v>.pdf</v>
      </c>
      <c r="G290">
        <f t="shared" si="36"/>
        <v>73</v>
      </c>
      <c r="H290" s="3">
        <f>LEN(Table1[[#This Row],[Auteur]])</f>
        <v>10</v>
      </c>
      <c r="I290" s="3" t="str">
        <f t="shared" si="37"/>
        <v>Raspberry Pi System Software Reference</v>
      </c>
    </row>
    <row r="291" spans="1:9" x14ac:dyDescent="0.45">
      <c r="A291" t="s">
        <v>720</v>
      </c>
      <c r="B291" t="str">
        <f t="shared" si="31"/>
        <v>2014</v>
      </c>
      <c r="C291" t="str">
        <f t="shared" si="32"/>
        <v>Wiley</v>
      </c>
      <c r="D291" t="str">
        <f t="shared" si="33"/>
        <v>Eben Upton, Gareth Halfacree</v>
      </c>
      <c r="E291" s="3" t="str">
        <f t="shared" si="34"/>
        <v/>
      </c>
      <c r="F291" t="str">
        <f t="shared" si="35"/>
        <v>.pdf</v>
      </c>
      <c r="G291">
        <f t="shared" si="36"/>
        <v>83</v>
      </c>
      <c r="H291" s="3">
        <f>LEN(Table1[[#This Row],[Auteur]])</f>
        <v>28</v>
      </c>
      <c r="I291" s="3" t="str">
        <f t="shared" si="37"/>
        <v>Raspberry Pi User Guide</v>
      </c>
    </row>
    <row r="292" spans="1:9" x14ac:dyDescent="0.45">
      <c r="A292" t="s">
        <v>721</v>
      </c>
      <c r="B292" t="str">
        <f t="shared" si="31"/>
        <v>2014</v>
      </c>
      <c r="C292" t="str">
        <f t="shared" si="32"/>
        <v>?</v>
      </c>
      <c r="D292" t="str">
        <f t="shared" si="33"/>
        <v>Vilros</v>
      </c>
      <c r="E292" s="3" t="str">
        <f t="shared" si="34"/>
        <v/>
      </c>
      <c r="F292" t="str">
        <f t="shared" si="35"/>
        <v>.pdf</v>
      </c>
      <c r="G292">
        <f t="shared" si="36"/>
        <v>43</v>
      </c>
      <c r="H292" s="3">
        <f>LEN(Table1[[#This Row],[Auteur]])</f>
        <v>6</v>
      </c>
      <c r="I292" s="3" t="str">
        <f t="shared" si="37"/>
        <v>Raspberry Pi User Guide</v>
      </c>
    </row>
    <row r="293" spans="1:9" x14ac:dyDescent="0.45">
      <c r="A293" t="s">
        <v>722</v>
      </c>
      <c r="B293" t="str">
        <f t="shared" si="31"/>
        <v>2012</v>
      </c>
      <c r="C293" t="str">
        <f t="shared" si="32"/>
        <v>The Pragmatic Programmers</v>
      </c>
      <c r="D293" t="str">
        <f t="shared" si="33"/>
        <v>Maik Schmidt</v>
      </c>
      <c r="E293" s="3" t="str">
        <f t="shared" si="34"/>
        <v/>
      </c>
      <c r="F293" s="3" t="str">
        <f t="shared" si="35"/>
        <v>.epub</v>
      </c>
      <c r="G293">
        <f t="shared" si="36"/>
        <v>98</v>
      </c>
      <c r="H293" s="3">
        <f>LEN(Table1[[#This Row],[Auteur]])</f>
        <v>12</v>
      </c>
      <c r="I293" s="3" t="str">
        <f t="shared" si="37"/>
        <v>Raspberry Pi, A Quick-Start Guide</v>
      </c>
    </row>
    <row r="294" spans="1:9" x14ac:dyDescent="0.45">
      <c r="A294" t="s">
        <v>723</v>
      </c>
      <c r="B294" t="str">
        <f t="shared" si="31"/>
        <v>2012</v>
      </c>
      <c r="C294" t="str">
        <f t="shared" si="32"/>
        <v>The Pragmatic Programmers</v>
      </c>
      <c r="D294" t="str">
        <f t="shared" si="33"/>
        <v>Maik Schmidt</v>
      </c>
      <c r="E294" s="3" t="str">
        <f t="shared" si="34"/>
        <v/>
      </c>
      <c r="F294" t="str">
        <f t="shared" si="35"/>
        <v>.pdf</v>
      </c>
      <c r="G294">
        <f t="shared" si="36"/>
        <v>97</v>
      </c>
      <c r="H294" s="3">
        <f>LEN(Table1[[#This Row],[Auteur]])</f>
        <v>12</v>
      </c>
      <c r="I294" s="3" t="str">
        <f t="shared" si="37"/>
        <v>Raspberry Pi, A Quick-Start Guide</v>
      </c>
    </row>
    <row r="295" spans="1:9" x14ac:dyDescent="0.45">
      <c r="A295" t="s">
        <v>724</v>
      </c>
      <c r="B295" t="str">
        <f t="shared" si="31"/>
        <v>2014</v>
      </c>
      <c r="C295" t="str">
        <f t="shared" si="32"/>
        <v>The Pragmatic Programmers</v>
      </c>
      <c r="D295" t="str">
        <f t="shared" si="33"/>
        <v>Maik Schmidt</v>
      </c>
      <c r="E295" s="3" t="str">
        <f t="shared" si="34"/>
        <v/>
      </c>
      <c r="F295" t="str">
        <f t="shared" si="35"/>
        <v>.epub</v>
      </c>
      <c r="G295">
        <f t="shared" si="36"/>
        <v>98</v>
      </c>
      <c r="H295" s="3">
        <f>LEN(Table1[[#This Row],[Auteur]])</f>
        <v>12</v>
      </c>
      <c r="I295" s="3" t="str">
        <f t="shared" si="37"/>
        <v>Raspberry Pi, A Quick-Start Guide</v>
      </c>
    </row>
    <row r="296" spans="1:9" x14ac:dyDescent="0.45">
      <c r="A296" t="s">
        <v>725</v>
      </c>
      <c r="B296" t="str">
        <f t="shared" si="31"/>
        <v>2014</v>
      </c>
      <c r="C296" t="str">
        <f t="shared" si="32"/>
        <v>The Pragmatic Programmers</v>
      </c>
      <c r="D296" t="str">
        <f t="shared" si="33"/>
        <v>Maik Schmidt</v>
      </c>
      <c r="E296" s="3" t="str">
        <f t="shared" si="34"/>
        <v/>
      </c>
      <c r="F296" s="3" t="str">
        <f t="shared" si="35"/>
        <v>.pdf</v>
      </c>
      <c r="G296">
        <f t="shared" si="36"/>
        <v>97</v>
      </c>
      <c r="H296" s="3">
        <f>LEN(Table1[[#This Row],[Auteur]])</f>
        <v>12</v>
      </c>
      <c r="I296" s="3" t="str">
        <f t="shared" si="37"/>
        <v>Raspberry Pi, A Quick-Start Guide</v>
      </c>
    </row>
    <row r="297" spans="1:9" x14ac:dyDescent="0.45">
      <c r="A297" t="s">
        <v>726</v>
      </c>
      <c r="B297" t="str">
        <f t="shared" si="31"/>
        <v>2013</v>
      </c>
      <c r="C297" t="str">
        <f t="shared" si="32"/>
        <v>Dunod</v>
      </c>
      <c r="D297" t="str">
        <f t="shared" si="33"/>
        <v>Christian Tavernier</v>
      </c>
      <c r="E297" s="3" t="str">
        <f t="shared" si="34"/>
        <v/>
      </c>
      <c r="F297" s="3" t="str">
        <f t="shared" si="35"/>
        <v>.pdf</v>
      </c>
      <c r="G297">
        <f t="shared" si="36"/>
        <v>96</v>
      </c>
      <c r="H297" s="3">
        <f>LEN(Table1[[#This Row],[Auteur]])</f>
        <v>19</v>
      </c>
      <c r="I297" s="3" t="str">
        <f t="shared" si="37"/>
        <v>Raspberry Pi, Prise en main et premières réalisations</v>
      </c>
    </row>
    <row r="298" spans="1:9" x14ac:dyDescent="0.45">
      <c r="A298" t="s">
        <v>727</v>
      </c>
      <c r="B298" t="str">
        <f t="shared" si="31"/>
        <v>?</v>
      </c>
      <c r="C298" t="str">
        <f t="shared" si="32"/>
        <v>?</v>
      </c>
      <c r="D298" t="str">
        <f t="shared" si="33"/>
        <v>Kevin Gray</v>
      </c>
      <c r="E298" s="3" t="str">
        <f t="shared" si="34"/>
        <v/>
      </c>
      <c r="F298" t="str">
        <f t="shared" si="35"/>
        <v>.epub</v>
      </c>
      <c r="G298">
        <f t="shared" si="36"/>
        <v>61</v>
      </c>
      <c r="H298" s="3">
        <f>LEN(Table1[[#This Row],[Auteur]])</f>
        <v>10</v>
      </c>
      <c r="I298" s="3" t="str">
        <f t="shared" si="37"/>
        <v>Raspberry Pi, The Ultimate Beginner's Guide</v>
      </c>
    </row>
    <row r="299" spans="1:9" x14ac:dyDescent="0.45">
      <c r="A299" t="s">
        <v>728</v>
      </c>
      <c r="B299" t="str">
        <f t="shared" si="31"/>
        <v>?</v>
      </c>
      <c r="C299" t="str">
        <f t="shared" si="32"/>
        <v>?</v>
      </c>
      <c r="D299" t="str">
        <f t="shared" si="33"/>
        <v>Kevin Gray</v>
      </c>
      <c r="E299" s="3" t="str">
        <f t="shared" si="34"/>
        <v/>
      </c>
      <c r="F299" t="str">
        <f t="shared" si="35"/>
        <v>.pdf</v>
      </c>
      <c r="G299">
        <f t="shared" si="36"/>
        <v>60</v>
      </c>
      <c r="H299" s="3">
        <f>LEN(Table1[[#This Row],[Auteur]])</f>
        <v>10</v>
      </c>
      <c r="I299" s="3" t="str">
        <f t="shared" si="37"/>
        <v>Raspberry Pi, The Ultimate Beginner's Guide</v>
      </c>
    </row>
    <row r="300" spans="1:9" x14ac:dyDescent="0.45">
      <c r="A300" t="s">
        <v>729</v>
      </c>
      <c r="B300" t="str">
        <f t="shared" si="31"/>
        <v>?</v>
      </c>
      <c r="C300" t="str">
        <f t="shared" si="32"/>
        <v>?</v>
      </c>
      <c r="D300" t="str">
        <f t="shared" si="33"/>
        <v>Patrick Hunter</v>
      </c>
      <c r="E300" s="3" t="str">
        <f t="shared" si="34"/>
        <v/>
      </c>
      <c r="F300" t="str">
        <f t="shared" si="35"/>
        <v>.epub</v>
      </c>
      <c r="G300">
        <f t="shared" si="36"/>
        <v>59</v>
      </c>
      <c r="H300" s="3">
        <f>LEN(Table1[[#This Row],[Auteur]])</f>
        <v>14</v>
      </c>
      <c r="I300" s="3" t="str">
        <f t="shared" si="37"/>
        <v>Raspberry Pi, The Ultimate User Guide</v>
      </c>
    </row>
    <row r="301" spans="1:9" x14ac:dyDescent="0.45">
      <c r="A301" t="s">
        <v>730</v>
      </c>
      <c r="B301" t="str">
        <f t="shared" si="31"/>
        <v>?</v>
      </c>
      <c r="C301" t="str">
        <f t="shared" si="32"/>
        <v>?</v>
      </c>
      <c r="D301" t="str">
        <f t="shared" si="33"/>
        <v>Patrick Hunter</v>
      </c>
      <c r="E301" s="3" t="str">
        <f t="shared" si="34"/>
        <v/>
      </c>
      <c r="F301" t="str">
        <f t="shared" si="35"/>
        <v>.pdf</v>
      </c>
      <c r="G301">
        <f t="shared" si="36"/>
        <v>58</v>
      </c>
      <c r="H301" s="3">
        <f>LEN(Table1[[#This Row],[Auteur]])</f>
        <v>14</v>
      </c>
      <c r="I301" s="3" t="str">
        <f t="shared" si="37"/>
        <v>Raspberry Pi, The Ultimate User Guide</v>
      </c>
    </row>
    <row r="302" spans="1:9" x14ac:dyDescent="0.45">
      <c r="A302" t="s">
        <v>747</v>
      </c>
      <c r="B302" t="str">
        <f t="shared" si="31"/>
        <v>2014</v>
      </c>
      <c r="C302" t="str">
        <f t="shared" si="32"/>
        <v>Wiley</v>
      </c>
      <c r="D302" t="str">
        <f t="shared" si="33"/>
        <v>Richard Wentk</v>
      </c>
      <c r="E302" t="str">
        <f t="shared" si="34"/>
        <v/>
      </c>
      <c r="F302" t="str">
        <f t="shared" si="35"/>
        <v>.pdf</v>
      </c>
      <c r="G302">
        <f t="shared" si="36"/>
        <v>73</v>
      </c>
      <c r="H302" s="3">
        <f>LEN(Table1[[#This Row],[Auteur]])</f>
        <v>13</v>
      </c>
      <c r="I302" s="3" t="str">
        <f t="shared" si="37"/>
        <v>Teach Yourself Visually Raspberry Pi</v>
      </c>
    </row>
    <row r="303" spans="1:9" x14ac:dyDescent="0.45">
      <c r="A303" t="s">
        <v>810</v>
      </c>
      <c r="B303" t="str">
        <f t="shared" si="31"/>
        <v>2016</v>
      </c>
      <c r="C303" t="str">
        <f t="shared" si="32"/>
        <v>No Starch</v>
      </c>
      <c r="D303" t="str">
        <f t="shared" si="33"/>
        <v>Simon Monk</v>
      </c>
      <c r="E303" t="str">
        <f t="shared" si="34"/>
        <v/>
      </c>
      <c r="F303" t="str">
        <f t="shared" si="35"/>
        <v>.pdf</v>
      </c>
      <c r="G303">
        <f t="shared" si="36"/>
        <v>80</v>
      </c>
      <c r="H303" s="3">
        <f>LEN(Table1[[#This Row],[Auteur]])</f>
        <v>10</v>
      </c>
      <c r="I303" s="3" t="str">
        <f t="shared" si="37"/>
        <v>The Maker's Guide to the Zombie Apocalypse</v>
      </c>
    </row>
    <row r="304" spans="1:9" x14ac:dyDescent="0.45">
      <c r="A304" t="s">
        <v>811</v>
      </c>
      <c r="B304" t="str">
        <f t="shared" si="31"/>
        <v>2014</v>
      </c>
      <c r="C304" t="str">
        <f t="shared" si="32"/>
        <v>Magbook</v>
      </c>
      <c r="D304" t="str">
        <f t="shared" si="33"/>
        <v>Kevin Partner</v>
      </c>
      <c r="E304" s="3" t="str">
        <f t="shared" si="34"/>
        <v/>
      </c>
      <c r="F304" s="3" t="str">
        <f t="shared" si="35"/>
        <v>.pdf</v>
      </c>
      <c r="G304" s="3">
        <f t="shared" si="36"/>
        <v>69</v>
      </c>
      <c r="H304" s="3">
        <f>LEN(Table1[[#This Row],[Auteur]])</f>
        <v>13</v>
      </c>
      <c r="I304" s="3" t="str">
        <f t="shared" si="37"/>
        <v>Ultimate Guide to Raspberry Pi</v>
      </c>
    </row>
    <row r="305" spans="1:9" x14ac:dyDescent="0.45">
      <c r="A305" t="s">
        <v>812</v>
      </c>
      <c r="B305" t="str">
        <f t="shared" si="31"/>
        <v>2016</v>
      </c>
      <c r="C305" t="str">
        <f t="shared" si="32"/>
        <v>Mediaforma</v>
      </c>
      <c r="D305" t="str">
        <f t="shared" si="33"/>
        <v>Michel Martin</v>
      </c>
      <c r="E305" s="3" t="str">
        <f t="shared" si="34"/>
        <v/>
      </c>
      <c r="F305" t="str">
        <f t="shared" si="35"/>
        <v>.pdf</v>
      </c>
      <c r="G305">
        <f t="shared" si="36"/>
        <v>93</v>
      </c>
      <c r="H305" s="3">
        <f>LEN(Table1[[#This Row],[Auteur]])</f>
        <v>13</v>
      </c>
      <c r="I305" s="3" t="str">
        <f t="shared" si="37"/>
        <v>Un Media Center dans mon salon avec un Raspberry Pi</v>
      </c>
    </row>
    <row r="306" spans="1:9" x14ac:dyDescent="0.45">
      <c r="A306" t="s">
        <v>813</v>
      </c>
      <c r="B306" t="str">
        <f t="shared" si="31"/>
        <v>?</v>
      </c>
      <c r="C306" t="str">
        <f t="shared" si="32"/>
        <v>?</v>
      </c>
      <c r="D306" t="str">
        <f t="shared" si="33"/>
        <v>Christian Cawley</v>
      </c>
      <c r="E306" s="3" t="str">
        <f t="shared" si="34"/>
        <v>Document</v>
      </c>
      <c r="F306" s="3" t="str">
        <f t="shared" si="35"/>
        <v>.pdf</v>
      </c>
      <c r="G306">
        <f t="shared" si="36"/>
        <v>69</v>
      </c>
      <c r="H306" s="3">
        <f>LEN(Table1[[#This Row],[Auteur]])</f>
        <v>16</v>
      </c>
      <c r="I306" s="3" t="str">
        <f t="shared" si="37"/>
        <v>Your Unofficial Raspberry Pi Manual</v>
      </c>
    </row>
    <row r="307" spans="1:9" x14ac:dyDescent="0.45">
      <c r="A307" t="s">
        <v>731</v>
      </c>
      <c r="B307" t="str">
        <f t="shared" si="31"/>
        <v>?</v>
      </c>
      <c r="C307" t="str">
        <f t="shared" si="32"/>
        <v>?</v>
      </c>
      <c r="D307" t="str">
        <f t="shared" si="33"/>
        <v>Raspberry Pi Projects 2015</v>
      </c>
      <c r="E307" s="3" t="str">
        <f t="shared" si="34"/>
        <v/>
      </c>
      <c r="F307" t="str">
        <f t="shared" si="35"/>
        <v>.pdf</v>
      </c>
      <c r="G307">
        <f t="shared" si="36"/>
        <v>43</v>
      </c>
      <c r="H307" s="3">
        <f>LEN(Table1[[#This Row],[Auteur]])</f>
        <v>26</v>
      </c>
      <c r="I307" s="3" t="str">
        <f t="shared" si="37"/>
        <v>Guru Guide</v>
      </c>
    </row>
    <row r="308" spans="1:9" x14ac:dyDescent="0.45">
      <c r="A308" t="s">
        <v>732</v>
      </c>
      <c r="B308" t="str">
        <f t="shared" si="31"/>
        <v>?</v>
      </c>
      <c r="C308" t="str">
        <f t="shared" si="32"/>
        <v>?</v>
      </c>
      <c r="D308" t="str">
        <f t="shared" si="33"/>
        <v>$$$ Seg 1 sans [</v>
      </c>
      <c r="E308" s="3" t="str">
        <f t="shared" si="34"/>
        <v/>
      </c>
      <c r="F308" t="str">
        <f t="shared" si="35"/>
        <v>.pdf</v>
      </c>
      <c r="G308">
        <f t="shared" si="36"/>
        <v>42</v>
      </c>
      <c r="H308" s="3">
        <f>LEN(Table1[[#This Row],[Auteur]])</f>
        <v>16</v>
      </c>
      <c r="I308" s="3" t="str">
        <f t="shared" si="37"/>
        <v>Linux Journal</v>
      </c>
    </row>
    <row r="309" spans="1:9" x14ac:dyDescent="0.45">
      <c r="A309" t="s">
        <v>733</v>
      </c>
      <c r="B309" t="str">
        <f t="shared" si="31"/>
        <v>?</v>
      </c>
      <c r="C309" t="str">
        <f t="shared" si="32"/>
        <v>?</v>
      </c>
      <c r="D309" t="str">
        <f t="shared" si="33"/>
        <v>Raspberry Pi</v>
      </c>
      <c r="E309" s="3" t="str">
        <f t="shared" si="34"/>
        <v/>
      </c>
      <c r="F309" s="3" t="str">
        <f t="shared" si="35"/>
        <v>.pdf</v>
      </c>
      <c r="G309">
        <f t="shared" si="36"/>
        <v>39</v>
      </c>
      <c r="H309" s="3">
        <f>LEN(Table1[[#This Row],[Auteur]])</f>
        <v>12</v>
      </c>
      <c r="I309" s="3" t="str">
        <f t="shared" si="37"/>
        <v>Linux Magazine HS 75</v>
      </c>
    </row>
    <row r="310" spans="1:9" x14ac:dyDescent="0.45">
      <c r="A310" t="s">
        <v>734</v>
      </c>
      <c r="B310" t="str">
        <f t="shared" si="31"/>
        <v>?</v>
      </c>
      <c r="C310" t="str">
        <f t="shared" si="32"/>
        <v>?</v>
      </c>
      <c r="D310" t="str">
        <f t="shared" si="33"/>
        <v>Practical Raspberry Pi Projects</v>
      </c>
      <c r="E310" s="3" t="str">
        <f t="shared" si="34"/>
        <v/>
      </c>
      <c r="F310" t="str">
        <f t="shared" si="35"/>
        <v>.pdf</v>
      </c>
      <c r="G310">
        <f t="shared" si="36"/>
        <v>60</v>
      </c>
      <c r="H310" s="3">
        <f>LEN(Table1[[#This Row],[Auteur]])</f>
        <v>31</v>
      </c>
      <c r="I310" s="3" t="str">
        <f t="shared" si="37"/>
        <v>Linux User &amp; Developer</v>
      </c>
    </row>
    <row r="311" spans="1:9" x14ac:dyDescent="0.45">
      <c r="A311" t="s">
        <v>735</v>
      </c>
      <c r="B311" t="str">
        <f t="shared" si="31"/>
        <v>?</v>
      </c>
      <c r="C311" t="str">
        <f t="shared" si="32"/>
        <v>?</v>
      </c>
      <c r="D311" t="str">
        <f t="shared" si="33"/>
        <v>Raspberry Pi 2</v>
      </c>
      <c r="E311" s="3" t="str">
        <f t="shared" si="34"/>
        <v/>
      </c>
      <c r="F311" s="3" t="str">
        <f t="shared" si="35"/>
        <v>.pdf</v>
      </c>
      <c r="G311">
        <f t="shared" si="36"/>
        <v>43</v>
      </c>
      <c r="H311" s="3">
        <f>LEN(Table1[[#This Row],[Auteur]])</f>
        <v>14</v>
      </c>
      <c r="I311" s="3" t="str">
        <f t="shared" si="37"/>
        <v>Linux User &amp; Developer</v>
      </c>
    </row>
    <row r="312" spans="1:9" x14ac:dyDescent="0.45">
      <c r="A312" t="s">
        <v>736</v>
      </c>
      <c r="B312" t="str">
        <f t="shared" si="31"/>
        <v>?</v>
      </c>
      <c r="C312" t="str">
        <f t="shared" si="32"/>
        <v>?</v>
      </c>
      <c r="D312" t="str">
        <f t="shared" si="33"/>
        <v>Raspberry Pi for Beginners (2nd ed, 2014)</v>
      </c>
      <c r="E312" s="3" t="str">
        <f t="shared" si="34"/>
        <v/>
      </c>
      <c r="F312" s="3" t="str">
        <f t="shared" si="35"/>
        <v>.pdf</v>
      </c>
      <c r="G312">
        <f t="shared" si="36"/>
        <v>70</v>
      </c>
      <c r="H312" s="3">
        <f>LEN(Table1[[#This Row],[Auteur]])</f>
        <v>41</v>
      </c>
      <c r="I312" s="3" t="str">
        <f t="shared" si="37"/>
        <v>Linux User &amp; Developer</v>
      </c>
    </row>
    <row r="313" spans="1:9" x14ac:dyDescent="0.45">
      <c r="A313" t="s">
        <v>737</v>
      </c>
      <c r="B313" t="str">
        <f t="shared" si="31"/>
        <v>?</v>
      </c>
      <c r="C313" t="str">
        <f t="shared" si="32"/>
        <v>?</v>
      </c>
      <c r="D313" t="str">
        <f t="shared" si="33"/>
        <v>Raspberry Pi for Beginners (6th ed, 2016)</v>
      </c>
      <c r="E313" s="3" t="str">
        <f t="shared" si="34"/>
        <v/>
      </c>
      <c r="F313" t="str">
        <f t="shared" si="35"/>
        <v>.pdf</v>
      </c>
      <c r="G313">
        <f t="shared" si="36"/>
        <v>70</v>
      </c>
      <c r="H313" s="3">
        <f>LEN(Table1[[#This Row],[Auteur]])</f>
        <v>41</v>
      </c>
      <c r="I313" s="3" t="str">
        <f t="shared" si="37"/>
        <v>Linux User &amp; Developer</v>
      </c>
    </row>
    <row r="314" spans="1:9" x14ac:dyDescent="0.45">
      <c r="A314" t="s">
        <v>738</v>
      </c>
      <c r="B314" t="str">
        <f t="shared" si="31"/>
        <v>?</v>
      </c>
      <c r="C314" t="str">
        <f t="shared" si="32"/>
        <v>?</v>
      </c>
      <c r="D314" t="str">
        <f t="shared" si="33"/>
        <v>Raspberry Pi Tips Tricks Hacks Vol 1 (2nd ed, 2015)</v>
      </c>
      <c r="E314" s="3" t="str">
        <f t="shared" si="34"/>
        <v/>
      </c>
      <c r="F314" t="str">
        <f t="shared" si="35"/>
        <v>.pdf</v>
      </c>
      <c r="G314">
        <f t="shared" si="36"/>
        <v>80</v>
      </c>
      <c r="H314" s="3">
        <f>LEN(Table1[[#This Row],[Auteur]])</f>
        <v>51</v>
      </c>
      <c r="I314" s="3" t="str">
        <f t="shared" si="37"/>
        <v>Linux User &amp; Developer</v>
      </c>
    </row>
    <row r="315" spans="1:9" x14ac:dyDescent="0.45">
      <c r="A315" t="s">
        <v>739</v>
      </c>
      <c r="B315" t="str">
        <f t="shared" si="31"/>
        <v>?</v>
      </c>
      <c r="C315" t="str">
        <f t="shared" si="32"/>
        <v>?</v>
      </c>
      <c r="D315" t="str">
        <f t="shared" si="33"/>
        <v>Raspberry Pi, The Complete Manual (5th ed, 2015)</v>
      </c>
      <c r="E315" s="3" t="str">
        <f t="shared" si="34"/>
        <v/>
      </c>
      <c r="F315" t="str">
        <f t="shared" si="35"/>
        <v>.pdf</v>
      </c>
      <c r="G315">
        <f t="shared" si="36"/>
        <v>77</v>
      </c>
      <c r="H315" s="3">
        <f>LEN(Table1[[#This Row],[Auteur]])</f>
        <v>48</v>
      </c>
      <c r="I315" s="3" t="str">
        <f t="shared" si="37"/>
        <v>Linux User &amp; Developer</v>
      </c>
    </row>
    <row r="316" spans="1:9" x14ac:dyDescent="0.45">
      <c r="A316" t="s">
        <v>740</v>
      </c>
      <c r="B316" t="str">
        <f t="shared" si="31"/>
        <v>?</v>
      </c>
      <c r="C316" t="str">
        <f t="shared" si="32"/>
        <v>?</v>
      </c>
      <c r="D316" t="str">
        <f t="shared" si="33"/>
        <v>Raspberry Pi, The Complete Manual (6th ed, 2016)</v>
      </c>
      <c r="E316" s="3" t="str">
        <f t="shared" si="34"/>
        <v/>
      </c>
      <c r="F316" t="str">
        <f t="shared" si="35"/>
        <v>.pdf</v>
      </c>
      <c r="G316">
        <f t="shared" si="36"/>
        <v>77</v>
      </c>
      <c r="H316" s="3">
        <f>LEN(Table1[[#This Row],[Auteur]])</f>
        <v>48</v>
      </c>
      <c r="I316" s="3" t="str">
        <f t="shared" si="37"/>
        <v>Linux User &amp; Developer</v>
      </c>
    </row>
    <row r="317" spans="1:9" x14ac:dyDescent="0.45">
      <c r="A317" t="s">
        <v>741</v>
      </c>
      <c r="B317" t="str">
        <f t="shared" si="31"/>
        <v>?</v>
      </c>
      <c r="C317" t="str">
        <f t="shared" si="32"/>
        <v>?</v>
      </c>
      <c r="D317" t="str">
        <f t="shared" si="33"/>
        <v>Go Wireless! 25 Maker Projects for Raspberry Pi</v>
      </c>
      <c r="E317" s="3" t="str">
        <f t="shared" si="34"/>
        <v/>
      </c>
      <c r="F317" t="str">
        <f t="shared" si="35"/>
        <v>.pdf</v>
      </c>
      <c r="G317">
        <f t="shared" si="36"/>
        <v>82</v>
      </c>
      <c r="H317" s="3">
        <f>LEN(Table1[[#This Row],[Auteur]])</f>
        <v>47</v>
      </c>
      <c r="I317" s="3" t="str">
        <f t="shared" si="37"/>
        <v>Linux User &amp; Developer n°164</v>
      </c>
    </row>
    <row r="318" spans="1:9" x14ac:dyDescent="0.45">
      <c r="A318" t="s">
        <v>742</v>
      </c>
      <c r="B318" t="str">
        <f t="shared" si="31"/>
        <v>?</v>
      </c>
      <c r="C318" t="str">
        <f t="shared" si="32"/>
        <v>?</v>
      </c>
      <c r="D318" t="str">
        <f t="shared" si="33"/>
        <v>$$$ Seg 1 sans [</v>
      </c>
      <c r="E318" s="3" t="str">
        <f t="shared" si="34"/>
        <v/>
      </c>
      <c r="F318" t="str">
        <f t="shared" si="35"/>
        <v>.pdf</v>
      </c>
      <c r="G318">
        <f t="shared" si="36"/>
        <v>44</v>
      </c>
      <c r="H318" s="3">
        <f>LEN(Table1[[#This Row],[Auteur]])</f>
        <v>16</v>
      </c>
      <c r="I318" s="3" t="str">
        <f t="shared" si="37"/>
        <v>Micro Mart</v>
      </c>
    </row>
    <row r="319" spans="1:9" x14ac:dyDescent="0.45">
      <c r="A319" t="s">
        <v>743</v>
      </c>
      <c r="B319" t="str">
        <f t="shared" si="31"/>
        <v>?</v>
      </c>
      <c r="C319" t="str">
        <f t="shared" si="32"/>
        <v>?</v>
      </c>
      <c r="D319" t="str">
        <f t="shared" si="33"/>
        <v>$$$ Seg 1 sans [</v>
      </c>
      <c r="E319" s="3" t="str">
        <f t="shared" si="34"/>
        <v/>
      </c>
      <c r="F319" s="3" t="str">
        <f t="shared" si="35"/>
        <v>.pdf</v>
      </c>
      <c r="G319" s="3">
        <f t="shared" si="36"/>
        <v>67</v>
      </c>
      <c r="H319" s="3">
        <f>LEN(Table1[[#This Row],[Auteur]])</f>
        <v>16</v>
      </c>
      <c r="I319" s="3" t="str">
        <f t="shared" si="37"/>
        <v>Pc Pro</v>
      </c>
    </row>
    <row r="320" spans="1:9" x14ac:dyDescent="0.45">
      <c r="A320" t="s">
        <v>744</v>
      </c>
      <c r="B320" t="str">
        <f t="shared" si="31"/>
        <v>?</v>
      </c>
      <c r="C320" t="str">
        <f t="shared" si="32"/>
        <v>?</v>
      </c>
      <c r="D320" t="str">
        <f t="shared" si="33"/>
        <v>Announcing the Raspberry 2</v>
      </c>
      <c r="E320" s="3" t="str">
        <f t="shared" si="34"/>
        <v/>
      </c>
      <c r="F320" s="3" t="str">
        <f t="shared" si="35"/>
        <v>.pdf</v>
      </c>
      <c r="G320" s="3">
        <f t="shared" si="36"/>
        <v>47</v>
      </c>
      <c r="H320" s="3">
        <f>LEN(Table1[[#This Row],[Auteur]])</f>
        <v>26</v>
      </c>
      <c r="I320" s="3" t="str">
        <f t="shared" si="37"/>
        <v>RasPi Magazine</v>
      </c>
    </row>
    <row r="321" spans="1:9" x14ac:dyDescent="0.45">
      <c r="A321" t="s">
        <v>745</v>
      </c>
      <c r="B321" t="str">
        <f t="shared" si="31"/>
        <v>?</v>
      </c>
      <c r="C321" t="str">
        <f t="shared" si="32"/>
        <v>?</v>
      </c>
      <c r="D321" t="str">
        <f t="shared" si="33"/>
        <v>2015-07</v>
      </c>
      <c r="E321" s="3" t="str">
        <f t="shared" si="34"/>
        <v/>
      </c>
      <c r="F321" t="str">
        <f t="shared" si="35"/>
        <v>.pdf</v>
      </c>
      <c r="G321">
        <f t="shared" si="36"/>
        <v>23</v>
      </c>
      <c r="H321" s="3">
        <f>LEN(Table1[[#This Row],[Auteur]])</f>
        <v>7</v>
      </c>
      <c r="I321" s="3" t="str">
        <f t="shared" si="37"/>
        <v>RasPi n°1</v>
      </c>
    </row>
    <row r="322" spans="1:9" x14ac:dyDescent="0.45">
      <c r="A322" t="s">
        <v>746</v>
      </c>
      <c r="B322" t="str">
        <f t="shared" ref="B322:B385" si="38">DatePub(A322)</f>
        <v>?</v>
      </c>
      <c r="C322" t="str">
        <f t="shared" ref="C322:C385" si="39">Editeur(A322)</f>
        <v>?</v>
      </c>
      <c r="D322" t="str">
        <f t="shared" ref="D322:D385" si="40">Auteur(A322)</f>
        <v>$$$ Seg 1 sans [</v>
      </c>
      <c r="E322" s="3" t="str">
        <f t="shared" ref="E322:E385" si="41">ExtraInfo(A322)</f>
        <v/>
      </c>
      <c r="F322" t="str">
        <f t="shared" ref="F322:F385" si="42">Extension(A322)</f>
        <v>.pdf</v>
      </c>
      <c r="G322">
        <f t="shared" ref="G322:G385" si="43">LenFileName(A322)</f>
        <v>58</v>
      </c>
      <c r="H322" s="3">
        <f>LEN(Table1[[#This Row],[Auteur]])</f>
        <v>16</v>
      </c>
      <c r="I322" s="3" t="str">
        <f t="shared" ref="I322:I385" si="44">Title(A322)</f>
        <v>Wired</v>
      </c>
    </row>
    <row r="323" spans="1:9" x14ac:dyDescent="0.45">
      <c r="A323" t="s">
        <v>748</v>
      </c>
      <c r="B323" t="str">
        <f t="shared" si="38"/>
        <v>?</v>
      </c>
      <c r="C323" t="str">
        <f t="shared" si="39"/>
        <v>?</v>
      </c>
      <c r="D323" t="str">
        <f t="shared" si="40"/>
        <v>?</v>
      </c>
      <c r="E323" s="3" t="str">
        <f t="shared" si="41"/>
        <v/>
      </c>
      <c r="F323" s="3" t="str">
        <f t="shared" si="42"/>
        <v>.pdf</v>
      </c>
      <c r="G323">
        <f t="shared" si="43"/>
        <v>32</v>
      </c>
      <c r="H323" s="3">
        <f>LEN(Table1[[#This Row],[Auteur]])</f>
        <v>1</v>
      </c>
      <c r="I323" s="3" t="str">
        <f t="shared" si="44"/>
        <v>MagPi Education Edition n°02</v>
      </c>
    </row>
    <row r="324" spans="1:9" x14ac:dyDescent="0.45">
      <c r="A324" t="s">
        <v>749</v>
      </c>
      <c r="B324" t="str">
        <f t="shared" si="38"/>
        <v>?</v>
      </c>
      <c r="C324" t="str">
        <f t="shared" si="39"/>
        <v>?</v>
      </c>
      <c r="D324" t="str">
        <f t="shared" si="40"/>
        <v>Learn to code with Scratch</v>
      </c>
      <c r="E324" s="3" t="str">
        <f t="shared" si="41"/>
        <v/>
      </c>
      <c r="F324" t="str">
        <f t="shared" si="42"/>
        <v>.pdf</v>
      </c>
      <c r="G324">
        <f t="shared" si="43"/>
        <v>53</v>
      </c>
      <c r="H324" s="3">
        <f>LEN(Table1[[#This Row],[Auteur]])</f>
        <v>26</v>
      </c>
      <c r="I324" s="3" t="str">
        <f t="shared" si="44"/>
        <v>The MagPi Essentials</v>
      </c>
    </row>
    <row r="325" spans="1:9" x14ac:dyDescent="0.45">
      <c r="A325" t="s">
        <v>750</v>
      </c>
      <c r="B325" t="str">
        <f t="shared" si="38"/>
        <v>?</v>
      </c>
      <c r="C325" t="str">
        <f t="shared" si="39"/>
        <v>?</v>
      </c>
      <c r="D325" t="str">
        <f t="shared" si="40"/>
        <v>Learning to code with C</v>
      </c>
      <c r="E325" s="3" t="str">
        <f t="shared" si="41"/>
        <v/>
      </c>
      <c r="F325" s="3" t="str">
        <f t="shared" si="42"/>
        <v>.pdf</v>
      </c>
      <c r="G325" s="3">
        <f t="shared" si="43"/>
        <v>50</v>
      </c>
      <c r="H325" s="3">
        <f>LEN(Table1[[#This Row],[Auteur]])</f>
        <v>23</v>
      </c>
      <c r="I325" s="3" t="str">
        <f t="shared" si="44"/>
        <v>The MagPi Essentials</v>
      </c>
    </row>
    <row r="326" spans="1:9" x14ac:dyDescent="0.45">
      <c r="A326" t="s">
        <v>751</v>
      </c>
      <c r="B326" t="str">
        <f t="shared" si="38"/>
        <v>?</v>
      </c>
      <c r="C326" t="str">
        <f t="shared" si="39"/>
        <v>?</v>
      </c>
      <c r="D326" t="str">
        <f t="shared" si="40"/>
        <v>Minecraft</v>
      </c>
      <c r="E326" s="3" t="str">
        <f t="shared" si="41"/>
        <v/>
      </c>
      <c r="F326" t="str">
        <f t="shared" si="42"/>
        <v>.pdf</v>
      </c>
      <c r="G326">
        <f t="shared" si="43"/>
        <v>36</v>
      </c>
      <c r="H326" s="3">
        <f>LEN(Table1[[#This Row],[Auteur]])</f>
        <v>9</v>
      </c>
      <c r="I326" s="3" t="str">
        <f t="shared" si="44"/>
        <v>The MagPi Essentials</v>
      </c>
    </row>
    <row r="327" spans="1:9" x14ac:dyDescent="0.45">
      <c r="A327" t="s">
        <v>752</v>
      </c>
      <c r="B327" t="str">
        <f t="shared" si="38"/>
        <v>?</v>
      </c>
      <c r="C327" t="str">
        <f t="shared" si="39"/>
        <v>?</v>
      </c>
      <c r="D327" t="str">
        <f t="shared" si="40"/>
        <v>Python Games</v>
      </c>
      <c r="E327" s="3" t="str">
        <f t="shared" si="41"/>
        <v/>
      </c>
      <c r="F327" t="str">
        <f t="shared" si="42"/>
        <v>.pdf</v>
      </c>
      <c r="G327">
        <f t="shared" si="43"/>
        <v>39</v>
      </c>
      <c r="H327" s="3">
        <f>LEN(Table1[[#This Row],[Auteur]])</f>
        <v>12</v>
      </c>
      <c r="I327" s="3" t="str">
        <f t="shared" si="44"/>
        <v>The MagPi Essentials</v>
      </c>
    </row>
    <row r="328" spans="1:9" x14ac:dyDescent="0.45">
      <c r="A328" t="s">
        <v>753</v>
      </c>
      <c r="B328" t="str">
        <f t="shared" si="38"/>
        <v>?</v>
      </c>
      <c r="C328" t="str">
        <f t="shared" si="39"/>
        <v>?</v>
      </c>
      <c r="D328" t="str">
        <f t="shared" si="40"/>
        <v>Sense Hat</v>
      </c>
      <c r="E328" s="3" t="str">
        <f t="shared" si="41"/>
        <v/>
      </c>
      <c r="F328" s="3" t="str">
        <f t="shared" si="42"/>
        <v>.pdf</v>
      </c>
      <c r="G328">
        <f t="shared" si="43"/>
        <v>36</v>
      </c>
      <c r="H328" s="3">
        <f>LEN(Table1[[#This Row],[Auteur]])</f>
        <v>9</v>
      </c>
      <c r="I328" s="3" t="str">
        <f t="shared" si="44"/>
        <v>The MagPi Essentials</v>
      </c>
    </row>
    <row r="329" spans="1:9" x14ac:dyDescent="0.45">
      <c r="A329" t="s">
        <v>754</v>
      </c>
      <c r="B329" t="str">
        <f t="shared" si="38"/>
        <v>?</v>
      </c>
      <c r="C329" t="str">
        <f t="shared" si="39"/>
        <v>?</v>
      </c>
      <c r="D329" t="str">
        <f t="shared" si="40"/>
        <v>Simple Electronics with Gpio Zero</v>
      </c>
      <c r="E329" s="3" t="str">
        <f t="shared" si="41"/>
        <v/>
      </c>
      <c r="F329" t="str">
        <f t="shared" si="42"/>
        <v>.pdf</v>
      </c>
      <c r="G329">
        <f t="shared" si="43"/>
        <v>60</v>
      </c>
      <c r="H329" s="3">
        <f>LEN(Table1[[#This Row],[Auteur]])</f>
        <v>33</v>
      </c>
      <c r="I329" s="3" t="str">
        <f t="shared" si="44"/>
        <v>The MagPi Essentials</v>
      </c>
    </row>
    <row r="330" spans="1:9" x14ac:dyDescent="0.45">
      <c r="A330" t="s">
        <v>755</v>
      </c>
      <c r="B330" t="str">
        <f t="shared" si="38"/>
        <v>?</v>
      </c>
      <c r="C330" t="str">
        <f t="shared" si="39"/>
        <v>?</v>
      </c>
      <c r="D330" t="str">
        <f t="shared" si="40"/>
        <v>Terminal Guide</v>
      </c>
      <c r="E330" s="3" t="str">
        <f t="shared" si="41"/>
        <v/>
      </c>
      <c r="F330" t="str">
        <f t="shared" si="42"/>
        <v>.pdf</v>
      </c>
      <c r="G330">
        <f t="shared" si="43"/>
        <v>41</v>
      </c>
      <c r="H330" s="3">
        <f>LEN(Table1[[#This Row],[Auteur]])</f>
        <v>14</v>
      </c>
      <c r="I330" s="3" t="str">
        <f t="shared" si="44"/>
        <v>The MagPi Essentials</v>
      </c>
    </row>
    <row r="331" spans="1:9" x14ac:dyDescent="0.45">
      <c r="A331" t="s">
        <v>756</v>
      </c>
      <c r="B331" t="str">
        <f t="shared" si="38"/>
        <v>?</v>
      </c>
      <c r="C331" t="str">
        <f t="shared" si="39"/>
        <v>?</v>
      </c>
      <c r="D331" t="str">
        <f t="shared" si="40"/>
        <v>?</v>
      </c>
      <c r="E331" s="3" t="str">
        <f t="shared" si="41"/>
        <v/>
      </c>
      <c r="F331" t="str">
        <f t="shared" si="42"/>
        <v>.pdf</v>
      </c>
      <c r="G331">
        <f t="shared" si="43"/>
        <v>18</v>
      </c>
      <c r="H331" s="3">
        <f>LEN(Table1[[#This Row],[Auteur]])</f>
        <v>1</v>
      </c>
      <c r="I331" s="3" t="str">
        <f t="shared" si="44"/>
        <v>The MagPi n°01</v>
      </c>
    </row>
    <row r="332" spans="1:9" x14ac:dyDescent="0.45">
      <c r="A332" t="s">
        <v>757</v>
      </c>
      <c r="B332" t="str">
        <f t="shared" si="38"/>
        <v>?</v>
      </c>
      <c r="C332" t="str">
        <f t="shared" si="39"/>
        <v>?</v>
      </c>
      <c r="D332" t="str">
        <f t="shared" si="40"/>
        <v>?</v>
      </c>
      <c r="E332" s="3" t="str">
        <f t="shared" si="41"/>
        <v/>
      </c>
      <c r="F332" t="str">
        <f t="shared" si="42"/>
        <v>.pdf</v>
      </c>
      <c r="G332">
        <f t="shared" si="43"/>
        <v>18</v>
      </c>
      <c r="H332" s="3">
        <f>LEN(Table1[[#This Row],[Auteur]])</f>
        <v>1</v>
      </c>
      <c r="I332" s="3" t="str">
        <f t="shared" si="44"/>
        <v>The MagPi n°02</v>
      </c>
    </row>
    <row r="333" spans="1:9" x14ac:dyDescent="0.45">
      <c r="A333" t="s">
        <v>758</v>
      </c>
      <c r="B333" t="str">
        <f t="shared" si="38"/>
        <v>?</v>
      </c>
      <c r="C333" t="str">
        <f t="shared" si="39"/>
        <v>?</v>
      </c>
      <c r="D333" t="str">
        <f t="shared" si="40"/>
        <v>?</v>
      </c>
      <c r="E333" s="3" t="str">
        <f t="shared" si="41"/>
        <v/>
      </c>
      <c r="F333" t="str">
        <f t="shared" si="42"/>
        <v>.pdf</v>
      </c>
      <c r="G333">
        <f t="shared" si="43"/>
        <v>18</v>
      </c>
      <c r="H333" s="3">
        <f>LEN(Table1[[#This Row],[Auteur]])</f>
        <v>1</v>
      </c>
      <c r="I333" s="3" t="str">
        <f t="shared" si="44"/>
        <v>The MagPi n°03</v>
      </c>
    </row>
    <row r="334" spans="1:9" x14ac:dyDescent="0.45">
      <c r="A334" t="s">
        <v>759</v>
      </c>
      <c r="B334" t="str">
        <f t="shared" si="38"/>
        <v>?</v>
      </c>
      <c r="C334" t="str">
        <f t="shared" si="39"/>
        <v>?</v>
      </c>
      <c r="D334" t="str">
        <f t="shared" si="40"/>
        <v>?</v>
      </c>
      <c r="E334" s="3" t="str">
        <f t="shared" si="41"/>
        <v/>
      </c>
      <c r="F334" s="3" t="str">
        <f t="shared" si="42"/>
        <v>.pdf</v>
      </c>
      <c r="G334">
        <f t="shared" si="43"/>
        <v>18</v>
      </c>
      <c r="H334" s="3">
        <f>LEN(Table1[[#This Row],[Auteur]])</f>
        <v>1</v>
      </c>
      <c r="I334" s="3" t="str">
        <f t="shared" si="44"/>
        <v>The MagPi n°04</v>
      </c>
    </row>
    <row r="335" spans="1:9" x14ac:dyDescent="0.45">
      <c r="A335" t="s">
        <v>760</v>
      </c>
      <c r="B335" t="str">
        <f t="shared" si="38"/>
        <v>?</v>
      </c>
      <c r="C335" t="str">
        <f t="shared" si="39"/>
        <v>?</v>
      </c>
      <c r="D335" t="str">
        <f t="shared" si="40"/>
        <v>?</v>
      </c>
      <c r="E335" s="3" t="str">
        <f t="shared" si="41"/>
        <v/>
      </c>
      <c r="F335" s="3" t="str">
        <f t="shared" si="42"/>
        <v>.pdf</v>
      </c>
      <c r="G335">
        <f t="shared" si="43"/>
        <v>18</v>
      </c>
      <c r="H335" s="3">
        <f>LEN(Table1[[#This Row],[Auteur]])</f>
        <v>1</v>
      </c>
      <c r="I335" s="3" t="str">
        <f t="shared" si="44"/>
        <v>The MagPi n°05</v>
      </c>
    </row>
    <row r="336" spans="1:9" x14ac:dyDescent="0.45">
      <c r="A336" t="s">
        <v>761</v>
      </c>
      <c r="B336" t="str">
        <f t="shared" si="38"/>
        <v>?</v>
      </c>
      <c r="C336" t="str">
        <f t="shared" si="39"/>
        <v>?</v>
      </c>
      <c r="D336" t="str">
        <f t="shared" si="40"/>
        <v>?</v>
      </c>
      <c r="E336" s="3" t="str">
        <f t="shared" si="41"/>
        <v/>
      </c>
      <c r="F336" t="str">
        <f t="shared" si="42"/>
        <v>.pdf</v>
      </c>
      <c r="G336">
        <f t="shared" si="43"/>
        <v>18</v>
      </c>
      <c r="H336" s="3">
        <f>LEN(Table1[[#This Row],[Auteur]])</f>
        <v>1</v>
      </c>
      <c r="I336" s="3" t="str">
        <f t="shared" si="44"/>
        <v>The MagPi n°06</v>
      </c>
    </row>
    <row r="337" spans="1:9" x14ac:dyDescent="0.45">
      <c r="A337" t="s">
        <v>762</v>
      </c>
      <c r="B337" t="str">
        <f t="shared" si="38"/>
        <v>?</v>
      </c>
      <c r="C337" t="str">
        <f t="shared" si="39"/>
        <v>?</v>
      </c>
      <c r="D337" t="str">
        <f t="shared" si="40"/>
        <v>?</v>
      </c>
      <c r="E337" s="3" t="str">
        <f t="shared" si="41"/>
        <v/>
      </c>
      <c r="F337" s="3" t="str">
        <f t="shared" si="42"/>
        <v>.pdf</v>
      </c>
      <c r="G337">
        <f t="shared" si="43"/>
        <v>18</v>
      </c>
      <c r="H337" s="3">
        <f>LEN(Table1[[#This Row],[Auteur]])</f>
        <v>1</v>
      </c>
      <c r="I337" s="3" t="str">
        <f t="shared" si="44"/>
        <v>The MagPi n°07</v>
      </c>
    </row>
    <row r="338" spans="1:9" x14ac:dyDescent="0.45">
      <c r="A338" t="s">
        <v>763</v>
      </c>
      <c r="B338" t="str">
        <f t="shared" si="38"/>
        <v>?</v>
      </c>
      <c r="C338" t="str">
        <f t="shared" si="39"/>
        <v>?</v>
      </c>
      <c r="D338" t="str">
        <f t="shared" si="40"/>
        <v>?</v>
      </c>
      <c r="E338" s="3" t="str">
        <f t="shared" si="41"/>
        <v/>
      </c>
      <c r="F338" t="str">
        <f t="shared" si="42"/>
        <v>.pdf</v>
      </c>
      <c r="G338">
        <f t="shared" si="43"/>
        <v>18</v>
      </c>
      <c r="H338" s="3">
        <f>LEN(Table1[[#This Row],[Auteur]])</f>
        <v>1</v>
      </c>
      <c r="I338" s="3" t="str">
        <f t="shared" si="44"/>
        <v>The MagPi n°08</v>
      </c>
    </row>
    <row r="339" spans="1:9" x14ac:dyDescent="0.45">
      <c r="A339" t="s">
        <v>764</v>
      </c>
      <c r="B339" t="str">
        <f t="shared" si="38"/>
        <v>?</v>
      </c>
      <c r="C339" t="str">
        <f t="shared" si="39"/>
        <v>?</v>
      </c>
      <c r="D339" t="str">
        <f t="shared" si="40"/>
        <v>?</v>
      </c>
      <c r="E339" s="3" t="str">
        <f t="shared" si="41"/>
        <v/>
      </c>
      <c r="F339" t="str">
        <f t="shared" si="42"/>
        <v>.pdf</v>
      </c>
      <c r="G339">
        <f t="shared" si="43"/>
        <v>18</v>
      </c>
      <c r="H339" s="3">
        <f>LEN(Table1[[#This Row],[Auteur]])</f>
        <v>1</v>
      </c>
      <c r="I339" s="3" t="str">
        <f t="shared" si="44"/>
        <v>The MagPi n°09</v>
      </c>
    </row>
    <row r="340" spans="1:9" x14ac:dyDescent="0.45">
      <c r="A340" t="s">
        <v>765</v>
      </c>
      <c r="B340" t="str">
        <f t="shared" si="38"/>
        <v>?</v>
      </c>
      <c r="C340" t="str">
        <f t="shared" si="39"/>
        <v>?</v>
      </c>
      <c r="D340" t="str">
        <f t="shared" si="40"/>
        <v>?</v>
      </c>
      <c r="E340" s="3" t="str">
        <f t="shared" si="41"/>
        <v/>
      </c>
      <c r="F340" t="str">
        <f t="shared" si="42"/>
        <v>.pdf</v>
      </c>
      <c r="G340">
        <f t="shared" si="43"/>
        <v>18</v>
      </c>
      <c r="H340" s="3">
        <f>LEN(Table1[[#This Row],[Auteur]])</f>
        <v>1</v>
      </c>
      <c r="I340" s="3" t="str">
        <f t="shared" si="44"/>
        <v>The MagPi n°10</v>
      </c>
    </row>
    <row r="341" spans="1:9" x14ac:dyDescent="0.45">
      <c r="A341" t="s">
        <v>766</v>
      </c>
      <c r="B341" t="str">
        <f t="shared" si="38"/>
        <v>?</v>
      </c>
      <c r="C341" t="str">
        <f t="shared" si="39"/>
        <v>?</v>
      </c>
      <c r="D341" t="str">
        <f t="shared" si="40"/>
        <v>?</v>
      </c>
      <c r="E341" s="3" t="str">
        <f t="shared" si="41"/>
        <v/>
      </c>
      <c r="F341" t="str">
        <f t="shared" si="42"/>
        <v>.pdf</v>
      </c>
      <c r="G341">
        <f t="shared" si="43"/>
        <v>18</v>
      </c>
      <c r="H341" s="3">
        <f>LEN(Table1[[#This Row],[Auteur]])</f>
        <v>1</v>
      </c>
      <c r="I341" s="3" t="str">
        <f t="shared" si="44"/>
        <v>The MagPi n°11</v>
      </c>
    </row>
    <row r="342" spans="1:9" x14ac:dyDescent="0.45">
      <c r="A342" t="s">
        <v>767</v>
      </c>
      <c r="B342" t="str">
        <f t="shared" si="38"/>
        <v>?</v>
      </c>
      <c r="C342" t="str">
        <f t="shared" si="39"/>
        <v>?</v>
      </c>
      <c r="D342" t="str">
        <f t="shared" si="40"/>
        <v>?</v>
      </c>
      <c r="E342" s="3" t="str">
        <f t="shared" si="41"/>
        <v/>
      </c>
      <c r="F342" t="str">
        <f t="shared" si="42"/>
        <v>.pdf</v>
      </c>
      <c r="G342">
        <f t="shared" si="43"/>
        <v>18</v>
      </c>
      <c r="H342" s="3">
        <f>LEN(Table1[[#This Row],[Auteur]])</f>
        <v>1</v>
      </c>
      <c r="I342" s="3" t="str">
        <f t="shared" si="44"/>
        <v>The MagPi n°12</v>
      </c>
    </row>
    <row r="343" spans="1:9" x14ac:dyDescent="0.45">
      <c r="A343" t="s">
        <v>768</v>
      </c>
      <c r="B343" t="str">
        <f t="shared" si="38"/>
        <v>?</v>
      </c>
      <c r="C343" t="str">
        <f t="shared" si="39"/>
        <v>?</v>
      </c>
      <c r="D343" t="str">
        <f t="shared" si="40"/>
        <v>?</v>
      </c>
      <c r="E343" s="3" t="str">
        <f t="shared" si="41"/>
        <v/>
      </c>
      <c r="F343" t="str">
        <f t="shared" si="42"/>
        <v>.pdf</v>
      </c>
      <c r="G343">
        <f t="shared" si="43"/>
        <v>18</v>
      </c>
      <c r="H343" s="3">
        <f>LEN(Table1[[#This Row],[Auteur]])</f>
        <v>1</v>
      </c>
      <c r="I343" s="3" t="str">
        <f t="shared" si="44"/>
        <v>The MagPi n°13</v>
      </c>
    </row>
    <row r="344" spans="1:9" x14ac:dyDescent="0.45">
      <c r="A344" t="s">
        <v>769</v>
      </c>
      <c r="B344" t="str">
        <f t="shared" si="38"/>
        <v>?</v>
      </c>
      <c r="C344" t="str">
        <f t="shared" si="39"/>
        <v>?</v>
      </c>
      <c r="D344" t="str">
        <f t="shared" si="40"/>
        <v>?</v>
      </c>
      <c r="E344" s="3" t="str">
        <f t="shared" si="41"/>
        <v/>
      </c>
      <c r="F344" s="3" t="str">
        <f t="shared" si="42"/>
        <v>.pdf</v>
      </c>
      <c r="G344" s="3">
        <f t="shared" si="43"/>
        <v>18</v>
      </c>
      <c r="H344" s="3">
        <f>LEN(Table1[[#This Row],[Auteur]])</f>
        <v>1</v>
      </c>
      <c r="I344" s="3" t="str">
        <f t="shared" si="44"/>
        <v>The MagPi n°14</v>
      </c>
    </row>
    <row r="345" spans="1:9" x14ac:dyDescent="0.45">
      <c r="A345" t="s">
        <v>770</v>
      </c>
      <c r="B345" t="str">
        <f t="shared" si="38"/>
        <v>?</v>
      </c>
      <c r="C345" t="str">
        <f t="shared" si="39"/>
        <v>?</v>
      </c>
      <c r="D345" t="str">
        <f t="shared" si="40"/>
        <v>?</v>
      </c>
      <c r="E345" s="3" t="str">
        <f t="shared" si="41"/>
        <v/>
      </c>
      <c r="F345" t="str">
        <f t="shared" si="42"/>
        <v>.pdf</v>
      </c>
      <c r="G345">
        <f t="shared" si="43"/>
        <v>18</v>
      </c>
      <c r="H345" s="3">
        <f>LEN(Table1[[#This Row],[Auteur]])</f>
        <v>1</v>
      </c>
      <c r="I345" s="3" t="str">
        <f t="shared" si="44"/>
        <v>The MagPi n°15</v>
      </c>
    </row>
    <row r="346" spans="1:9" x14ac:dyDescent="0.45">
      <c r="A346" t="s">
        <v>771</v>
      </c>
      <c r="B346" t="str">
        <f t="shared" si="38"/>
        <v>?</v>
      </c>
      <c r="C346" t="str">
        <f t="shared" si="39"/>
        <v>?</v>
      </c>
      <c r="D346" t="str">
        <f t="shared" si="40"/>
        <v>?</v>
      </c>
      <c r="E346" s="3" t="str">
        <f t="shared" si="41"/>
        <v/>
      </c>
      <c r="F346" s="3" t="str">
        <f t="shared" si="42"/>
        <v>.pdf</v>
      </c>
      <c r="G346" s="3">
        <f t="shared" si="43"/>
        <v>18</v>
      </c>
      <c r="H346" s="3">
        <f>LEN(Table1[[#This Row],[Auteur]])</f>
        <v>1</v>
      </c>
      <c r="I346" s="3" t="str">
        <f t="shared" si="44"/>
        <v>The MagPi n°16</v>
      </c>
    </row>
    <row r="347" spans="1:9" x14ac:dyDescent="0.45">
      <c r="A347" t="s">
        <v>772</v>
      </c>
      <c r="B347" t="str">
        <f t="shared" si="38"/>
        <v>?</v>
      </c>
      <c r="C347" t="str">
        <f t="shared" si="39"/>
        <v>?</v>
      </c>
      <c r="D347" t="str">
        <f t="shared" si="40"/>
        <v>?</v>
      </c>
      <c r="E347" s="3" t="str">
        <f t="shared" si="41"/>
        <v/>
      </c>
      <c r="F347" t="str">
        <f t="shared" si="42"/>
        <v>.pdf</v>
      </c>
      <c r="G347">
        <f t="shared" si="43"/>
        <v>18</v>
      </c>
      <c r="H347" s="3">
        <f>LEN(Table1[[#This Row],[Auteur]])</f>
        <v>1</v>
      </c>
      <c r="I347" s="3" t="str">
        <f t="shared" si="44"/>
        <v>The MagPi n°17</v>
      </c>
    </row>
    <row r="348" spans="1:9" x14ac:dyDescent="0.45">
      <c r="A348" t="s">
        <v>773</v>
      </c>
      <c r="B348" t="str">
        <f t="shared" si="38"/>
        <v>?</v>
      </c>
      <c r="C348" t="str">
        <f t="shared" si="39"/>
        <v>?</v>
      </c>
      <c r="D348" t="str">
        <f t="shared" si="40"/>
        <v>?</v>
      </c>
      <c r="E348" s="3" t="str">
        <f t="shared" si="41"/>
        <v/>
      </c>
      <c r="F348" s="3" t="str">
        <f t="shared" si="42"/>
        <v>.pdf</v>
      </c>
      <c r="G348">
        <f t="shared" si="43"/>
        <v>18</v>
      </c>
      <c r="H348" s="3">
        <f>LEN(Table1[[#This Row],[Auteur]])</f>
        <v>1</v>
      </c>
      <c r="I348" s="3" t="str">
        <f t="shared" si="44"/>
        <v>The MagPi n°18</v>
      </c>
    </row>
    <row r="349" spans="1:9" x14ac:dyDescent="0.45">
      <c r="A349" t="s">
        <v>774</v>
      </c>
      <c r="B349" t="str">
        <f t="shared" si="38"/>
        <v>?</v>
      </c>
      <c r="C349" t="str">
        <f t="shared" si="39"/>
        <v>?</v>
      </c>
      <c r="D349" t="str">
        <f t="shared" si="40"/>
        <v>?</v>
      </c>
      <c r="E349" s="3" t="str">
        <f t="shared" si="41"/>
        <v/>
      </c>
      <c r="F349" s="3" t="str">
        <f t="shared" si="42"/>
        <v>.pdf</v>
      </c>
      <c r="G349" s="3">
        <f t="shared" si="43"/>
        <v>18</v>
      </c>
      <c r="H349" s="3">
        <f>LEN(Table1[[#This Row],[Auteur]])</f>
        <v>1</v>
      </c>
      <c r="I349" s="3" t="str">
        <f t="shared" si="44"/>
        <v>The MagPi n°19</v>
      </c>
    </row>
    <row r="350" spans="1:9" x14ac:dyDescent="0.45">
      <c r="A350" t="s">
        <v>775</v>
      </c>
      <c r="B350" t="str">
        <f t="shared" si="38"/>
        <v>?</v>
      </c>
      <c r="C350" t="str">
        <f t="shared" si="39"/>
        <v>?</v>
      </c>
      <c r="D350" t="str">
        <f t="shared" si="40"/>
        <v>?</v>
      </c>
      <c r="E350" s="3" t="str">
        <f t="shared" si="41"/>
        <v/>
      </c>
      <c r="F350" t="str">
        <f t="shared" si="42"/>
        <v>.pdf</v>
      </c>
      <c r="G350">
        <f t="shared" si="43"/>
        <v>18</v>
      </c>
      <c r="H350" s="3">
        <f>LEN(Table1[[#This Row],[Auteur]])</f>
        <v>1</v>
      </c>
      <c r="I350" s="3" t="str">
        <f t="shared" si="44"/>
        <v>The MagPi n°20</v>
      </c>
    </row>
    <row r="351" spans="1:9" x14ac:dyDescent="0.45">
      <c r="A351" t="s">
        <v>776</v>
      </c>
      <c r="B351" t="str">
        <f t="shared" si="38"/>
        <v>?</v>
      </c>
      <c r="C351" t="str">
        <f t="shared" si="39"/>
        <v>?</v>
      </c>
      <c r="D351" t="str">
        <f t="shared" si="40"/>
        <v>?</v>
      </c>
      <c r="E351" s="3" t="str">
        <f t="shared" si="41"/>
        <v/>
      </c>
      <c r="F351" s="3" t="str">
        <f t="shared" si="42"/>
        <v>.pdf</v>
      </c>
      <c r="G351">
        <f t="shared" si="43"/>
        <v>18</v>
      </c>
      <c r="H351" s="3">
        <f>LEN(Table1[[#This Row],[Auteur]])</f>
        <v>1</v>
      </c>
      <c r="I351" s="3" t="str">
        <f t="shared" si="44"/>
        <v>The MagPi n°21</v>
      </c>
    </row>
    <row r="352" spans="1:9" x14ac:dyDescent="0.45">
      <c r="A352" t="s">
        <v>777</v>
      </c>
      <c r="B352" t="str">
        <f t="shared" si="38"/>
        <v>?</v>
      </c>
      <c r="C352" t="str">
        <f t="shared" si="39"/>
        <v>?</v>
      </c>
      <c r="D352" t="str">
        <f t="shared" si="40"/>
        <v>?</v>
      </c>
      <c r="E352" s="3" t="str">
        <f t="shared" si="41"/>
        <v/>
      </c>
      <c r="F352" t="str">
        <f t="shared" si="42"/>
        <v>.pdf</v>
      </c>
      <c r="G352">
        <f t="shared" si="43"/>
        <v>18</v>
      </c>
      <c r="H352" s="3">
        <f>LEN(Table1[[#This Row],[Auteur]])</f>
        <v>1</v>
      </c>
      <c r="I352" s="3" t="str">
        <f t="shared" si="44"/>
        <v>The MagPi n°22</v>
      </c>
    </row>
    <row r="353" spans="1:9" x14ac:dyDescent="0.45">
      <c r="A353" t="s">
        <v>778</v>
      </c>
      <c r="B353" t="str">
        <f t="shared" si="38"/>
        <v>?</v>
      </c>
      <c r="C353" t="str">
        <f t="shared" si="39"/>
        <v>?</v>
      </c>
      <c r="D353" t="str">
        <f t="shared" si="40"/>
        <v>?</v>
      </c>
      <c r="E353" s="3" t="str">
        <f t="shared" si="41"/>
        <v/>
      </c>
      <c r="F353" t="str">
        <f t="shared" si="42"/>
        <v>.pdf</v>
      </c>
      <c r="G353">
        <f t="shared" si="43"/>
        <v>18</v>
      </c>
      <c r="H353" s="3">
        <f>LEN(Table1[[#This Row],[Auteur]])</f>
        <v>1</v>
      </c>
      <c r="I353" s="3" t="str">
        <f t="shared" si="44"/>
        <v>The MagPi n°23</v>
      </c>
    </row>
    <row r="354" spans="1:9" x14ac:dyDescent="0.45">
      <c r="A354" t="s">
        <v>779</v>
      </c>
      <c r="B354" t="str">
        <f t="shared" si="38"/>
        <v>?</v>
      </c>
      <c r="C354" t="str">
        <f t="shared" si="39"/>
        <v>?</v>
      </c>
      <c r="D354" t="str">
        <f t="shared" si="40"/>
        <v>?</v>
      </c>
      <c r="E354" s="3" t="str">
        <f t="shared" si="41"/>
        <v/>
      </c>
      <c r="F354" t="str">
        <f t="shared" si="42"/>
        <v>.pdf</v>
      </c>
      <c r="G354">
        <f t="shared" si="43"/>
        <v>18</v>
      </c>
      <c r="H354" s="3">
        <f>LEN(Table1[[#This Row],[Auteur]])</f>
        <v>1</v>
      </c>
      <c r="I354" s="3" t="str">
        <f t="shared" si="44"/>
        <v>The MagPi n°24</v>
      </c>
    </row>
    <row r="355" spans="1:9" x14ac:dyDescent="0.45">
      <c r="A355" t="s">
        <v>780</v>
      </c>
      <c r="B355" t="str">
        <f t="shared" si="38"/>
        <v>?</v>
      </c>
      <c r="C355" t="str">
        <f t="shared" si="39"/>
        <v>?</v>
      </c>
      <c r="D355" t="str">
        <f t="shared" si="40"/>
        <v>?</v>
      </c>
      <c r="E355" s="3" t="str">
        <f t="shared" si="41"/>
        <v/>
      </c>
      <c r="F355" t="str">
        <f t="shared" si="42"/>
        <v>.pdf</v>
      </c>
      <c r="G355">
        <f t="shared" si="43"/>
        <v>18</v>
      </c>
      <c r="H355" s="3">
        <f>LEN(Table1[[#This Row],[Auteur]])</f>
        <v>1</v>
      </c>
      <c r="I355" s="3" t="str">
        <f t="shared" si="44"/>
        <v>The MagPi n°25</v>
      </c>
    </row>
    <row r="356" spans="1:9" x14ac:dyDescent="0.45">
      <c r="A356" t="s">
        <v>781</v>
      </c>
      <c r="B356" t="str">
        <f t="shared" si="38"/>
        <v>?</v>
      </c>
      <c r="C356" t="str">
        <f t="shared" si="39"/>
        <v>?</v>
      </c>
      <c r="D356" t="str">
        <f t="shared" si="40"/>
        <v>?</v>
      </c>
      <c r="E356" s="3" t="str">
        <f t="shared" si="41"/>
        <v/>
      </c>
      <c r="F356" t="str">
        <f t="shared" si="42"/>
        <v>.pdf</v>
      </c>
      <c r="G356">
        <f t="shared" si="43"/>
        <v>18</v>
      </c>
      <c r="H356" s="3">
        <f>LEN(Table1[[#This Row],[Auteur]])</f>
        <v>1</v>
      </c>
      <c r="I356" s="3" t="str">
        <f t="shared" si="44"/>
        <v>The MagPi n°26</v>
      </c>
    </row>
    <row r="357" spans="1:9" x14ac:dyDescent="0.45">
      <c r="A357" t="s">
        <v>782</v>
      </c>
      <c r="B357" t="str">
        <f t="shared" si="38"/>
        <v>?</v>
      </c>
      <c r="C357" t="str">
        <f t="shared" si="39"/>
        <v>?</v>
      </c>
      <c r="D357" t="str">
        <f t="shared" si="40"/>
        <v>?</v>
      </c>
      <c r="E357" s="3" t="str">
        <f t="shared" si="41"/>
        <v/>
      </c>
      <c r="F357" s="3" t="str">
        <f t="shared" si="42"/>
        <v>.pdf</v>
      </c>
      <c r="G357" s="3">
        <f t="shared" si="43"/>
        <v>18</v>
      </c>
      <c r="H357" s="3">
        <f>LEN(Table1[[#This Row],[Auteur]])</f>
        <v>1</v>
      </c>
      <c r="I357" s="3" t="str">
        <f t="shared" si="44"/>
        <v>The MagPi n°27</v>
      </c>
    </row>
    <row r="358" spans="1:9" x14ac:dyDescent="0.45">
      <c r="A358" t="s">
        <v>783</v>
      </c>
      <c r="B358" t="str">
        <f t="shared" si="38"/>
        <v>?</v>
      </c>
      <c r="C358" t="str">
        <f t="shared" si="39"/>
        <v>?</v>
      </c>
      <c r="D358" t="str">
        <f t="shared" si="40"/>
        <v>?</v>
      </c>
      <c r="E358" s="3" t="str">
        <f t="shared" si="41"/>
        <v/>
      </c>
      <c r="F358" s="3" t="str">
        <f t="shared" si="42"/>
        <v>.pdf</v>
      </c>
      <c r="G358">
        <f t="shared" si="43"/>
        <v>18</v>
      </c>
      <c r="H358" s="3">
        <f>LEN(Table1[[#This Row],[Auteur]])</f>
        <v>1</v>
      </c>
      <c r="I358" s="3" t="str">
        <f t="shared" si="44"/>
        <v>The MagPi n°28</v>
      </c>
    </row>
    <row r="359" spans="1:9" x14ac:dyDescent="0.45">
      <c r="A359" t="s">
        <v>784</v>
      </c>
      <c r="B359" t="str">
        <f t="shared" si="38"/>
        <v>?</v>
      </c>
      <c r="C359" t="str">
        <f t="shared" si="39"/>
        <v>?</v>
      </c>
      <c r="D359" t="str">
        <f t="shared" si="40"/>
        <v>?</v>
      </c>
      <c r="E359" s="3" t="str">
        <f t="shared" si="41"/>
        <v/>
      </c>
      <c r="F359" t="str">
        <f t="shared" si="42"/>
        <v>.pdf</v>
      </c>
      <c r="G359">
        <f t="shared" si="43"/>
        <v>18</v>
      </c>
      <c r="H359" s="3">
        <f>LEN(Table1[[#This Row],[Auteur]])</f>
        <v>1</v>
      </c>
      <c r="I359" s="3" t="str">
        <f t="shared" si="44"/>
        <v>The MagPi n°29</v>
      </c>
    </row>
    <row r="360" spans="1:9" x14ac:dyDescent="0.45">
      <c r="A360" t="s">
        <v>785</v>
      </c>
      <c r="B360" t="str">
        <f t="shared" si="38"/>
        <v>?</v>
      </c>
      <c r="C360" t="str">
        <f t="shared" si="39"/>
        <v>?</v>
      </c>
      <c r="D360" t="str">
        <f t="shared" si="40"/>
        <v>?</v>
      </c>
      <c r="E360" t="str">
        <f t="shared" si="41"/>
        <v/>
      </c>
      <c r="F360" t="str">
        <f t="shared" si="42"/>
        <v>.pdf</v>
      </c>
      <c r="G360">
        <f t="shared" si="43"/>
        <v>18</v>
      </c>
      <c r="H360" s="3">
        <f>LEN(Table1[[#This Row],[Auteur]])</f>
        <v>1</v>
      </c>
      <c r="I360" s="3" t="str">
        <f t="shared" si="44"/>
        <v>The MagPi n°30</v>
      </c>
    </row>
    <row r="361" spans="1:9" x14ac:dyDescent="0.45">
      <c r="A361" t="s">
        <v>786</v>
      </c>
      <c r="B361" t="str">
        <f t="shared" si="38"/>
        <v>?</v>
      </c>
      <c r="C361" t="str">
        <f t="shared" si="39"/>
        <v>?</v>
      </c>
      <c r="D361" t="str">
        <f t="shared" si="40"/>
        <v>?</v>
      </c>
      <c r="E361" s="3" t="str">
        <f t="shared" si="41"/>
        <v/>
      </c>
      <c r="F361" s="3" t="str">
        <f t="shared" si="42"/>
        <v>.pdf</v>
      </c>
      <c r="G361" s="3">
        <f t="shared" si="43"/>
        <v>18</v>
      </c>
      <c r="H361" s="3">
        <f>LEN(Table1[[#This Row],[Auteur]])</f>
        <v>1</v>
      </c>
      <c r="I361" s="3" t="str">
        <f t="shared" si="44"/>
        <v>The MagPi n°31</v>
      </c>
    </row>
    <row r="362" spans="1:9" x14ac:dyDescent="0.45">
      <c r="A362" t="s">
        <v>787</v>
      </c>
      <c r="B362" t="str">
        <f t="shared" si="38"/>
        <v>?</v>
      </c>
      <c r="C362" t="str">
        <f t="shared" si="39"/>
        <v>?</v>
      </c>
      <c r="D362" t="str">
        <f t="shared" si="40"/>
        <v>?</v>
      </c>
      <c r="E362" s="3" t="str">
        <f t="shared" si="41"/>
        <v/>
      </c>
      <c r="F362" t="str">
        <f t="shared" si="42"/>
        <v>.pdf</v>
      </c>
      <c r="G362">
        <f t="shared" si="43"/>
        <v>19</v>
      </c>
      <c r="H362" s="3">
        <f>LEN(Table1[[#This Row],[Auteur]])</f>
        <v>1</v>
      </c>
      <c r="I362" s="3" t="str">
        <f t="shared" si="44"/>
        <v>The MagPi n°31b</v>
      </c>
    </row>
    <row r="363" spans="1:9" x14ac:dyDescent="0.45">
      <c r="A363" t="s">
        <v>788</v>
      </c>
      <c r="B363" t="str">
        <f t="shared" si="38"/>
        <v>?</v>
      </c>
      <c r="C363" t="str">
        <f t="shared" si="39"/>
        <v>?</v>
      </c>
      <c r="D363" t="str">
        <f t="shared" si="40"/>
        <v>?</v>
      </c>
      <c r="E363" s="3" t="str">
        <f t="shared" si="41"/>
        <v/>
      </c>
      <c r="F363" t="str">
        <f t="shared" si="42"/>
        <v>.pdf</v>
      </c>
      <c r="G363">
        <f t="shared" si="43"/>
        <v>18</v>
      </c>
      <c r="H363" s="3">
        <f>LEN(Table1[[#This Row],[Auteur]])</f>
        <v>1</v>
      </c>
      <c r="I363" s="3" t="str">
        <f t="shared" si="44"/>
        <v>The MagPi n°32</v>
      </c>
    </row>
    <row r="364" spans="1:9" x14ac:dyDescent="0.45">
      <c r="A364" t="s">
        <v>789</v>
      </c>
      <c r="B364" t="str">
        <f t="shared" si="38"/>
        <v>?</v>
      </c>
      <c r="C364" t="str">
        <f t="shared" si="39"/>
        <v>?</v>
      </c>
      <c r="D364" t="str">
        <f t="shared" si="40"/>
        <v>?</v>
      </c>
      <c r="E364" s="3" t="str">
        <f t="shared" si="41"/>
        <v/>
      </c>
      <c r="F364" s="3" t="str">
        <f t="shared" si="42"/>
        <v>.pdf</v>
      </c>
      <c r="G364" s="3">
        <f t="shared" si="43"/>
        <v>18</v>
      </c>
      <c r="H364" s="3">
        <f>LEN(Table1[[#This Row],[Auteur]])</f>
        <v>1</v>
      </c>
      <c r="I364" s="3" t="str">
        <f t="shared" si="44"/>
        <v>The MagPi n°33</v>
      </c>
    </row>
    <row r="365" spans="1:9" x14ac:dyDescent="0.45">
      <c r="A365" t="s">
        <v>790</v>
      </c>
      <c r="B365" t="str">
        <f t="shared" si="38"/>
        <v>?</v>
      </c>
      <c r="C365" t="str">
        <f t="shared" si="39"/>
        <v>?</v>
      </c>
      <c r="D365" t="str">
        <f t="shared" si="40"/>
        <v>?</v>
      </c>
      <c r="E365" t="str">
        <f t="shared" si="41"/>
        <v/>
      </c>
      <c r="F365" t="str">
        <f t="shared" si="42"/>
        <v>.pdf</v>
      </c>
      <c r="G365">
        <f t="shared" si="43"/>
        <v>18</v>
      </c>
      <c r="H365" s="3">
        <f>LEN(Table1[[#This Row],[Auteur]])</f>
        <v>1</v>
      </c>
      <c r="I365" s="3" t="str">
        <f t="shared" si="44"/>
        <v>The MagPi n°34</v>
      </c>
    </row>
    <row r="366" spans="1:9" x14ac:dyDescent="0.45">
      <c r="A366" t="s">
        <v>791</v>
      </c>
      <c r="B366" t="str">
        <f t="shared" si="38"/>
        <v>?</v>
      </c>
      <c r="C366" t="str">
        <f t="shared" si="39"/>
        <v>?</v>
      </c>
      <c r="D366" t="str">
        <f t="shared" si="40"/>
        <v>?</v>
      </c>
      <c r="E366" s="3" t="str">
        <f t="shared" si="41"/>
        <v/>
      </c>
      <c r="F366" t="str">
        <f t="shared" si="42"/>
        <v>.pdf</v>
      </c>
      <c r="G366">
        <f t="shared" si="43"/>
        <v>18</v>
      </c>
      <c r="H366" s="3">
        <f>LEN(Table1[[#This Row],[Auteur]])</f>
        <v>1</v>
      </c>
      <c r="I366" s="3" t="str">
        <f t="shared" si="44"/>
        <v>The MagPi n°35</v>
      </c>
    </row>
    <row r="367" spans="1:9" x14ac:dyDescent="0.45">
      <c r="A367" t="s">
        <v>792</v>
      </c>
      <c r="B367" t="str">
        <f t="shared" si="38"/>
        <v>?</v>
      </c>
      <c r="C367" t="str">
        <f t="shared" si="39"/>
        <v>?</v>
      </c>
      <c r="D367" t="str">
        <f t="shared" si="40"/>
        <v>?</v>
      </c>
      <c r="E367" s="3" t="str">
        <f t="shared" si="41"/>
        <v/>
      </c>
      <c r="F367" t="str">
        <f t="shared" si="42"/>
        <v>.pdf</v>
      </c>
      <c r="G367">
        <f t="shared" si="43"/>
        <v>18</v>
      </c>
      <c r="H367" s="3">
        <f>LEN(Table1[[#This Row],[Auteur]])</f>
        <v>1</v>
      </c>
      <c r="I367" s="3" t="str">
        <f t="shared" si="44"/>
        <v>The MagPi n°36</v>
      </c>
    </row>
    <row r="368" spans="1:9" x14ac:dyDescent="0.45">
      <c r="A368" t="s">
        <v>793</v>
      </c>
      <c r="B368" t="str">
        <f t="shared" si="38"/>
        <v>?</v>
      </c>
      <c r="C368" t="str">
        <f t="shared" si="39"/>
        <v>?</v>
      </c>
      <c r="D368" t="str">
        <f t="shared" si="40"/>
        <v>?</v>
      </c>
      <c r="E368" s="3" t="str">
        <f t="shared" si="41"/>
        <v/>
      </c>
      <c r="F368" t="str">
        <f t="shared" si="42"/>
        <v>.pdf</v>
      </c>
      <c r="G368">
        <f t="shared" si="43"/>
        <v>18</v>
      </c>
      <c r="H368" s="3">
        <f>LEN(Table1[[#This Row],[Auteur]])</f>
        <v>1</v>
      </c>
      <c r="I368" s="3" t="str">
        <f t="shared" si="44"/>
        <v>The MagPi n°37</v>
      </c>
    </row>
    <row r="369" spans="1:9" x14ac:dyDescent="0.45">
      <c r="A369" t="s">
        <v>794</v>
      </c>
      <c r="B369" t="str">
        <f t="shared" si="38"/>
        <v>?</v>
      </c>
      <c r="C369" t="str">
        <f t="shared" si="39"/>
        <v>?</v>
      </c>
      <c r="D369" t="str">
        <f t="shared" si="40"/>
        <v>?</v>
      </c>
      <c r="E369" s="3" t="str">
        <f t="shared" si="41"/>
        <v/>
      </c>
      <c r="F369" s="3" t="str">
        <f t="shared" si="42"/>
        <v>.pdf</v>
      </c>
      <c r="G369" s="3">
        <f t="shared" si="43"/>
        <v>18</v>
      </c>
      <c r="H369" s="3">
        <f>LEN(Table1[[#This Row],[Auteur]])</f>
        <v>1</v>
      </c>
      <c r="I369" s="3" t="str">
        <f t="shared" si="44"/>
        <v>The MagPi n°38</v>
      </c>
    </row>
    <row r="370" spans="1:9" x14ac:dyDescent="0.45">
      <c r="A370" t="s">
        <v>795</v>
      </c>
      <c r="B370" t="str">
        <f t="shared" si="38"/>
        <v>?</v>
      </c>
      <c r="C370" t="str">
        <f t="shared" si="39"/>
        <v>?</v>
      </c>
      <c r="D370" t="str">
        <f t="shared" si="40"/>
        <v>?</v>
      </c>
      <c r="E370" s="3" t="str">
        <f t="shared" si="41"/>
        <v/>
      </c>
      <c r="F370" s="3" t="str">
        <f t="shared" si="42"/>
        <v>.pdf</v>
      </c>
      <c r="G370">
        <f t="shared" si="43"/>
        <v>18</v>
      </c>
      <c r="H370" s="3">
        <f>LEN(Table1[[#This Row],[Auteur]])</f>
        <v>1</v>
      </c>
      <c r="I370" s="3" t="str">
        <f t="shared" si="44"/>
        <v>The MagPi n°39</v>
      </c>
    </row>
    <row r="371" spans="1:9" x14ac:dyDescent="0.45">
      <c r="A371" t="s">
        <v>796</v>
      </c>
      <c r="B371" t="str">
        <f t="shared" si="38"/>
        <v>?</v>
      </c>
      <c r="C371" t="str">
        <f t="shared" si="39"/>
        <v>?</v>
      </c>
      <c r="D371" t="str">
        <f t="shared" si="40"/>
        <v>?</v>
      </c>
      <c r="E371" s="3" t="str">
        <f t="shared" si="41"/>
        <v/>
      </c>
      <c r="F371" s="3" t="str">
        <f t="shared" si="42"/>
        <v>.pdf</v>
      </c>
      <c r="G371" s="3">
        <f t="shared" si="43"/>
        <v>18</v>
      </c>
      <c r="H371" s="3">
        <f>LEN(Table1[[#This Row],[Auteur]])</f>
        <v>1</v>
      </c>
      <c r="I371" s="3" t="str">
        <f t="shared" si="44"/>
        <v>The MagPi n°40</v>
      </c>
    </row>
    <row r="372" spans="1:9" x14ac:dyDescent="0.45">
      <c r="A372" t="s">
        <v>797</v>
      </c>
      <c r="B372" t="str">
        <f t="shared" si="38"/>
        <v>?</v>
      </c>
      <c r="C372" t="str">
        <f t="shared" si="39"/>
        <v>?</v>
      </c>
      <c r="D372" t="str">
        <f t="shared" si="40"/>
        <v>?</v>
      </c>
      <c r="E372" s="3" t="str">
        <f t="shared" si="41"/>
        <v/>
      </c>
      <c r="F372" t="str">
        <f t="shared" si="42"/>
        <v>.pdf</v>
      </c>
      <c r="G372">
        <f t="shared" si="43"/>
        <v>18</v>
      </c>
      <c r="H372" s="3">
        <f>LEN(Table1[[#This Row],[Auteur]])</f>
        <v>1</v>
      </c>
      <c r="I372" s="3" t="str">
        <f t="shared" si="44"/>
        <v>The MagPi n°41</v>
      </c>
    </row>
    <row r="373" spans="1:9" x14ac:dyDescent="0.45">
      <c r="A373" t="s">
        <v>798</v>
      </c>
      <c r="B373" t="str">
        <f t="shared" si="38"/>
        <v>?</v>
      </c>
      <c r="C373" t="str">
        <f t="shared" si="39"/>
        <v>?</v>
      </c>
      <c r="D373" t="str">
        <f t="shared" si="40"/>
        <v>?</v>
      </c>
      <c r="E373" s="3" t="str">
        <f t="shared" si="41"/>
        <v/>
      </c>
      <c r="F373" t="str">
        <f t="shared" si="42"/>
        <v>.pdf</v>
      </c>
      <c r="G373">
        <f t="shared" si="43"/>
        <v>18</v>
      </c>
      <c r="H373" s="3">
        <f>LEN(Table1[[#This Row],[Auteur]])</f>
        <v>1</v>
      </c>
      <c r="I373" s="3" t="str">
        <f t="shared" si="44"/>
        <v>The MagPi n°42</v>
      </c>
    </row>
    <row r="374" spans="1:9" x14ac:dyDescent="0.45">
      <c r="A374" t="s">
        <v>799</v>
      </c>
      <c r="B374" t="str">
        <f t="shared" si="38"/>
        <v>?</v>
      </c>
      <c r="C374" t="str">
        <f t="shared" si="39"/>
        <v>?</v>
      </c>
      <c r="D374" t="str">
        <f t="shared" si="40"/>
        <v>?</v>
      </c>
      <c r="E374" s="3" t="str">
        <f t="shared" si="41"/>
        <v/>
      </c>
      <c r="F374" t="str">
        <f t="shared" si="42"/>
        <v>.pdf</v>
      </c>
      <c r="G374">
        <f t="shared" si="43"/>
        <v>18</v>
      </c>
      <c r="H374" s="3">
        <f>LEN(Table1[[#This Row],[Auteur]])</f>
        <v>1</v>
      </c>
      <c r="I374" s="3" t="str">
        <f t="shared" si="44"/>
        <v>The MagPi n°43</v>
      </c>
    </row>
    <row r="375" spans="1:9" x14ac:dyDescent="0.45">
      <c r="A375" t="s">
        <v>800</v>
      </c>
      <c r="B375" t="str">
        <f t="shared" si="38"/>
        <v>?</v>
      </c>
      <c r="C375" t="str">
        <f t="shared" si="39"/>
        <v>?</v>
      </c>
      <c r="D375" t="str">
        <f t="shared" si="40"/>
        <v>?</v>
      </c>
      <c r="E375" s="3" t="str">
        <f t="shared" si="41"/>
        <v/>
      </c>
      <c r="F375" t="str">
        <f t="shared" si="42"/>
        <v>.pdf</v>
      </c>
      <c r="G375">
        <f t="shared" si="43"/>
        <v>18</v>
      </c>
      <c r="H375" s="3">
        <f>LEN(Table1[[#This Row],[Auteur]])</f>
        <v>1</v>
      </c>
      <c r="I375" s="3" t="str">
        <f t="shared" si="44"/>
        <v>The MagPi n°44</v>
      </c>
    </row>
    <row r="376" spans="1:9" x14ac:dyDescent="0.45">
      <c r="A376" t="s">
        <v>801</v>
      </c>
      <c r="B376" t="str">
        <f t="shared" si="38"/>
        <v>?</v>
      </c>
      <c r="C376" t="str">
        <f t="shared" si="39"/>
        <v>?</v>
      </c>
      <c r="D376" t="str">
        <f t="shared" si="40"/>
        <v>?</v>
      </c>
      <c r="E376" s="3" t="str">
        <f t="shared" si="41"/>
        <v/>
      </c>
      <c r="F376" s="3" t="str">
        <f t="shared" si="42"/>
        <v>.pdf</v>
      </c>
      <c r="G376">
        <f t="shared" si="43"/>
        <v>18</v>
      </c>
      <c r="H376" s="3">
        <f>LEN(Table1[[#This Row],[Auteur]])</f>
        <v>1</v>
      </c>
      <c r="I376" s="3" t="str">
        <f t="shared" si="44"/>
        <v>The MagPi n°45</v>
      </c>
    </row>
    <row r="377" spans="1:9" x14ac:dyDescent="0.45">
      <c r="A377" t="s">
        <v>802</v>
      </c>
      <c r="B377" t="str">
        <f t="shared" si="38"/>
        <v>?</v>
      </c>
      <c r="C377" t="str">
        <f t="shared" si="39"/>
        <v>?</v>
      </c>
      <c r="D377" t="str">
        <f t="shared" si="40"/>
        <v>?</v>
      </c>
      <c r="E377" s="3" t="str">
        <f t="shared" si="41"/>
        <v/>
      </c>
      <c r="F377" t="str">
        <f t="shared" si="42"/>
        <v>.pdf</v>
      </c>
      <c r="G377">
        <f t="shared" si="43"/>
        <v>18</v>
      </c>
      <c r="H377" s="3">
        <f>LEN(Table1[[#This Row],[Auteur]])</f>
        <v>1</v>
      </c>
      <c r="I377" s="3" t="str">
        <f t="shared" si="44"/>
        <v>The MagPi n°46</v>
      </c>
    </row>
    <row r="378" spans="1:9" x14ac:dyDescent="0.45">
      <c r="A378" t="s">
        <v>803</v>
      </c>
      <c r="B378" t="str">
        <f t="shared" si="38"/>
        <v>?</v>
      </c>
      <c r="C378" t="str">
        <f t="shared" si="39"/>
        <v>?</v>
      </c>
      <c r="D378" t="str">
        <f t="shared" si="40"/>
        <v>?</v>
      </c>
      <c r="E378" s="3" t="str">
        <f t="shared" si="41"/>
        <v/>
      </c>
      <c r="F378" t="str">
        <f t="shared" si="42"/>
        <v>.pdf</v>
      </c>
      <c r="G378">
        <f t="shared" si="43"/>
        <v>18</v>
      </c>
      <c r="H378" s="3">
        <f>LEN(Table1[[#This Row],[Auteur]])</f>
        <v>1</v>
      </c>
      <c r="I378" s="3" t="str">
        <f t="shared" si="44"/>
        <v>The MagPi n°47</v>
      </c>
    </row>
    <row r="379" spans="1:9" x14ac:dyDescent="0.45">
      <c r="A379" t="s">
        <v>804</v>
      </c>
      <c r="B379" t="str">
        <f t="shared" si="38"/>
        <v>?</v>
      </c>
      <c r="C379" t="str">
        <f t="shared" si="39"/>
        <v>?</v>
      </c>
      <c r="D379" t="str">
        <f t="shared" si="40"/>
        <v>?</v>
      </c>
      <c r="E379" s="3" t="str">
        <f t="shared" si="41"/>
        <v/>
      </c>
      <c r="F379" t="str">
        <f t="shared" si="42"/>
        <v>.pdf</v>
      </c>
      <c r="G379">
        <f t="shared" si="43"/>
        <v>18</v>
      </c>
      <c r="H379" s="3">
        <f>LEN(Table1[[#This Row],[Auteur]])</f>
        <v>1</v>
      </c>
      <c r="I379" s="3" t="str">
        <f t="shared" si="44"/>
        <v>The MagPi n°48</v>
      </c>
    </row>
    <row r="380" spans="1:9" x14ac:dyDescent="0.45">
      <c r="A380" t="s">
        <v>805</v>
      </c>
      <c r="B380" t="str">
        <f t="shared" si="38"/>
        <v>?</v>
      </c>
      <c r="C380" t="str">
        <f t="shared" si="39"/>
        <v>?</v>
      </c>
      <c r="D380" t="str">
        <f t="shared" si="40"/>
        <v>?</v>
      </c>
      <c r="E380" s="3" t="str">
        <f t="shared" si="41"/>
        <v/>
      </c>
      <c r="F380" s="3" t="str">
        <f t="shared" si="42"/>
        <v>.pdf</v>
      </c>
      <c r="G380" s="3">
        <f t="shared" si="43"/>
        <v>18</v>
      </c>
      <c r="H380" s="3">
        <f>LEN(Table1[[#This Row],[Auteur]])</f>
        <v>1</v>
      </c>
      <c r="I380" s="3" t="str">
        <f t="shared" si="44"/>
        <v>The MagPi n°49</v>
      </c>
    </row>
    <row r="381" spans="1:9" x14ac:dyDescent="0.45">
      <c r="A381" t="s">
        <v>806</v>
      </c>
      <c r="B381" t="str">
        <f t="shared" si="38"/>
        <v>?</v>
      </c>
      <c r="C381" t="str">
        <f t="shared" si="39"/>
        <v>?</v>
      </c>
      <c r="D381" t="str">
        <f t="shared" si="40"/>
        <v>?</v>
      </c>
      <c r="E381" s="3" t="str">
        <f t="shared" si="41"/>
        <v/>
      </c>
      <c r="F381" s="3" t="str">
        <f t="shared" si="42"/>
        <v>.pdf</v>
      </c>
      <c r="G381">
        <f t="shared" si="43"/>
        <v>18</v>
      </c>
      <c r="H381" s="3">
        <f>LEN(Table1[[#This Row],[Auteur]])</f>
        <v>1</v>
      </c>
      <c r="I381" s="3" t="str">
        <f t="shared" si="44"/>
        <v>The MagPi n°50</v>
      </c>
    </row>
    <row r="382" spans="1:9" x14ac:dyDescent="0.45">
      <c r="A382" t="s">
        <v>807</v>
      </c>
      <c r="B382" t="str">
        <f t="shared" si="38"/>
        <v>?</v>
      </c>
      <c r="C382" t="str">
        <f t="shared" si="39"/>
        <v>?</v>
      </c>
      <c r="D382" t="str">
        <f t="shared" si="40"/>
        <v>?</v>
      </c>
      <c r="E382" s="3" t="str">
        <f t="shared" si="41"/>
        <v/>
      </c>
      <c r="F382" t="str">
        <f t="shared" si="42"/>
        <v>.pdf</v>
      </c>
      <c r="G382">
        <f t="shared" si="43"/>
        <v>18</v>
      </c>
      <c r="H382" s="3">
        <f>LEN(Table1[[#This Row],[Auteur]])</f>
        <v>1</v>
      </c>
      <c r="I382" s="3" t="str">
        <f t="shared" si="44"/>
        <v>The MagPi n°51</v>
      </c>
    </row>
    <row r="383" spans="1:9" x14ac:dyDescent="0.45">
      <c r="A383" t="s">
        <v>808</v>
      </c>
      <c r="B383" t="str">
        <f t="shared" si="38"/>
        <v>?</v>
      </c>
      <c r="C383" t="str">
        <f t="shared" si="39"/>
        <v>?</v>
      </c>
      <c r="D383" t="str">
        <f t="shared" si="40"/>
        <v>?</v>
      </c>
      <c r="E383" s="3" t="str">
        <f t="shared" si="41"/>
        <v/>
      </c>
      <c r="F383" s="3" t="str">
        <f t="shared" si="42"/>
        <v>.pdf</v>
      </c>
      <c r="G383">
        <f t="shared" si="43"/>
        <v>17</v>
      </c>
      <c r="H383" s="3">
        <f>LEN(Table1[[#This Row],[Auteur]])</f>
        <v>1</v>
      </c>
      <c r="I383" s="3" t="str">
        <f t="shared" si="44"/>
        <v>The MagPi SE1</v>
      </c>
    </row>
    <row r="384" spans="1:9" x14ac:dyDescent="0.45">
      <c r="A384" t="s">
        <v>809</v>
      </c>
      <c r="B384" t="str">
        <f t="shared" si="38"/>
        <v>?</v>
      </c>
      <c r="C384" t="str">
        <f t="shared" si="39"/>
        <v>?</v>
      </c>
      <c r="D384" t="str">
        <f t="shared" si="40"/>
        <v>?</v>
      </c>
      <c r="E384" s="3" t="str">
        <f t="shared" si="41"/>
        <v/>
      </c>
      <c r="F384" s="3" t="str">
        <f t="shared" si="42"/>
        <v>.pdf</v>
      </c>
      <c r="G384">
        <f t="shared" si="43"/>
        <v>43</v>
      </c>
      <c r="H384" s="3">
        <f>LEN(Table1[[#This Row],[Auteur]])</f>
        <v>1</v>
      </c>
      <c r="I384" s="3" t="str">
        <f t="shared" si="44"/>
        <v>The Official Raspberry Pi Projects Book</v>
      </c>
    </row>
    <row r="385" spans="1:9" x14ac:dyDescent="0.45">
      <c r="A385" t="s">
        <v>815</v>
      </c>
      <c r="B385" t="str">
        <f t="shared" si="38"/>
        <v>2016</v>
      </c>
      <c r="C385" t="str">
        <f t="shared" si="39"/>
        <v>Eyrolles</v>
      </c>
      <c r="D385" t="str">
        <f t="shared" si="40"/>
        <v>Benhenni, Bois</v>
      </c>
      <c r="E385" s="3" t="str">
        <f t="shared" si="41"/>
        <v/>
      </c>
      <c r="F385" t="str">
        <f t="shared" si="42"/>
        <v>.pdf</v>
      </c>
      <c r="G385">
        <f t="shared" si="43"/>
        <v>86</v>
      </c>
      <c r="H385" s="3">
        <f>LEN(Table1[[#This Row],[Auteur]])</f>
        <v>14</v>
      </c>
      <c r="I385" s="3" t="str">
        <f t="shared" si="44"/>
        <v>Bases de données orientées graphes avec Neo4j</v>
      </c>
    </row>
    <row r="386" spans="1:9" x14ac:dyDescent="0.45">
      <c r="A386" t="s">
        <v>816</v>
      </c>
      <c r="B386" t="str">
        <f t="shared" ref="B386:B449" si="45">DatePub(A386)</f>
        <v>2012</v>
      </c>
      <c r="C386" t="str">
        <f t="shared" ref="C386:C449" si="46">Editeur(A386)</f>
        <v>Apress</v>
      </c>
      <c r="D386" t="str">
        <f t="shared" ref="D386:D449" si="47">Auteur(A386)</f>
        <v>Clare Churcher</v>
      </c>
      <c r="E386" s="3" t="str">
        <f t="shared" ref="E386:E449" si="48">ExtraInfo(A386)</f>
        <v/>
      </c>
      <c r="F386" t="str">
        <f t="shared" ref="F386:F449" si="49">Extension(A386)</f>
        <v>.pdf</v>
      </c>
      <c r="G386">
        <f t="shared" ref="G386:G449" si="50">LenFileName(A386)</f>
        <v>72</v>
      </c>
      <c r="H386" s="3">
        <f>LEN(Table1[[#This Row],[Auteur]])</f>
        <v>14</v>
      </c>
      <c r="I386" s="3" t="str">
        <f t="shared" ref="I386:I434" si="51">Title(A386)</f>
        <v>Beginning Database Design</v>
      </c>
    </row>
    <row r="387" spans="1:9" x14ac:dyDescent="0.45">
      <c r="A387" t="s">
        <v>817</v>
      </c>
      <c r="B387" t="str">
        <f t="shared" si="45"/>
        <v>2005</v>
      </c>
      <c r="C387" t="str">
        <f t="shared" si="46"/>
        <v>Wiley</v>
      </c>
      <c r="D387" t="str">
        <f t="shared" si="47"/>
        <v>Paul Wilton, John W. Colby</v>
      </c>
      <c r="E387" s="3" t="str">
        <f t="shared" si="48"/>
        <v/>
      </c>
      <c r="F387" s="3" t="str">
        <f t="shared" si="49"/>
        <v>.pdf</v>
      </c>
      <c r="G387">
        <f t="shared" si="50"/>
        <v>63</v>
      </c>
      <c r="H387" s="3">
        <f>LEN(Table1[[#This Row],[Auteur]])</f>
        <v>26</v>
      </c>
      <c r="I387" s="3" t="str">
        <f t="shared" si="51"/>
        <v>Beginning SQL</v>
      </c>
    </row>
    <row r="388" spans="1:9" x14ac:dyDescent="0.45">
      <c r="A388" t="s">
        <v>818</v>
      </c>
      <c r="B388" t="str">
        <f t="shared" si="45"/>
        <v>2016</v>
      </c>
      <c r="C388" t="str">
        <f t="shared" si="46"/>
        <v>Apress</v>
      </c>
      <c r="D388" t="str">
        <f t="shared" si="47"/>
        <v>Clare Churcher</v>
      </c>
      <c r="E388" s="3" t="str">
        <f t="shared" si="48"/>
        <v/>
      </c>
      <c r="F388" s="3" t="str">
        <f t="shared" si="49"/>
        <v>.pdf</v>
      </c>
      <c r="G388">
        <f t="shared" si="50"/>
        <v>97</v>
      </c>
      <c r="H388" s="3">
        <f>LEN(Table1[[#This Row],[Auteur]])</f>
        <v>14</v>
      </c>
      <c r="I388" s="3" t="str">
        <f t="shared" si="51"/>
        <v>Beginning SQL Queries, From Novice to Professional</v>
      </c>
    </row>
    <row r="389" spans="1:9" x14ac:dyDescent="0.45">
      <c r="A389" t="s">
        <v>819</v>
      </c>
      <c r="B389" t="str">
        <f t="shared" si="45"/>
        <v>2001</v>
      </c>
      <c r="C389" t="str">
        <f t="shared" si="46"/>
        <v>O'Reilly</v>
      </c>
      <c r="D389" t="str">
        <f t="shared" si="47"/>
        <v>George Reese</v>
      </c>
      <c r="E389" s="3" t="str">
        <f t="shared" si="48"/>
        <v>Dump</v>
      </c>
      <c r="F389" t="str">
        <f t="shared" si="49"/>
        <v>.pdf</v>
      </c>
      <c r="G389">
        <f t="shared" si="50"/>
        <v>93</v>
      </c>
      <c r="H389" s="3">
        <f>LEN(Table1[[#This Row],[Auteur]])</f>
        <v>12</v>
      </c>
      <c r="I389" s="3" t="str">
        <f t="shared" si="51"/>
        <v>Database Programming with JDBC and Java</v>
      </c>
    </row>
    <row r="390" spans="1:9" x14ac:dyDescent="0.45">
      <c r="A390" t="s">
        <v>820</v>
      </c>
      <c r="B390" t="str">
        <f t="shared" si="45"/>
        <v>2006</v>
      </c>
      <c r="C390" t="str">
        <f t="shared" si="46"/>
        <v>Springer</v>
      </c>
      <c r="D390" t="str">
        <f t="shared" si="47"/>
        <v>A. Meier</v>
      </c>
      <c r="E390" s="3" t="str">
        <f t="shared" si="48"/>
        <v/>
      </c>
      <c r="F390" s="3" t="str">
        <f t="shared" si="49"/>
        <v>.pdf</v>
      </c>
      <c r="G390">
        <f t="shared" si="50"/>
        <v>99</v>
      </c>
      <c r="H390" s="3">
        <f>LEN(Table1[[#This Row],[Auteur]])</f>
        <v>8</v>
      </c>
      <c r="I390" s="3" t="str">
        <f t="shared" si="51"/>
        <v>Introduction pratique aux bases de données relationnelles</v>
      </c>
    </row>
    <row r="391" spans="1:9" x14ac:dyDescent="0.45">
      <c r="A391" t="s">
        <v>821</v>
      </c>
      <c r="B391" t="str">
        <f t="shared" si="45"/>
        <v>2013</v>
      </c>
      <c r="C391" t="str">
        <f t="shared" si="46"/>
        <v>Eyrolles</v>
      </c>
      <c r="D391" t="str">
        <f t="shared" si="47"/>
        <v>Rudi Bruchez</v>
      </c>
      <c r="E391" t="str">
        <f t="shared" si="48"/>
        <v/>
      </c>
      <c r="F391" t="str">
        <f t="shared" si="49"/>
        <v>.pdf</v>
      </c>
      <c r="G391">
        <f t="shared" si="50"/>
        <v>118</v>
      </c>
      <c r="H391" s="3">
        <f>LEN(Table1[[#This Row],[Auteur]])</f>
        <v>12</v>
      </c>
      <c r="I391" s="3" t="str">
        <f t="shared" si="51"/>
        <v>Les bases de données NoSQL et le BigData, Comprendre et mettre en oeuvre</v>
      </c>
    </row>
    <row r="392" spans="1:9" x14ac:dyDescent="0.45">
      <c r="A392" t="s">
        <v>936</v>
      </c>
      <c r="B392" t="str">
        <f t="shared" si="45"/>
        <v>2012</v>
      </c>
      <c r="C392" t="str">
        <f t="shared" si="46"/>
        <v>O'Reilly</v>
      </c>
      <c r="D392" t="str">
        <f t="shared" si="47"/>
        <v>Julia Lerman, Rowan Miller</v>
      </c>
      <c r="E392" s="3" t="str">
        <f t="shared" si="48"/>
        <v/>
      </c>
      <c r="F392" t="str">
        <f t="shared" si="49"/>
        <v>.pdf</v>
      </c>
      <c r="G392">
        <f t="shared" si="50"/>
        <v>93</v>
      </c>
      <c r="H392" s="3">
        <f>LEN(Table1[[#This Row],[Auteur]])</f>
        <v>26</v>
      </c>
      <c r="I392" s="3" t="str">
        <f t="shared" si="51"/>
        <v>Programming Entity Framework, Code First</v>
      </c>
    </row>
    <row r="393" spans="1:9" x14ac:dyDescent="0.45">
      <c r="A393" t="s">
        <v>937</v>
      </c>
      <c r="B393" t="str">
        <f t="shared" si="45"/>
        <v>2012</v>
      </c>
      <c r="C393" t="str">
        <f t="shared" si="46"/>
        <v>O'Reilly</v>
      </c>
      <c r="D393" t="str">
        <f t="shared" si="47"/>
        <v>Julia Lerman and Rowan Miller</v>
      </c>
      <c r="E393" s="3" t="str">
        <f t="shared" si="48"/>
        <v/>
      </c>
      <c r="F393" t="str">
        <f t="shared" si="49"/>
        <v>.pdf</v>
      </c>
      <c r="G393">
        <f t="shared" si="50"/>
        <v>95</v>
      </c>
      <c r="H393" s="3">
        <f>LEN(Table1[[#This Row],[Auteur]])</f>
        <v>29</v>
      </c>
      <c r="I393" s="3" t="str">
        <f t="shared" si="51"/>
        <v>Programming Entity Framework, DbContext</v>
      </c>
    </row>
    <row r="394" spans="1:9" x14ac:dyDescent="0.45">
      <c r="A394" t="s">
        <v>822</v>
      </c>
      <c r="B394" t="str">
        <f t="shared" si="45"/>
        <v>2013</v>
      </c>
      <c r="C394" t="str">
        <f t="shared" si="46"/>
        <v>Microsoft</v>
      </c>
      <c r="D394" t="str">
        <f t="shared" si="47"/>
        <v>?</v>
      </c>
      <c r="E394" s="3" t="str">
        <f t="shared" si="48"/>
        <v/>
      </c>
      <c r="F394" t="str">
        <f t="shared" si="49"/>
        <v>.pdf</v>
      </c>
      <c r="G394">
        <f t="shared" si="50"/>
        <v>85</v>
      </c>
      <c r="H394" s="3">
        <f>LEN(Table1[[#This Row],[Auteur]])</f>
        <v>1</v>
      </c>
      <c r="I394" s="3" t="str">
        <f t="shared" si="51"/>
        <v>Best Practices for Virtualizing and Managing SQL Server 2012</v>
      </c>
    </row>
    <row r="395" spans="1:9" x14ac:dyDescent="0.45">
      <c r="A395" t="s">
        <v>823</v>
      </c>
      <c r="B395" t="str">
        <f t="shared" si="45"/>
        <v>2009</v>
      </c>
      <c r="C395" t="str">
        <f t="shared" si="46"/>
        <v>Apress</v>
      </c>
      <c r="D395" t="str">
        <f t="shared" si="47"/>
        <v>Alastair Aitchison, Adam Machanic</v>
      </c>
      <c r="E395" s="3" t="str">
        <f t="shared" si="48"/>
        <v/>
      </c>
      <c r="F395" t="str">
        <f t="shared" si="49"/>
        <v>.pdf</v>
      </c>
      <c r="G395">
        <f t="shared" si="50"/>
        <v>92</v>
      </c>
      <c r="H395" s="3">
        <f>LEN(Table1[[#This Row],[Auteur]])</f>
        <v>33</v>
      </c>
      <c r="I395" s="3" t="str">
        <f t="shared" si="51"/>
        <v>Expert SQL Server 2008 Development</v>
      </c>
    </row>
    <row r="396" spans="1:9" x14ac:dyDescent="0.45">
      <c r="A396" t="s">
        <v>824</v>
      </c>
      <c r="B396" t="str">
        <f t="shared" si="45"/>
        <v>2012</v>
      </c>
      <c r="C396" t="str">
        <f t="shared" si="46"/>
        <v>Microsoft</v>
      </c>
      <c r="D396" t="str">
        <f t="shared" si="47"/>
        <v>?</v>
      </c>
      <c r="E396" s="3" t="str">
        <f t="shared" si="48"/>
        <v/>
      </c>
      <c r="F396" t="str">
        <f t="shared" si="49"/>
        <v>.epub</v>
      </c>
      <c r="G396">
        <f t="shared" si="50"/>
        <v>99</v>
      </c>
      <c r="H396" s="3">
        <f>LEN(Table1[[#This Row],[Auteur]])</f>
        <v>1</v>
      </c>
      <c r="I396" s="3" t="str">
        <f t="shared" si="51"/>
        <v>Extracting and Loading SharePoint Data in SQL Server Integration Services</v>
      </c>
    </row>
    <row r="397" spans="1:9" x14ac:dyDescent="0.45">
      <c r="A397" t="s">
        <v>825</v>
      </c>
      <c r="B397" t="str">
        <f t="shared" si="45"/>
        <v>2012</v>
      </c>
      <c r="C397" t="str">
        <f t="shared" si="46"/>
        <v>Microsoft</v>
      </c>
      <c r="D397" t="str">
        <f t="shared" si="47"/>
        <v>?</v>
      </c>
      <c r="E397" s="3" t="str">
        <f t="shared" si="48"/>
        <v/>
      </c>
      <c r="F397" s="3" t="str">
        <f t="shared" si="49"/>
        <v>.pdf</v>
      </c>
      <c r="G397" s="3">
        <f t="shared" si="50"/>
        <v>98</v>
      </c>
      <c r="H397" s="3">
        <f>LEN(Table1[[#This Row],[Auteur]])</f>
        <v>1</v>
      </c>
      <c r="I397" s="3" t="str">
        <f t="shared" si="51"/>
        <v>Extracting and Loading SharePoint Data in SQL Server Integration Services</v>
      </c>
    </row>
    <row r="398" spans="1:9" x14ac:dyDescent="0.45">
      <c r="A398" t="s">
        <v>826</v>
      </c>
      <c r="B398" t="str">
        <f t="shared" si="45"/>
        <v>2010</v>
      </c>
      <c r="C398" t="str">
        <f t="shared" si="46"/>
        <v>Microsoft</v>
      </c>
      <c r="D398" t="str">
        <f t="shared" si="47"/>
        <v>Ross Mistry, Stacia Misner</v>
      </c>
      <c r="E398" s="3" t="str">
        <f t="shared" si="48"/>
        <v/>
      </c>
      <c r="F398" t="str">
        <f t="shared" si="49"/>
        <v>.epub</v>
      </c>
      <c r="G398">
        <f t="shared" si="50"/>
        <v>85</v>
      </c>
      <c r="H398" s="3">
        <f>LEN(Table1[[#This Row],[Auteur]])</f>
        <v>26</v>
      </c>
      <c r="I398" s="3" t="str">
        <f t="shared" si="51"/>
        <v>Introducing SQL Server 2008 R2</v>
      </c>
    </row>
    <row r="399" spans="1:9" x14ac:dyDescent="0.45">
      <c r="A399" t="s">
        <v>827</v>
      </c>
      <c r="B399" t="str">
        <f t="shared" si="45"/>
        <v>2010</v>
      </c>
      <c r="C399" t="str">
        <f t="shared" si="46"/>
        <v>Microsoft</v>
      </c>
      <c r="D399" t="str">
        <f t="shared" si="47"/>
        <v>Ross Mistry, Stacia Misner</v>
      </c>
      <c r="E399" s="3" t="str">
        <f t="shared" si="48"/>
        <v/>
      </c>
      <c r="F399" s="3" t="str">
        <f t="shared" si="49"/>
        <v>.pdf</v>
      </c>
      <c r="G399">
        <f t="shared" si="50"/>
        <v>84</v>
      </c>
      <c r="H399" s="3">
        <f>LEN(Table1[[#This Row],[Auteur]])</f>
        <v>26</v>
      </c>
      <c r="I399" s="3" t="str">
        <f t="shared" si="51"/>
        <v>Introducing SQL Server 2008 R2</v>
      </c>
    </row>
    <row r="400" spans="1:9" x14ac:dyDescent="0.45">
      <c r="A400" t="s">
        <v>828</v>
      </c>
      <c r="B400" t="str">
        <f t="shared" si="45"/>
        <v>?</v>
      </c>
      <c r="C400" t="str">
        <f t="shared" si="46"/>
        <v>Microsoft</v>
      </c>
      <c r="D400" t="str">
        <f t="shared" si="47"/>
        <v>Mistry, Misner</v>
      </c>
      <c r="E400" s="3" t="str">
        <f t="shared" si="48"/>
        <v/>
      </c>
      <c r="F400" t="str">
        <f t="shared" si="49"/>
        <v>.epub</v>
      </c>
      <c r="G400">
        <f t="shared" si="50"/>
        <v>63</v>
      </c>
      <c r="H400" s="3">
        <f>LEN(Table1[[#This Row],[Auteur]])</f>
        <v>14</v>
      </c>
      <c r="I400" s="3" t="str">
        <f t="shared" si="51"/>
        <v>Introducing SQL Server 2012</v>
      </c>
    </row>
    <row r="401" spans="1:9" x14ac:dyDescent="0.45">
      <c r="A401" t="s">
        <v>829</v>
      </c>
      <c r="B401" t="str">
        <f t="shared" si="45"/>
        <v>?</v>
      </c>
      <c r="C401" t="str">
        <f t="shared" si="46"/>
        <v>Microsoft</v>
      </c>
      <c r="D401" t="str">
        <f t="shared" si="47"/>
        <v>Mistry, Misner</v>
      </c>
      <c r="E401" s="3" t="str">
        <f t="shared" si="48"/>
        <v/>
      </c>
      <c r="F401" t="str">
        <f t="shared" si="49"/>
        <v>.pdf</v>
      </c>
      <c r="G401">
        <f t="shared" si="50"/>
        <v>62</v>
      </c>
      <c r="H401" s="3">
        <f>LEN(Table1[[#This Row],[Auteur]])</f>
        <v>14</v>
      </c>
      <c r="I401" s="3" t="str">
        <f t="shared" si="51"/>
        <v>Introducing SQL Server 2012</v>
      </c>
    </row>
    <row r="402" spans="1:9" x14ac:dyDescent="0.45">
      <c r="A402" t="s">
        <v>830</v>
      </c>
      <c r="B402" t="str">
        <f t="shared" si="45"/>
        <v>?</v>
      </c>
      <c r="C402" t="str">
        <f t="shared" si="46"/>
        <v>Microsoft</v>
      </c>
      <c r="D402" t="str">
        <f t="shared" si="47"/>
        <v>Mistry, Misner</v>
      </c>
      <c r="E402" s="3" t="str">
        <f t="shared" si="48"/>
        <v/>
      </c>
      <c r="F402" t="str">
        <f t="shared" si="49"/>
        <v>.epub</v>
      </c>
      <c r="G402">
        <f t="shared" si="50"/>
        <v>63</v>
      </c>
      <c r="H402" s="3">
        <f>LEN(Table1[[#This Row],[Auteur]])</f>
        <v>14</v>
      </c>
      <c r="I402" s="3" t="str">
        <f t="shared" si="51"/>
        <v>Introducing SQL Server 2014</v>
      </c>
    </row>
    <row r="403" spans="1:9" x14ac:dyDescent="0.45">
      <c r="A403" t="s">
        <v>831</v>
      </c>
      <c r="B403" t="str">
        <f t="shared" si="45"/>
        <v>?</v>
      </c>
      <c r="C403" t="str">
        <f t="shared" si="46"/>
        <v>Microsoft</v>
      </c>
      <c r="D403" t="str">
        <f t="shared" si="47"/>
        <v>Mistry, Misner</v>
      </c>
      <c r="E403" s="3" t="str">
        <f t="shared" si="48"/>
        <v/>
      </c>
      <c r="F403" s="3" t="str">
        <f t="shared" si="49"/>
        <v>.pdf</v>
      </c>
      <c r="G403">
        <f t="shared" si="50"/>
        <v>62</v>
      </c>
      <c r="H403" s="3">
        <f>LEN(Table1[[#This Row],[Auteur]])</f>
        <v>14</v>
      </c>
      <c r="I403" s="3" t="str">
        <f t="shared" si="51"/>
        <v>Introducing SQL Server 2014</v>
      </c>
    </row>
    <row r="404" spans="1:9" x14ac:dyDescent="0.45">
      <c r="A404" t="s">
        <v>832</v>
      </c>
      <c r="B404" t="str">
        <f t="shared" si="45"/>
        <v>?</v>
      </c>
      <c r="C404" t="str">
        <f t="shared" si="46"/>
        <v>Microsoft</v>
      </c>
      <c r="D404" t="str">
        <f t="shared" si="47"/>
        <v>Varga, Cherry, D'Antoni</v>
      </c>
      <c r="E404" s="3" t="str">
        <f t="shared" si="48"/>
        <v/>
      </c>
      <c r="F404" t="str">
        <f t="shared" si="49"/>
        <v>.epub</v>
      </c>
      <c r="G404">
        <f t="shared" si="50"/>
        <v>82</v>
      </c>
      <c r="H404" s="3">
        <f>LEN(Table1[[#This Row],[Auteur]])</f>
        <v>23</v>
      </c>
      <c r="I404" s="3" t="str">
        <f t="shared" si="51"/>
        <v>Introducing SQL Server 2016 Preview 2</v>
      </c>
    </row>
    <row r="405" spans="1:9" x14ac:dyDescent="0.45">
      <c r="A405" t="s">
        <v>833</v>
      </c>
      <c r="B405" t="str">
        <f t="shared" si="45"/>
        <v>?</v>
      </c>
      <c r="C405" t="str">
        <f t="shared" si="46"/>
        <v>Microsoft</v>
      </c>
      <c r="D405" t="str">
        <f t="shared" si="47"/>
        <v>Varga, Cherry, D'Antoni</v>
      </c>
      <c r="E405" s="3" t="str">
        <f t="shared" si="48"/>
        <v/>
      </c>
      <c r="F405" s="3" t="str">
        <f t="shared" si="49"/>
        <v>.pdf</v>
      </c>
      <c r="G405">
        <f t="shared" si="50"/>
        <v>81</v>
      </c>
      <c r="H405" s="3">
        <f>LEN(Table1[[#This Row],[Auteur]])</f>
        <v>23</v>
      </c>
      <c r="I405" s="3" t="str">
        <f t="shared" si="51"/>
        <v>Introducing SQL Server 2016 Preview 2</v>
      </c>
    </row>
    <row r="406" spans="1:9" x14ac:dyDescent="0.45">
      <c r="A406" t="s">
        <v>834</v>
      </c>
      <c r="B406" t="str">
        <f t="shared" si="45"/>
        <v>2016</v>
      </c>
      <c r="C406" t="str">
        <f t="shared" si="46"/>
        <v>?</v>
      </c>
      <c r="D406" t="str">
        <f t="shared" si="47"/>
        <v>Suverson, Murach</v>
      </c>
      <c r="E406" s="3" t="str">
        <f t="shared" si="48"/>
        <v/>
      </c>
      <c r="F406" s="3" t="str">
        <f t="shared" si="49"/>
        <v>.pdf</v>
      </c>
      <c r="G406">
        <f t="shared" si="50"/>
        <v>69</v>
      </c>
      <c r="H406" s="3">
        <f>LEN(Table1[[#This Row],[Auteur]])</f>
        <v>16</v>
      </c>
      <c r="I406" s="3" t="str">
        <f t="shared" si="51"/>
        <v>Murach's SQL Server 2016 for Developers</v>
      </c>
    </row>
    <row r="407" spans="1:9" x14ac:dyDescent="0.45">
      <c r="A407" t="s">
        <v>835</v>
      </c>
      <c r="B407" t="str">
        <f t="shared" si="45"/>
        <v>2008</v>
      </c>
      <c r="C407" t="str">
        <f t="shared" si="46"/>
        <v>O'Reilly</v>
      </c>
      <c r="D407" t="str">
        <f t="shared" si="47"/>
        <v>Stéphane Faroult</v>
      </c>
      <c r="E407" s="3" t="str">
        <f t="shared" si="48"/>
        <v/>
      </c>
      <c r="F407" t="str">
        <f t="shared" si="49"/>
        <v>.pdf</v>
      </c>
      <c r="G407">
        <f t="shared" si="50"/>
        <v>71</v>
      </c>
      <c r="H407" s="3">
        <f>LEN(Table1[[#This Row],[Auteur]])</f>
        <v>16</v>
      </c>
      <c r="I407" s="3" t="str">
        <f t="shared" si="51"/>
        <v>Refactoring SQL Applications</v>
      </c>
    </row>
    <row r="408" spans="1:9" x14ac:dyDescent="0.45">
      <c r="A408" t="s">
        <v>836</v>
      </c>
      <c r="B408" t="str">
        <f t="shared" si="45"/>
        <v>2009</v>
      </c>
      <c r="C408" t="str">
        <f t="shared" si="46"/>
        <v>Microsoft Press</v>
      </c>
      <c r="D408" t="str">
        <f t="shared" si="47"/>
        <v>Kalen Delaney</v>
      </c>
      <c r="E408" s="3" t="str">
        <f t="shared" si="48"/>
        <v/>
      </c>
      <c r="F408" t="str">
        <f t="shared" si="49"/>
        <v>.pdf</v>
      </c>
      <c r="G408">
        <f t="shared" si="50"/>
        <v>72</v>
      </c>
      <c r="H408" s="3">
        <f>LEN(Table1[[#This Row],[Auteur]])</f>
        <v>13</v>
      </c>
      <c r="I408" s="3" t="str">
        <f t="shared" si="51"/>
        <v>SQL Server 2008 Internals</v>
      </c>
    </row>
    <row r="409" spans="1:9" x14ac:dyDescent="0.45">
      <c r="A409" t="s">
        <v>837</v>
      </c>
      <c r="B409" t="str">
        <f t="shared" si="45"/>
        <v>2012</v>
      </c>
      <c r="C409" t="str">
        <f t="shared" si="46"/>
        <v>Microsoft</v>
      </c>
      <c r="D409" t="str">
        <f t="shared" si="47"/>
        <v>?</v>
      </c>
      <c r="E409" s="3" t="str">
        <f t="shared" si="48"/>
        <v/>
      </c>
      <c r="F409" t="str">
        <f t="shared" si="49"/>
        <v>.epub</v>
      </c>
      <c r="G409">
        <f t="shared" si="50"/>
        <v>82</v>
      </c>
      <c r="H409" s="3">
        <f>LEN(Table1[[#This Row],[Auteur]])</f>
        <v>1</v>
      </c>
      <c r="I409" s="3" t="str">
        <f t="shared" si="51"/>
        <v>SQL Server 2012 Tutorials, Analysis Services Data Mining</v>
      </c>
    </row>
    <row r="410" spans="1:9" x14ac:dyDescent="0.45">
      <c r="A410" t="s">
        <v>838</v>
      </c>
      <c r="B410" t="str">
        <f t="shared" si="45"/>
        <v>2012</v>
      </c>
      <c r="C410" t="str">
        <f t="shared" si="46"/>
        <v>Microsoft</v>
      </c>
      <c r="D410" t="str">
        <f t="shared" si="47"/>
        <v>?</v>
      </c>
      <c r="E410" s="3" t="str">
        <f t="shared" si="48"/>
        <v/>
      </c>
      <c r="F410" t="str">
        <f t="shared" si="49"/>
        <v>.pdf</v>
      </c>
      <c r="G410">
        <f t="shared" si="50"/>
        <v>81</v>
      </c>
      <c r="H410" s="3">
        <f>LEN(Table1[[#This Row],[Auteur]])</f>
        <v>1</v>
      </c>
      <c r="I410" s="3" t="str">
        <f t="shared" si="51"/>
        <v>SQL Server 2012 Tutorials, Analysis Services Data Mining</v>
      </c>
    </row>
    <row r="411" spans="1:9" x14ac:dyDescent="0.45">
      <c r="A411" t="s">
        <v>839</v>
      </c>
      <c r="B411" t="str">
        <f t="shared" si="45"/>
        <v>2012</v>
      </c>
      <c r="C411" t="str">
        <f t="shared" si="46"/>
        <v>Microsoft</v>
      </c>
      <c r="D411" t="str">
        <f t="shared" si="47"/>
        <v>?</v>
      </c>
      <c r="E411" s="3" t="str">
        <f t="shared" si="48"/>
        <v/>
      </c>
      <c r="F411" s="3" t="str">
        <f t="shared" si="49"/>
        <v>.epub</v>
      </c>
      <c r="G411">
        <f t="shared" si="50"/>
        <v>96</v>
      </c>
      <c r="H411" s="3">
        <f>LEN(Table1[[#This Row],[Auteur]])</f>
        <v>1</v>
      </c>
      <c r="I411" s="3" t="str">
        <f t="shared" si="51"/>
        <v>SQL Server 2012 Tutorials, Analysis Services Multidimensional Modeling</v>
      </c>
    </row>
    <row r="412" spans="1:9" x14ac:dyDescent="0.45">
      <c r="A412" t="s">
        <v>840</v>
      </c>
      <c r="B412" t="str">
        <f t="shared" si="45"/>
        <v>2012</v>
      </c>
      <c r="C412" t="str">
        <f t="shared" si="46"/>
        <v>Microsoft</v>
      </c>
      <c r="D412" t="str">
        <f t="shared" si="47"/>
        <v>?</v>
      </c>
      <c r="E412" s="3" t="str">
        <f t="shared" si="48"/>
        <v/>
      </c>
      <c r="F412" t="str">
        <f t="shared" si="49"/>
        <v>.pdf</v>
      </c>
      <c r="G412">
        <f t="shared" si="50"/>
        <v>95</v>
      </c>
      <c r="H412" s="3">
        <f>LEN(Table1[[#This Row],[Auteur]])</f>
        <v>1</v>
      </c>
      <c r="I412" s="3" t="str">
        <f t="shared" si="51"/>
        <v>SQL Server 2012 Tutorials, Analysis Services Multidimensional Modeling</v>
      </c>
    </row>
    <row r="413" spans="1:9" x14ac:dyDescent="0.45">
      <c r="A413" t="s">
        <v>841</v>
      </c>
      <c r="B413" t="str">
        <f t="shared" si="45"/>
        <v>2012</v>
      </c>
      <c r="C413" t="str">
        <f t="shared" si="46"/>
        <v>Microsoft</v>
      </c>
      <c r="D413" t="str">
        <f t="shared" si="47"/>
        <v>?</v>
      </c>
      <c r="E413" s="3" t="str">
        <f t="shared" si="48"/>
        <v/>
      </c>
      <c r="F413" s="3" t="str">
        <f t="shared" si="49"/>
        <v>.epub</v>
      </c>
      <c r="G413">
        <f t="shared" si="50"/>
        <v>87</v>
      </c>
      <c r="H413" s="3">
        <f>LEN(Table1[[#This Row],[Auteur]])</f>
        <v>1</v>
      </c>
      <c r="I413" s="3" t="str">
        <f t="shared" si="51"/>
        <v>SQL Server 2012 Tutorials, Analysis Services Tabular Modeling</v>
      </c>
    </row>
    <row r="414" spans="1:9" x14ac:dyDescent="0.45">
      <c r="A414" t="s">
        <v>842</v>
      </c>
      <c r="B414" t="str">
        <f t="shared" si="45"/>
        <v>2012</v>
      </c>
      <c r="C414" t="str">
        <f t="shared" si="46"/>
        <v>Microsoft</v>
      </c>
      <c r="D414" t="str">
        <f t="shared" si="47"/>
        <v>?</v>
      </c>
      <c r="E414" s="3" t="str">
        <f t="shared" si="48"/>
        <v/>
      </c>
      <c r="F414" t="str">
        <f t="shared" si="49"/>
        <v>.pdf</v>
      </c>
      <c r="G414">
        <f t="shared" si="50"/>
        <v>86</v>
      </c>
      <c r="H414" s="3">
        <f>LEN(Table1[[#This Row],[Auteur]])</f>
        <v>1</v>
      </c>
      <c r="I414" s="3" t="str">
        <f t="shared" si="51"/>
        <v>SQL Server 2012 Tutorials, Analysis Services Tabular Modeling</v>
      </c>
    </row>
    <row r="415" spans="1:9" x14ac:dyDescent="0.45">
      <c r="A415" t="s">
        <v>843</v>
      </c>
      <c r="B415" t="str">
        <f t="shared" si="45"/>
        <v>2012</v>
      </c>
      <c r="C415" t="str">
        <f t="shared" si="46"/>
        <v>Microsoft</v>
      </c>
      <c r="D415" t="str">
        <f t="shared" si="47"/>
        <v>?</v>
      </c>
      <c r="E415" s="3" t="str">
        <f t="shared" si="48"/>
        <v/>
      </c>
      <c r="F415" t="str">
        <f t="shared" si="49"/>
        <v>.epub</v>
      </c>
      <c r="G415">
        <f t="shared" si="50"/>
        <v>71</v>
      </c>
      <c r="H415" s="3">
        <f>LEN(Table1[[#This Row],[Auteur]])</f>
        <v>1</v>
      </c>
      <c r="I415" s="3" t="str">
        <f t="shared" si="51"/>
        <v>SQL Server 2012 Tutorials, Reporting Services</v>
      </c>
    </row>
    <row r="416" spans="1:9" x14ac:dyDescent="0.45">
      <c r="A416" t="s">
        <v>844</v>
      </c>
      <c r="B416" t="str">
        <f t="shared" si="45"/>
        <v>2012</v>
      </c>
      <c r="C416" t="str">
        <f t="shared" si="46"/>
        <v>Microsoft</v>
      </c>
      <c r="D416" t="str">
        <f t="shared" si="47"/>
        <v>?</v>
      </c>
      <c r="E416" s="3" t="str">
        <f t="shared" si="48"/>
        <v/>
      </c>
      <c r="F416" t="str">
        <f t="shared" si="49"/>
        <v>.pdf</v>
      </c>
      <c r="G416">
        <f t="shared" si="50"/>
        <v>70</v>
      </c>
      <c r="H416" s="3">
        <f>LEN(Table1[[#This Row],[Auteur]])</f>
        <v>1</v>
      </c>
      <c r="I416" s="3" t="str">
        <f t="shared" si="51"/>
        <v>SQL Server 2012 Tutorials, Reporting Services</v>
      </c>
    </row>
    <row r="417" spans="1:9" x14ac:dyDescent="0.45">
      <c r="A417" t="s">
        <v>845</v>
      </c>
      <c r="B417" t="str">
        <f t="shared" si="45"/>
        <v>2012</v>
      </c>
      <c r="C417" t="str">
        <f t="shared" si="46"/>
        <v>Microsoft</v>
      </c>
      <c r="D417" t="str">
        <f t="shared" si="47"/>
        <v>?</v>
      </c>
      <c r="E417" s="3" t="str">
        <f t="shared" si="48"/>
        <v/>
      </c>
      <c r="F417" t="str">
        <f t="shared" si="49"/>
        <v>.epub</v>
      </c>
      <c r="G417">
        <f t="shared" si="50"/>
        <v>84</v>
      </c>
      <c r="H417" s="3">
        <f>LEN(Table1[[#This Row],[Auteur]])</f>
        <v>1</v>
      </c>
      <c r="I417" s="3" t="str">
        <f t="shared" si="51"/>
        <v>SQL Server 2012 Tutorials, Writing Transact SQL Statements</v>
      </c>
    </row>
    <row r="418" spans="1:9" x14ac:dyDescent="0.45">
      <c r="A418" t="s">
        <v>846</v>
      </c>
      <c r="B418" t="str">
        <f t="shared" si="45"/>
        <v>2012</v>
      </c>
      <c r="C418" t="str">
        <f t="shared" si="46"/>
        <v>Microsoft</v>
      </c>
      <c r="D418" t="str">
        <f t="shared" si="47"/>
        <v>?</v>
      </c>
      <c r="E418" s="3" t="str">
        <f t="shared" si="48"/>
        <v/>
      </c>
      <c r="F418" t="str">
        <f t="shared" si="49"/>
        <v>.pdf</v>
      </c>
      <c r="G418">
        <f t="shared" si="50"/>
        <v>83</v>
      </c>
      <c r="H418" s="3">
        <f>LEN(Table1[[#This Row],[Auteur]])</f>
        <v>1</v>
      </c>
      <c r="I418" s="3" t="str">
        <f t="shared" si="51"/>
        <v>SQL Server 2012 Tutorials, Writing Transact SQL Statements</v>
      </c>
    </row>
    <row r="419" spans="1:9" x14ac:dyDescent="0.45">
      <c r="A419" t="s">
        <v>847</v>
      </c>
      <c r="B419" t="str">
        <f t="shared" si="45"/>
        <v>2010</v>
      </c>
      <c r="C419" t="str">
        <f t="shared" si="46"/>
        <v>Microsoft</v>
      </c>
      <c r="D419" t="str">
        <f t="shared" si="47"/>
        <v>?</v>
      </c>
      <c r="E419" s="3" t="str">
        <f t="shared" si="48"/>
        <v>White Paper</v>
      </c>
      <c r="F419" s="3" t="str">
        <f t="shared" si="49"/>
        <v>.epub</v>
      </c>
      <c r="G419" s="3">
        <f t="shared" si="50"/>
        <v>79</v>
      </c>
      <c r="H419" s="3">
        <f>LEN(Table1[[#This Row],[Auteur]])</f>
        <v>1</v>
      </c>
      <c r="I419" s="3" t="str">
        <f t="shared" si="51"/>
        <v>SQL Server 2012 Upgrade Technical Guide</v>
      </c>
    </row>
    <row r="420" spans="1:9" x14ac:dyDescent="0.45">
      <c r="A420" t="s">
        <v>848</v>
      </c>
      <c r="B420" t="str">
        <f t="shared" si="45"/>
        <v>2010</v>
      </c>
      <c r="C420" t="str">
        <f t="shared" si="46"/>
        <v>Microsoft</v>
      </c>
      <c r="D420" t="str">
        <f t="shared" si="47"/>
        <v>?</v>
      </c>
      <c r="E420" s="3" t="str">
        <f t="shared" si="48"/>
        <v>White Paper</v>
      </c>
      <c r="F420" t="str">
        <f t="shared" si="49"/>
        <v>.pdf</v>
      </c>
      <c r="G420">
        <f t="shared" si="50"/>
        <v>78</v>
      </c>
      <c r="H420" s="3">
        <f>LEN(Table1[[#This Row],[Auteur]])</f>
        <v>1</v>
      </c>
      <c r="I420" s="3" t="str">
        <f t="shared" si="51"/>
        <v>SQL Server 2012 Upgrade Technical Guide</v>
      </c>
    </row>
    <row r="421" spans="1:9" x14ac:dyDescent="0.45">
      <c r="A421" t="s">
        <v>849</v>
      </c>
      <c r="B421" t="str">
        <f t="shared" si="45"/>
        <v>2012</v>
      </c>
      <c r="C421" t="str">
        <f t="shared" si="46"/>
        <v>Microsoft</v>
      </c>
      <c r="D421" t="str">
        <f t="shared" si="47"/>
        <v>?</v>
      </c>
      <c r="E421" s="3" t="str">
        <f t="shared" si="48"/>
        <v/>
      </c>
      <c r="F421" s="3" t="str">
        <f t="shared" si="49"/>
        <v>.epub</v>
      </c>
      <c r="G421">
        <f t="shared" si="50"/>
        <v>94</v>
      </c>
      <c r="H421" s="3">
        <f>LEN(Table1[[#This Row],[Auteur]])</f>
        <v>1</v>
      </c>
      <c r="I421" s="3" t="str">
        <f t="shared" si="51"/>
        <v>SQL Server 2012, 5 Tips for a Smooth SSIS Upgrade to SQL Server 2012</v>
      </c>
    </row>
    <row r="422" spans="1:9" x14ac:dyDescent="0.45">
      <c r="A422" t="s">
        <v>850</v>
      </c>
      <c r="B422" t="str">
        <f t="shared" si="45"/>
        <v>2012</v>
      </c>
      <c r="C422" t="str">
        <f t="shared" si="46"/>
        <v>Microsoft</v>
      </c>
      <c r="D422" t="str">
        <f t="shared" si="47"/>
        <v>?</v>
      </c>
      <c r="E422" s="3" t="str">
        <f t="shared" si="48"/>
        <v/>
      </c>
      <c r="F422" t="str">
        <f t="shared" si="49"/>
        <v>.pdf</v>
      </c>
      <c r="G422">
        <f t="shared" si="50"/>
        <v>93</v>
      </c>
      <c r="H422" s="3">
        <f>LEN(Table1[[#This Row],[Auteur]])</f>
        <v>1</v>
      </c>
      <c r="I422" s="3" t="str">
        <f t="shared" si="51"/>
        <v>SQL Server 2012, 5 Tips for a Smooth SSIS Upgrade to SQL Server 2012</v>
      </c>
    </row>
    <row r="423" spans="1:9" x14ac:dyDescent="0.45">
      <c r="A423" t="s">
        <v>851</v>
      </c>
      <c r="B423" t="str">
        <f t="shared" si="45"/>
        <v>2012</v>
      </c>
      <c r="C423" t="str">
        <f t="shared" si="46"/>
        <v>Microsoft</v>
      </c>
      <c r="D423" t="str">
        <f t="shared" si="47"/>
        <v>Leroy Tuttle</v>
      </c>
      <c r="E423" s="3" t="str">
        <f t="shared" si="48"/>
        <v/>
      </c>
      <c r="F423" t="str">
        <f t="shared" si="49"/>
        <v>.epub</v>
      </c>
      <c r="G423">
        <f t="shared" si="50"/>
        <v>126</v>
      </c>
      <c r="H423" s="3">
        <f>LEN(Table1[[#This Row],[Auteur]])</f>
        <v>12</v>
      </c>
      <c r="I423" s="3" t="str">
        <f t="shared" si="51"/>
        <v>SQL Server 2012, AlwaysOn Solutions Guide for High Availability and Disaster Recovery</v>
      </c>
    </row>
    <row r="424" spans="1:9" x14ac:dyDescent="0.45">
      <c r="A424" t="s">
        <v>852</v>
      </c>
      <c r="B424" t="str">
        <f t="shared" si="45"/>
        <v>2012</v>
      </c>
      <c r="C424" t="str">
        <f t="shared" si="46"/>
        <v>Microsoft</v>
      </c>
      <c r="D424" t="str">
        <f t="shared" si="47"/>
        <v>Leroy Tuttle</v>
      </c>
      <c r="E424" s="3" t="str">
        <f t="shared" si="48"/>
        <v/>
      </c>
      <c r="F424" s="3" t="str">
        <f t="shared" si="49"/>
        <v>.pdf</v>
      </c>
      <c r="G424">
        <f t="shared" si="50"/>
        <v>125</v>
      </c>
      <c r="H424" s="3">
        <f>LEN(Table1[[#This Row],[Auteur]])</f>
        <v>12</v>
      </c>
      <c r="I424" s="3" t="str">
        <f t="shared" si="51"/>
        <v>SQL Server 2012, AlwaysOn Solutions Guide for High Availability and Disaster Recovery</v>
      </c>
    </row>
    <row r="425" spans="1:9" x14ac:dyDescent="0.45">
      <c r="A425" t="s">
        <v>853</v>
      </c>
      <c r="B425" t="str">
        <f t="shared" si="45"/>
        <v>?</v>
      </c>
      <c r="C425" t="str">
        <f t="shared" si="46"/>
        <v>Microsoft</v>
      </c>
      <c r="D425" t="str">
        <f t="shared" si="47"/>
        <v>?</v>
      </c>
      <c r="E425" s="3" t="str">
        <f t="shared" si="48"/>
        <v/>
      </c>
      <c r="F425" t="str">
        <f t="shared" si="49"/>
        <v>.epub</v>
      </c>
      <c r="G425">
        <f t="shared" si="50"/>
        <v>78</v>
      </c>
      <c r="H425" s="3">
        <f>LEN(Table1[[#This Row],[Auteur]])</f>
        <v>1</v>
      </c>
      <c r="I425" s="3" t="str">
        <f t="shared" si="51"/>
        <v>SQL Server 2012, Backup and Restore of SQL Server Databases</v>
      </c>
    </row>
    <row r="426" spans="1:9" x14ac:dyDescent="0.45">
      <c r="A426" t="s">
        <v>854</v>
      </c>
      <c r="B426" t="str">
        <f t="shared" si="45"/>
        <v>?</v>
      </c>
      <c r="C426" t="str">
        <f t="shared" si="46"/>
        <v>Microsoft</v>
      </c>
      <c r="D426" t="str">
        <f t="shared" si="47"/>
        <v>?</v>
      </c>
      <c r="E426" s="3" t="str">
        <f t="shared" si="48"/>
        <v/>
      </c>
      <c r="F426" t="str">
        <f t="shared" si="49"/>
        <v>.pdf</v>
      </c>
      <c r="G426">
        <f t="shared" si="50"/>
        <v>77</v>
      </c>
      <c r="H426" s="3">
        <f>LEN(Table1[[#This Row],[Auteur]])</f>
        <v>1</v>
      </c>
      <c r="I426" s="3" t="str">
        <f t="shared" si="51"/>
        <v>SQL Server 2012, Backup and Restore of SQL Server Databases</v>
      </c>
    </row>
    <row r="427" spans="1:9" x14ac:dyDescent="0.45">
      <c r="A427" t="s">
        <v>855</v>
      </c>
      <c r="B427" t="str">
        <f t="shared" si="45"/>
        <v>2012</v>
      </c>
      <c r="C427" t="str">
        <f t="shared" si="46"/>
        <v>Microsoft</v>
      </c>
      <c r="D427" t="str">
        <f t="shared" si="47"/>
        <v>?</v>
      </c>
      <c r="E427" s="3" t="str">
        <f t="shared" si="48"/>
        <v/>
      </c>
      <c r="F427" s="3" t="str">
        <f t="shared" si="49"/>
        <v>.epub</v>
      </c>
      <c r="G427" s="3">
        <f t="shared" si="50"/>
        <v>82</v>
      </c>
      <c r="H427" s="3">
        <f>LEN(Table1[[#This Row],[Auteur]])</f>
        <v>1</v>
      </c>
      <c r="I427" s="3" t="str">
        <f t="shared" si="51"/>
        <v>SQL Server 2012, Data Analysis Expressions DAX Reference</v>
      </c>
    </row>
    <row r="428" spans="1:9" x14ac:dyDescent="0.45">
      <c r="A428" t="s">
        <v>856</v>
      </c>
      <c r="B428" t="str">
        <f t="shared" si="45"/>
        <v>2012</v>
      </c>
      <c r="C428" t="str">
        <f t="shared" si="46"/>
        <v>Microsoft</v>
      </c>
      <c r="D428" t="str">
        <f t="shared" si="47"/>
        <v>?</v>
      </c>
      <c r="E428" s="3" t="str">
        <f t="shared" si="48"/>
        <v/>
      </c>
      <c r="F428" s="3" t="str">
        <f t="shared" si="49"/>
        <v>.pdf</v>
      </c>
      <c r="G428">
        <f t="shared" si="50"/>
        <v>81</v>
      </c>
      <c r="H428" s="3">
        <f>LEN(Table1[[#This Row],[Auteur]])</f>
        <v>1</v>
      </c>
      <c r="I428" s="3" t="str">
        <f t="shared" si="51"/>
        <v>SQL Server 2012, Data Analysis Expressions DAX Reference</v>
      </c>
    </row>
    <row r="429" spans="1:9" x14ac:dyDescent="0.45">
      <c r="A429" t="s">
        <v>857</v>
      </c>
      <c r="B429" t="str">
        <f t="shared" si="45"/>
        <v>2012</v>
      </c>
      <c r="C429" t="str">
        <f t="shared" si="46"/>
        <v>Microsoft</v>
      </c>
      <c r="D429" t="str">
        <f t="shared" si="47"/>
        <v>?</v>
      </c>
      <c r="E429" s="3" t="str">
        <f t="shared" si="48"/>
        <v/>
      </c>
      <c r="F429" t="str">
        <f t="shared" si="49"/>
        <v>.epub</v>
      </c>
      <c r="G429">
        <f t="shared" si="50"/>
        <v>79</v>
      </c>
      <c r="H429" s="3">
        <f>LEN(Table1[[#This Row],[Auteur]])</f>
        <v>1</v>
      </c>
      <c r="I429" s="3" t="str">
        <f t="shared" si="51"/>
        <v>SQL Server 2012, Data Mining Extensions DMX Reference</v>
      </c>
    </row>
    <row r="430" spans="1:9" x14ac:dyDescent="0.45">
      <c r="A430" t="s">
        <v>858</v>
      </c>
      <c r="B430" t="str">
        <f t="shared" si="45"/>
        <v>2012</v>
      </c>
      <c r="C430" t="str">
        <f t="shared" si="46"/>
        <v>Microsoft</v>
      </c>
      <c r="D430" t="str">
        <f t="shared" si="47"/>
        <v>?</v>
      </c>
      <c r="E430" s="3" t="str">
        <f t="shared" si="48"/>
        <v/>
      </c>
      <c r="F430" t="str">
        <f t="shared" si="49"/>
        <v>.pdf</v>
      </c>
      <c r="G430">
        <f t="shared" si="50"/>
        <v>78</v>
      </c>
      <c r="H430" s="3">
        <f>LEN(Table1[[#This Row],[Auteur]])</f>
        <v>1</v>
      </c>
      <c r="I430" s="3" t="str">
        <f t="shared" si="51"/>
        <v>SQL Server 2012, Data Mining Extensions DMX Reference</v>
      </c>
    </row>
    <row r="431" spans="1:9" x14ac:dyDescent="0.45">
      <c r="A431" t="s">
        <v>859</v>
      </c>
      <c r="B431" t="str">
        <f t="shared" si="45"/>
        <v>2012</v>
      </c>
      <c r="C431" t="str">
        <f t="shared" si="46"/>
        <v>Microsoft</v>
      </c>
      <c r="D431" t="str">
        <f t="shared" si="47"/>
        <v>?</v>
      </c>
      <c r="E431" s="3" t="str">
        <f t="shared" si="48"/>
        <v/>
      </c>
      <c r="F431" t="str">
        <f t="shared" si="49"/>
        <v>.epub</v>
      </c>
      <c r="G431">
        <f t="shared" si="50"/>
        <v>64</v>
      </c>
      <c r="H431" s="3">
        <f>LEN(Table1[[#This Row],[Auteur]])</f>
        <v>1</v>
      </c>
      <c r="I431" s="3" t="str">
        <f t="shared" si="51"/>
        <v>SQL Server 2012, Data Quality Services</v>
      </c>
    </row>
    <row r="432" spans="1:9" x14ac:dyDescent="0.45">
      <c r="A432" t="s">
        <v>860</v>
      </c>
      <c r="B432" t="str">
        <f t="shared" si="45"/>
        <v>2012</v>
      </c>
      <c r="C432" t="str">
        <f t="shared" si="46"/>
        <v>Microsoft</v>
      </c>
      <c r="D432" t="str">
        <f t="shared" si="47"/>
        <v>?</v>
      </c>
      <c r="E432" s="3" t="str">
        <f t="shared" si="48"/>
        <v/>
      </c>
      <c r="F432" t="str">
        <f t="shared" si="49"/>
        <v>.pdf</v>
      </c>
      <c r="G432">
        <f t="shared" si="50"/>
        <v>63</v>
      </c>
      <c r="H432" s="3">
        <f>LEN(Table1[[#This Row],[Auteur]])</f>
        <v>1</v>
      </c>
      <c r="I432" s="3" t="str">
        <f t="shared" si="51"/>
        <v>SQL Server 2012, Data Quality Services</v>
      </c>
    </row>
    <row r="433" spans="1:9" x14ac:dyDescent="0.45">
      <c r="A433" t="s">
        <v>861</v>
      </c>
      <c r="B433" t="str">
        <f t="shared" si="45"/>
        <v>?</v>
      </c>
      <c r="C433" t="str">
        <f t="shared" si="46"/>
        <v>Microsoft</v>
      </c>
      <c r="D433" t="str">
        <f t="shared" si="47"/>
        <v>?</v>
      </c>
      <c r="E433" s="3" t="str">
        <f t="shared" si="48"/>
        <v/>
      </c>
      <c r="F433" s="3" t="str">
        <f t="shared" si="49"/>
        <v>.epub</v>
      </c>
      <c r="G433">
        <f t="shared" si="50"/>
        <v>54</v>
      </c>
      <c r="H433" s="3">
        <f>LEN(Table1[[#This Row],[Auteur]])</f>
        <v>1</v>
      </c>
      <c r="I433" s="3" t="str">
        <f t="shared" si="51"/>
        <v>SQL Server 2012, Distributed Replay</v>
      </c>
    </row>
    <row r="434" spans="1:9" x14ac:dyDescent="0.45">
      <c r="A434" t="s">
        <v>862</v>
      </c>
      <c r="B434" t="str">
        <f t="shared" si="45"/>
        <v>?</v>
      </c>
      <c r="C434" t="str">
        <f t="shared" si="46"/>
        <v>Microsoft</v>
      </c>
      <c r="D434" t="str">
        <f t="shared" si="47"/>
        <v>?</v>
      </c>
      <c r="E434" s="3" t="str">
        <f t="shared" si="48"/>
        <v/>
      </c>
      <c r="F434" t="str">
        <f t="shared" si="49"/>
        <v>.pdf</v>
      </c>
      <c r="G434">
        <f t="shared" si="50"/>
        <v>53</v>
      </c>
      <c r="H434" s="3">
        <f>LEN(Table1[[#This Row],[Auteur]])</f>
        <v>1</v>
      </c>
      <c r="I434" s="3" t="str">
        <f t="shared" si="51"/>
        <v>SQL Server 2012, Distributed Replay</v>
      </c>
    </row>
    <row r="435" spans="1:9" hidden="1" x14ac:dyDescent="0.45">
      <c r="A435" t="s">
        <v>863</v>
      </c>
      <c r="B435" t="str">
        <f t="shared" si="45"/>
        <v>2012</v>
      </c>
      <c r="C435" t="str">
        <f t="shared" si="46"/>
        <v>Microsoft</v>
      </c>
      <c r="D435" t="str">
        <f t="shared" si="47"/>
        <v>?</v>
      </c>
      <c r="E435" s="3" t="str">
        <f t="shared" si="48"/>
        <v/>
      </c>
      <c r="F435" s="3" t="str">
        <f t="shared" si="49"/>
        <v>.epub</v>
      </c>
      <c r="G435" s="3">
        <f t="shared" si="50"/>
        <v>70</v>
      </c>
      <c r="H435" s="3">
        <f>LEN(Table1[[#This Row],[Auteur]])</f>
        <v>1</v>
      </c>
      <c r="I435" s="3" t="str">
        <f t="shared" ref="I435:I449" si="52">Title(A435)</f>
        <v>SQL Server 2012, High Availability Solutions</v>
      </c>
    </row>
    <row r="436" spans="1:9" x14ac:dyDescent="0.45">
      <c r="A436" t="s">
        <v>864</v>
      </c>
      <c r="B436" t="str">
        <f t="shared" si="45"/>
        <v>2012</v>
      </c>
      <c r="C436" t="str">
        <f t="shared" si="46"/>
        <v>Microsoft</v>
      </c>
      <c r="D436" t="str">
        <f t="shared" si="47"/>
        <v>?</v>
      </c>
      <c r="E436" s="3" t="str">
        <f t="shared" si="48"/>
        <v/>
      </c>
      <c r="F436" t="str">
        <f t="shared" si="49"/>
        <v>.pdf</v>
      </c>
      <c r="G436">
        <f t="shared" si="50"/>
        <v>69</v>
      </c>
      <c r="H436" s="3">
        <f>LEN(Table1[[#This Row],[Auteur]])</f>
        <v>1</v>
      </c>
      <c r="I436" s="3" t="str">
        <f t="shared" si="52"/>
        <v>SQL Server 2012, High Availability Solutions</v>
      </c>
    </row>
    <row r="437" spans="1:9" x14ac:dyDescent="0.45">
      <c r="A437" t="s">
        <v>865</v>
      </c>
      <c r="B437" t="str">
        <f t="shared" si="45"/>
        <v>2013</v>
      </c>
      <c r="C437" t="str">
        <f t="shared" si="46"/>
        <v>Microsoft</v>
      </c>
      <c r="D437" t="str">
        <f t="shared" si="47"/>
        <v>?</v>
      </c>
      <c r="E437" s="3" t="str">
        <f t="shared" si="48"/>
        <v/>
      </c>
      <c r="F437" t="str">
        <f t="shared" si="49"/>
        <v>.epub</v>
      </c>
      <c r="G437">
        <f t="shared" si="50"/>
        <v>98</v>
      </c>
      <c r="H437" s="3">
        <f>LEN(Table1[[#This Row],[Auteur]])</f>
        <v>1</v>
      </c>
      <c r="I437" s="3" t="str">
        <f t="shared" si="52"/>
        <v>SQL Server 2012, Integration Services, Extending Packages with Scripting</v>
      </c>
    </row>
    <row r="438" spans="1:9" x14ac:dyDescent="0.45">
      <c r="A438" t="s">
        <v>866</v>
      </c>
      <c r="B438" t="str">
        <f t="shared" si="45"/>
        <v>2013</v>
      </c>
      <c r="C438" t="str">
        <f t="shared" si="46"/>
        <v>Microsoft</v>
      </c>
      <c r="D438" t="str">
        <f t="shared" si="47"/>
        <v>?</v>
      </c>
      <c r="E438" s="3" t="str">
        <f t="shared" si="48"/>
        <v/>
      </c>
      <c r="F438" t="str">
        <f t="shared" si="49"/>
        <v>.pdf</v>
      </c>
      <c r="G438">
        <f t="shared" si="50"/>
        <v>97</v>
      </c>
      <c r="H438" s="3">
        <f>LEN(Table1[[#This Row],[Auteur]])</f>
        <v>1</v>
      </c>
      <c r="I438" s="3" t="str">
        <f t="shared" si="52"/>
        <v>SQL Server 2012, Integration Services, Extending Packages with Scripting</v>
      </c>
    </row>
    <row r="439" spans="1:9" x14ac:dyDescent="0.45">
      <c r="A439" t="s">
        <v>867</v>
      </c>
      <c r="B439" t="str">
        <f t="shared" si="45"/>
        <v>2012</v>
      </c>
      <c r="C439" t="str">
        <f t="shared" si="46"/>
        <v>Microsoft</v>
      </c>
      <c r="D439" t="str">
        <f t="shared" si="47"/>
        <v>?</v>
      </c>
      <c r="E439" s="3" t="str">
        <f t="shared" si="48"/>
        <v/>
      </c>
      <c r="F439" t="str">
        <f t="shared" si="49"/>
        <v>.epub</v>
      </c>
      <c r="G439">
        <f t="shared" si="50"/>
        <v>75</v>
      </c>
      <c r="H439" s="3">
        <f>LEN(Table1[[#This Row],[Auteur]])</f>
        <v>1</v>
      </c>
      <c r="I439" s="3" t="str">
        <f t="shared" si="52"/>
        <v>SQL Server 2012, Monitor and Tune for Performance</v>
      </c>
    </row>
    <row r="440" spans="1:9" x14ac:dyDescent="0.45">
      <c r="A440" t="s">
        <v>868</v>
      </c>
      <c r="B440" t="str">
        <f t="shared" si="45"/>
        <v>2012</v>
      </c>
      <c r="C440" t="str">
        <f t="shared" si="46"/>
        <v>Microsoft</v>
      </c>
      <c r="D440" t="str">
        <f t="shared" si="47"/>
        <v>?</v>
      </c>
      <c r="E440" s="3" t="str">
        <f t="shared" si="48"/>
        <v/>
      </c>
      <c r="F440" t="str">
        <f t="shared" si="49"/>
        <v>.pdf</v>
      </c>
      <c r="G440">
        <f t="shared" si="50"/>
        <v>74</v>
      </c>
      <c r="H440" s="3">
        <f>LEN(Table1[[#This Row],[Auteur]])</f>
        <v>1</v>
      </c>
      <c r="I440" s="3" t="str">
        <f t="shared" si="52"/>
        <v>SQL Server 2012, Monitor and Tune for Performance</v>
      </c>
    </row>
    <row r="441" spans="1:9" x14ac:dyDescent="0.45">
      <c r="A441" t="s">
        <v>869</v>
      </c>
      <c r="B441" t="str">
        <f t="shared" si="45"/>
        <v>2010</v>
      </c>
      <c r="C441" t="str">
        <f t="shared" si="46"/>
        <v>Microsoft</v>
      </c>
      <c r="D441" t="str">
        <f t="shared" si="47"/>
        <v>?</v>
      </c>
      <c r="E441" s="3" t="str">
        <f t="shared" si="48"/>
        <v/>
      </c>
      <c r="F441" t="str">
        <f t="shared" si="49"/>
        <v>.epub</v>
      </c>
      <c r="G441">
        <f t="shared" si="50"/>
        <v>85</v>
      </c>
      <c r="H441" s="3">
        <f>LEN(Table1[[#This Row],[Auteur]])</f>
        <v>1</v>
      </c>
      <c r="I441" s="3" t="str">
        <f t="shared" si="52"/>
        <v>SQL Server 2012, Multidimensional Expressions MDX Reference</v>
      </c>
    </row>
    <row r="442" spans="1:9" x14ac:dyDescent="0.45">
      <c r="A442" t="s">
        <v>870</v>
      </c>
      <c r="B442" t="str">
        <f t="shared" si="45"/>
        <v>2010</v>
      </c>
      <c r="C442" t="str">
        <f t="shared" si="46"/>
        <v>Microsoft</v>
      </c>
      <c r="D442" t="str">
        <f t="shared" si="47"/>
        <v>?</v>
      </c>
      <c r="E442" s="3" t="str">
        <f t="shared" si="48"/>
        <v/>
      </c>
      <c r="F442" s="3" t="str">
        <f t="shared" si="49"/>
        <v>.pdf</v>
      </c>
      <c r="G442">
        <f t="shared" si="50"/>
        <v>84</v>
      </c>
      <c r="H442" s="3">
        <f>LEN(Table1[[#This Row],[Auteur]])</f>
        <v>1</v>
      </c>
      <c r="I442" s="3" t="str">
        <f t="shared" si="52"/>
        <v>SQL Server 2012, Multidimensional Expressions MDX Reference</v>
      </c>
    </row>
    <row r="443" spans="1:9" x14ac:dyDescent="0.45">
      <c r="A443" t="s">
        <v>871</v>
      </c>
      <c r="B443" t="str">
        <f t="shared" si="45"/>
        <v>2012</v>
      </c>
      <c r="C443" t="str">
        <f t="shared" si="46"/>
        <v>Microsoft</v>
      </c>
      <c r="D443" t="str">
        <f t="shared" si="47"/>
        <v>?</v>
      </c>
      <c r="E443" s="3" t="str">
        <f t="shared" si="48"/>
        <v/>
      </c>
      <c r="F443" s="3" t="str">
        <f t="shared" si="49"/>
        <v>.epub</v>
      </c>
      <c r="G443">
        <f t="shared" si="50"/>
        <v>77</v>
      </c>
      <c r="H443" s="3">
        <f>LEN(Table1[[#This Row],[Auteur]])</f>
        <v>1</v>
      </c>
      <c r="I443" s="3" t="str">
        <f t="shared" si="52"/>
        <v>SQL Server 2012, Multidimensional Model Programming</v>
      </c>
    </row>
    <row r="444" spans="1:9" x14ac:dyDescent="0.45">
      <c r="A444" t="s">
        <v>872</v>
      </c>
      <c r="B444" t="str">
        <f t="shared" si="45"/>
        <v>2012</v>
      </c>
      <c r="C444" t="str">
        <f t="shared" si="46"/>
        <v>Microsoft</v>
      </c>
      <c r="D444" t="str">
        <f t="shared" si="47"/>
        <v>?</v>
      </c>
      <c r="E444" s="3" t="str">
        <f t="shared" si="48"/>
        <v/>
      </c>
      <c r="F444" s="3" t="str">
        <f t="shared" si="49"/>
        <v>.pdf</v>
      </c>
      <c r="G444" s="3">
        <f t="shared" si="50"/>
        <v>76</v>
      </c>
      <c r="H444" s="3">
        <f>LEN(Table1[[#This Row],[Auteur]])</f>
        <v>1</v>
      </c>
      <c r="I444" s="3" t="str">
        <f t="shared" si="52"/>
        <v>SQL Server 2012, Multidimensional Model Programming</v>
      </c>
    </row>
    <row r="445" spans="1:9" x14ac:dyDescent="0.45">
      <c r="A445" t="s">
        <v>873</v>
      </c>
      <c r="B445" t="str">
        <f t="shared" si="45"/>
        <v>2012</v>
      </c>
      <c r="C445" t="str">
        <f t="shared" si="46"/>
        <v>Microsoft</v>
      </c>
      <c r="D445" t="str">
        <f t="shared" si="47"/>
        <v>Carla Sabotta, Debarchan Sarkar</v>
      </c>
      <c r="E445" s="3" t="str">
        <f t="shared" si="48"/>
        <v/>
      </c>
      <c r="F445" t="str">
        <f t="shared" si="49"/>
        <v>.epub</v>
      </c>
      <c r="G445">
        <f t="shared" si="50"/>
        <v>116</v>
      </c>
      <c r="H445" s="3">
        <f>LEN(Table1[[#This Row],[Auteur]])</f>
        <v>31</v>
      </c>
      <c r="I445" s="3" t="str">
        <f t="shared" si="52"/>
        <v>SQL Server 2012, Optimized Bulk Loading Data into Oracle</v>
      </c>
    </row>
    <row r="446" spans="1:9" x14ac:dyDescent="0.45">
      <c r="A446" t="s">
        <v>874</v>
      </c>
      <c r="B446" t="str">
        <f t="shared" si="45"/>
        <v>2012</v>
      </c>
      <c r="C446" t="str">
        <f t="shared" si="46"/>
        <v>Microsoft</v>
      </c>
      <c r="D446" t="str">
        <f t="shared" si="47"/>
        <v>Carla Sabotta, Debarchan Sarkar</v>
      </c>
      <c r="E446" s="3" t="str">
        <f t="shared" si="48"/>
        <v/>
      </c>
      <c r="F446" s="3" t="str">
        <f t="shared" si="49"/>
        <v>.pdf</v>
      </c>
      <c r="G446">
        <f t="shared" si="50"/>
        <v>115</v>
      </c>
      <c r="H446" s="3">
        <f>LEN(Table1[[#This Row],[Auteur]])</f>
        <v>31</v>
      </c>
      <c r="I446" s="3" t="str">
        <f t="shared" si="52"/>
        <v>SQL Server 2012, Optimized Bulk Loading Data into Oracle</v>
      </c>
    </row>
    <row r="447" spans="1:9" x14ac:dyDescent="0.45">
      <c r="A447" t="s">
        <v>875</v>
      </c>
      <c r="B447" t="str">
        <f t="shared" si="45"/>
        <v>2012</v>
      </c>
      <c r="C447" t="str">
        <f t="shared" si="46"/>
        <v>Microsoft</v>
      </c>
      <c r="D447" t="str">
        <f t="shared" si="47"/>
        <v>Jaime Tarquino</v>
      </c>
      <c r="E447" s="3" t="str">
        <f t="shared" si="48"/>
        <v/>
      </c>
      <c r="F447" s="3" t="str">
        <f t="shared" si="49"/>
        <v>.epub</v>
      </c>
      <c r="G447">
        <f t="shared" si="50"/>
        <v>147</v>
      </c>
      <c r="H447" s="3">
        <f>LEN(Table1[[#This Row],[Auteur]])</f>
        <v>14</v>
      </c>
      <c r="I447" s="3" t="str">
        <f t="shared" si="52"/>
        <v>SQL Server 2012, Planning Disaster Recovery for SQL Server Reporting Services SharePoint Integrated Mode</v>
      </c>
    </row>
    <row r="448" spans="1:9" x14ac:dyDescent="0.45">
      <c r="A448" t="s">
        <v>876</v>
      </c>
      <c r="B448" t="str">
        <f t="shared" si="45"/>
        <v>2012</v>
      </c>
      <c r="C448" t="str">
        <f t="shared" si="46"/>
        <v>Microsoft</v>
      </c>
      <c r="D448" t="str">
        <f t="shared" si="47"/>
        <v>Jaime Tarquino</v>
      </c>
      <c r="E448" s="3" t="str">
        <f t="shared" si="48"/>
        <v/>
      </c>
      <c r="F448" t="str">
        <f t="shared" si="49"/>
        <v>.pdf</v>
      </c>
      <c r="G448">
        <f t="shared" si="50"/>
        <v>146</v>
      </c>
      <c r="H448" s="3">
        <f>LEN(Table1[[#This Row],[Auteur]])</f>
        <v>14</v>
      </c>
      <c r="I448" s="3" t="str">
        <f t="shared" si="52"/>
        <v>SQL Server 2012, Planning Disaster Recovery for SQL Server Reporting Services SharePoint Integrated Mode</v>
      </c>
    </row>
    <row r="449" spans="1:9" x14ac:dyDescent="0.45">
      <c r="A449" t="s">
        <v>877</v>
      </c>
      <c r="B449" t="str">
        <f t="shared" si="45"/>
        <v>?</v>
      </c>
      <c r="C449" t="str">
        <f t="shared" si="46"/>
        <v>Microsoft</v>
      </c>
      <c r="D449" t="str">
        <f t="shared" si="47"/>
        <v>?</v>
      </c>
      <c r="E449" s="3" t="str">
        <f t="shared" si="48"/>
        <v/>
      </c>
      <c r="F449" s="3" t="str">
        <f t="shared" si="49"/>
        <v>.epub</v>
      </c>
      <c r="G449">
        <f t="shared" si="50"/>
        <v>87</v>
      </c>
      <c r="H449" s="3">
        <f>LEN(Table1[[#This Row],[Auteur]])</f>
        <v>1</v>
      </c>
      <c r="I449" s="3" t="str">
        <f t="shared" si="52"/>
        <v>SQL Server 2012, Transact SQL Data Definition Language DDL Reference</v>
      </c>
    </row>
    <row r="450" spans="1:9" x14ac:dyDescent="0.45">
      <c r="A450" t="s">
        <v>878</v>
      </c>
      <c r="B450" t="str">
        <f t="shared" ref="B450:B513" si="53">DatePub(A450)</f>
        <v>?</v>
      </c>
      <c r="C450" t="str">
        <f t="shared" ref="C450:C513" si="54">Editeur(A450)</f>
        <v>Microsoft</v>
      </c>
      <c r="D450" t="str">
        <f t="shared" ref="D450:D513" si="55">Auteur(A450)</f>
        <v>?</v>
      </c>
      <c r="E450" s="3" t="str">
        <f t="shared" ref="E450:E513" si="56">ExtraInfo(A450)</f>
        <v/>
      </c>
      <c r="F450" t="str">
        <f t="shared" ref="F450:F513" si="57">Extension(A450)</f>
        <v>.pdf</v>
      </c>
      <c r="G450">
        <f t="shared" ref="G450:G513" si="58">LenFileName(A450)</f>
        <v>86</v>
      </c>
      <c r="H450" s="3">
        <f>LEN(Table1[[#This Row],[Auteur]])</f>
        <v>1</v>
      </c>
      <c r="I450" s="3" t="str">
        <f t="shared" ref="I450:I509" si="59">Title(A450)</f>
        <v>SQL Server 2012, Transact SQL Data Definition Language DDL Reference</v>
      </c>
    </row>
    <row r="451" spans="1:9" x14ac:dyDescent="0.45">
      <c r="A451" t="s">
        <v>879</v>
      </c>
      <c r="B451" t="str">
        <f t="shared" si="53"/>
        <v>2012</v>
      </c>
      <c r="C451" t="str">
        <f t="shared" si="54"/>
        <v>Microsoft</v>
      </c>
      <c r="D451" t="str">
        <f t="shared" si="55"/>
        <v>?</v>
      </c>
      <c r="E451" s="3" t="str">
        <f t="shared" si="56"/>
        <v/>
      </c>
      <c r="F451" t="str">
        <f t="shared" si="57"/>
        <v>.epub</v>
      </c>
      <c r="G451">
        <f t="shared" si="58"/>
        <v>69</v>
      </c>
      <c r="H451" s="3">
        <f>LEN(Table1[[#This Row],[Auteur]])</f>
        <v>1</v>
      </c>
      <c r="I451" s="3" t="str">
        <f t="shared" si="59"/>
        <v>SQL Server 2012, Transact SQL DML Reference</v>
      </c>
    </row>
    <row r="452" spans="1:9" x14ac:dyDescent="0.45">
      <c r="A452" t="s">
        <v>880</v>
      </c>
      <c r="B452" t="str">
        <f t="shared" si="53"/>
        <v>2012</v>
      </c>
      <c r="C452" t="str">
        <f t="shared" si="54"/>
        <v>Microsoft</v>
      </c>
      <c r="D452" t="str">
        <f t="shared" si="55"/>
        <v>?</v>
      </c>
      <c r="E452" s="3" t="str">
        <f t="shared" si="56"/>
        <v/>
      </c>
      <c r="F452" t="str">
        <f t="shared" si="57"/>
        <v>.pdf</v>
      </c>
      <c r="G452">
        <f t="shared" si="58"/>
        <v>68</v>
      </c>
      <c r="H452" s="3">
        <f>LEN(Table1[[#This Row],[Auteur]])</f>
        <v>1</v>
      </c>
      <c r="I452" s="3" t="str">
        <f t="shared" si="59"/>
        <v>SQL Server 2012, Transact SQL DML Reference</v>
      </c>
    </row>
    <row r="453" spans="1:9" x14ac:dyDescent="0.45">
      <c r="A453" t="s">
        <v>881</v>
      </c>
      <c r="B453" t="str">
        <f t="shared" si="53"/>
        <v>2012</v>
      </c>
      <c r="C453" t="str">
        <f t="shared" si="54"/>
        <v>Microsoft</v>
      </c>
      <c r="D453" t="str">
        <f t="shared" si="55"/>
        <v>?</v>
      </c>
      <c r="E453" s="3" t="str">
        <f t="shared" si="56"/>
        <v/>
      </c>
      <c r="F453" t="str">
        <f t="shared" si="57"/>
        <v>.epub</v>
      </c>
      <c r="G453">
        <f t="shared" si="58"/>
        <v>68</v>
      </c>
      <c r="H453" s="3">
        <f>LEN(Table1[[#This Row],[Auteur]])</f>
        <v>1</v>
      </c>
      <c r="I453" s="3" t="str">
        <f t="shared" si="59"/>
        <v>SQL Server 2012, XQuery Language Reference</v>
      </c>
    </row>
    <row r="454" spans="1:9" x14ac:dyDescent="0.45">
      <c r="A454" t="s">
        <v>882</v>
      </c>
      <c r="B454" t="str">
        <f t="shared" si="53"/>
        <v>2012</v>
      </c>
      <c r="C454" t="str">
        <f t="shared" si="54"/>
        <v>Microsoft</v>
      </c>
      <c r="D454" t="str">
        <f t="shared" si="55"/>
        <v>?</v>
      </c>
      <c r="E454" s="3" t="str">
        <f t="shared" si="56"/>
        <v/>
      </c>
      <c r="F454" t="str">
        <f t="shared" si="57"/>
        <v>.pdf</v>
      </c>
      <c r="G454">
        <f t="shared" si="58"/>
        <v>67</v>
      </c>
      <c r="H454" s="3">
        <f>LEN(Table1[[#This Row],[Auteur]])</f>
        <v>1</v>
      </c>
      <c r="I454" s="3" t="str">
        <f t="shared" si="59"/>
        <v>SQL Server 2012, XQuery Language Reference</v>
      </c>
    </row>
    <row r="455" spans="1:9" x14ac:dyDescent="0.45">
      <c r="A455" t="s">
        <v>883</v>
      </c>
      <c r="B455" t="str">
        <f t="shared" si="53"/>
        <v>2014</v>
      </c>
      <c r="C455" t="str">
        <f t="shared" si="54"/>
        <v>Microsoft</v>
      </c>
      <c r="D455" t="str">
        <f t="shared" si="55"/>
        <v>Sandeep Kumar</v>
      </c>
      <c r="E455" s="3" t="str">
        <f t="shared" si="56"/>
        <v/>
      </c>
      <c r="F455" t="str">
        <f t="shared" si="57"/>
        <v>.pdf</v>
      </c>
      <c r="G455">
        <f t="shared" si="58"/>
        <v>84</v>
      </c>
      <c r="H455" s="3">
        <f>LEN(Table1[[#This Row],[Auteur]])</f>
        <v>13</v>
      </c>
      <c r="I455" s="3" t="str">
        <f t="shared" si="59"/>
        <v>SQL Server 2014, Database Backup Encryption</v>
      </c>
    </row>
    <row r="456" spans="1:9" x14ac:dyDescent="0.45">
      <c r="A456" t="s">
        <v>884</v>
      </c>
      <c r="B456" t="str">
        <f t="shared" si="53"/>
        <v>2014</v>
      </c>
      <c r="C456" t="str">
        <f t="shared" si="54"/>
        <v>Microsoft</v>
      </c>
      <c r="D456" t="str">
        <f t="shared" si="55"/>
        <v>Kalen Delaney</v>
      </c>
      <c r="E456" s="3" t="str">
        <f t="shared" si="56"/>
        <v/>
      </c>
      <c r="F456" s="3" t="str">
        <f t="shared" si="57"/>
        <v>.pdf</v>
      </c>
      <c r="G456">
        <f t="shared" si="58"/>
        <v>88</v>
      </c>
      <c r="H456" s="3">
        <f>LEN(Table1[[#This Row],[Auteur]])</f>
        <v>13</v>
      </c>
      <c r="I456" s="3" t="str">
        <f t="shared" si="59"/>
        <v>SQL Server 2014, In Memory OLTP TDM White Paper</v>
      </c>
    </row>
    <row r="457" spans="1:9" x14ac:dyDescent="0.45">
      <c r="A457" t="s">
        <v>885</v>
      </c>
      <c r="B457" t="str">
        <f t="shared" si="53"/>
        <v>2012</v>
      </c>
      <c r="C457" t="str">
        <f t="shared" si="54"/>
        <v>Microsoft</v>
      </c>
      <c r="D457" t="str">
        <f t="shared" si="55"/>
        <v>Thomas Kejser and Denny Lee</v>
      </c>
      <c r="E457" s="3" t="str">
        <f t="shared" si="56"/>
        <v/>
      </c>
      <c r="F457" t="str">
        <f t="shared" si="57"/>
        <v>.epub</v>
      </c>
      <c r="G457">
        <f t="shared" si="58"/>
        <v>134</v>
      </c>
      <c r="H457" s="3">
        <f>LEN(Table1[[#This Row],[Auteur]])</f>
        <v>27</v>
      </c>
      <c r="I457" s="3" t="str">
        <f t="shared" si="59"/>
        <v>SQL Server Analysis Services Multidimensional Performance and Operations Guide</v>
      </c>
    </row>
    <row r="458" spans="1:9" x14ac:dyDescent="0.45">
      <c r="A458" t="s">
        <v>886</v>
      </c>
      <c r="B458" t="str">
        <f t="shared" si="53"/>
        <v>2012</v>
      </c>
      <c r="C458" t="str">
        <f t="shared" si="54"/>
        <v>Microsoft</v>
      </c>
      <c r="D458" t="str">
        <f t="shared" si="55"/>
        <v>Thomas Kejser and Denny Lee</v>
      </c>
      <c r="E458" s="3" t="str">
        <f t="shared" si="56"/>
        <v/>
      </c>
      <c r="F458" t="str">
        <f t="shared" si="57"/>
        <v>.pdf</v>
      </c>
      <c r="G458">
        <f t="shared" si="58"/>
        <v>133</v>
      </c>
      <c r="H458" s="3">
        <f>LEN(Table1[[#This Row],[Auteur]])</f>
        <v>27</v>
      </c>
      <c r="I458" s="3" t="str">
        <f t="shared" si="59"/>
        <v>SQL Server Analysis Services Multidimensional Performance and Operations Guide</v>
      </c>
    </row>
    <row r="459" spans="1:9" x14ac:dyDescent="0.45">
      <c r="A459" t="s">
        <v>887</v>
      </c>
      <c r="B459" t="str">
        <f t="shared" si="53"/>
        <v>2013</v>
      </c>
      <c r="C459" t="str">
        <f t="shared" si="54"/>
        <v>Microsoft</v>
      </c>
      <c r="D459" t="str">
        <f t="shared" si="55"/>
        <v>?</v>
      </c>
      <c r="E459" s="3" t="str">
        <f t="shared" si="56"/>
        <v/>
      </c>
      <c r="F459" s="3" t="str">
        <f t="shared" si="57"/>
        <v>.epub</v>
      </c>
      <c r="G459">
        <f t="shared" si="58"/>
        <v>58</v>
      </c>
      <c r="H459" s="3">
        <f>LEN(Table1[[#This Row],[Auteur]])</f>
        <v>1</v>
      </c>
      <c r="I459" s="3" t="str">
        <f t="shared" si="59"/>
        <v>SQL Server Community FAQs Manual</v>
      </c>
    </row>
    <row r="460" spans="1:9" x14ac:dyDescent="0.45">
      <c r="A460" t="s">
        <v>888</v>
      </c>
      <c r="B460" t="str">
        <f t="shared" si="53"/>
        <v>2013</v>
      </c>
      <c r="C460" t="str">
        <f t="shared" si="54"/>
        <v>Microsoft</v>
      </c>
      <c r="D460" t="str">
        <f t="shared" si="55"/>
        <v>?</v>
      </c>
      <c r="E460" s="3" t="str">
        <f t="shared" si="56"/>
        <v/>
      </c>
      <c r="F460" t="str">
        <f t="shared" si="57"/>
        <v>.pdf</v>
      </c>
      <c r="G460">
        <f t="shared" si="58"/>
        <v>57</v>
      </c>
      <c r="H460" s="3">
        <f>LEN(Table1[[#This Row],[Auteur]])</f>
        <v>1</v>
      </c>
      <c r="I460" s="3" t="str">
        <f t="shared" si="59"/>
        <v>SQL Server Community FAQs Manual</v>
      </c>
    </row>
    <row r="461" spans="1:9" x14ac:dyDescent="0.45">
      <c r="A461" t="s">
        <v>889</v>
      </c>
      <c r="B461" t="str">
        <f t="shared" si="53"/>
        <v>2014</v>
      </c>
      <c r="C461" t="str">
        <f t="shared" si="54"/>
        <v>Microsoft</v>
      </c>
      <c r="D461" t="str">
        <f t="shared" si="55"/>
        <v>Vijay Rodrigues</v>
      </c>
      <c r="E461" s="3" t="str">
        <f t="shared" si="56"/>
        <v/>
      </c>
      <c r="F461" t="str">
        <f t="shared" si="57"/>
        <v>.pdf</v>
      </c>
      <c r="G461">
        <f t="shared" si="58"/>
        <v>78</v>
      </c>
      <c r="H461" s="3">
        <f>LEN(Table1[[#This Row],[Auteur]])</f>
        <v>15</v>
      </c>
      <c r="I461" s="3" t="str">
        <f t="shared" si="59"/>
        <v>Troubleshooting SQL Server AlwaysOn</v>
      </c>
    </row>
    <row r="462" spans="1:9" x14ac:dyDescent="0.45">
      <c r="A462" t="s">
        <v>890</v>
      </c>
      <c r="B462" t="str">
        <f t="shared" si="53"/>
        <v>2012</v>
      </c>
      <c r="C462" t="str">
        <f t="shared" si="54"/>
        <v>Le site du zéro</v>
      </c>
      <c r="D462" t="str">
        <f t="shared" si="55"/>
        <v>Chantal Gribaumont</v>
      </c>
      <c r="E462" s="3" t="str">
        <f t="shared" si="56"/>
        <v/>
      </c>
      <c r="F462" s="3" t="str">
        <f t="shared" si="57"/>
        <v>.pdf</v>
      </c>
      <c r="G462">
        <f t="shared" si="58"/>
        <v>95</v>
      </c>
      <c r="H462" s="3">
        <f>LEN(Table1[[#This Row],[Auteur]])</f>
        <v>18</v>
      </c>
      <c r="I462" s="3" t="str">
        <f t="shared" si="59"/>
        <v>Administrez vos bases de données avec MySQL</v>
      </c>
    </row>
    <row r="463" spans="1:9" x14ac:dyDescent="0.45">
      <c r="A463" t="s">
        <v>891</v>
      </c>
      <c r="B463" t="str">
        <f t="shared" si="53"/>
        <v>2006</v>
      </c>
      <c r="C463" t="str">
        <f t="shared" si="54"/>
        <v>Eyrolles</v>
      </c>
      <c r="D463" t="str">
        <f t="shared" si="55"/>
        <v>Christian Soutou</v>
      </c>
      <c r="E463" s="3" t="str">
        <f t="shared" si="56"/>
        <v/>
      </c>
      <c r="F463" t="str">
        <f t="shared" si="57"/>
        <v>.pdf</v>
      </c>
      <c r="G463">
        <f t="shared" si="58"/>
        <v>67</v>
      </c>
      <c r="H463" s="3">
        <f>LEN(Table1[[#This Row],[Auteur]])</f>
        <v>16</v>
      </c>
      <c r="I463" s="3" t="str">
        <f t="shared" si="59"/>
        <v>Apprendre SQL avec MySQL</v>
      </c>
    </row>
    <row r="464" spans="1:9" x14ac:dyDescent="0.45">
      <c r="A464" t="s">
        <v>892</v>
      </c>
      <c r="B464" t="str">
        <f t="shared" si="53"/>
        <v>2010</v>
      </c>
      <c r="C464" t="str">
        <f t="shared" si="54"/>
        <v>Apress</v>
      </c>
      <c r="D464" t="str">
        <f t="shared" si="55"/>
        <v>W. Jason Gilmore</v>
      </c>
      <c r="E464" s="3" t="str">
        <f t="shared" si="56"/>
        <v/>
      </c>
      <c r="F464" t="str">
        <f t="shared" si="57"/>
        <v>.pdf</v>
      </c>
      <c r="G464">
        <f t="shared" si="58"/>
        <v>72</v>
      </c>
      <c r="H464" s="3">
        <f>LEN(Table1[[#This Row],[Auteur]])</f>
        <v>16</v>
      </c>
      <c r="I464" s="3" t="str">
        <f t="shared" si="59"/>
        <v>Beginning PHP and MySQL</v>
      </c>
    </row>
    <row r="465" spans="1:9" x14ac:dyDescent="0.45">
      <c r="A465" t="s">
        <v>893</v>
      </c>
      <c r="B465" t="str">
        <f t="shared" si="53"/>
        <v>2010</v>
      </c>
      <c r="C465" t="str">
        <f t="shared" si="54"/>
        <v>Wiley</v>
      </c>
      <c r="D465" t="str">
        <f t="shared" si="55"/>
        <v>Boronczyk, Naramore, Gerner et al</v>
      </c>
      <c r="E465" s="3" t="str">
        <f t="shared" si="56"/>
        <v/>
      </c>
      <c r="F465" t="str">
        <f t="shared" si="57"/>
        <v>.pdf</v>
      </c>
      <c r="G465">
        <f t="shared" si="58"/>
        <v>102</v>
      </c>
      <c r="H465" s="3">
        <f>LEN(Table1[[#This Row],[Auteur]])</f>
        <v>33</v>
      </c>
      <c r="I465" s="3" t="str">
        <f t="shared" si="59"/>
        <v>Beginning PHP6, Apache, MySQL Web Development</v>
      </c>
    </row>
    <row r="466" spans="1:9" x14ac:dyDescent="0.45">
      <c r="A466" t="s">
        <v>894</v>
      </c>
      <c r="B466" t="str">
        <f t="shared" si="53"/>
        <v>2009</v>
      </c>
      <c r="C466" t="str">
        <f t="shared" si="54"/>
        <v>Sitepoint</v>
      </c>
      <c r="D466" t="str">
        <f t="shared" si="55"/>
        <v>Kevin Yank</v>
      </c>
      <c r="E466" s="3" t="str">
        <f t="shared" si="56"/>
        <v/>
      </c>
      <c r="F466" s="3" t="str">
        <f t="shared" si="57"/>
        <v>.pdf</v>
      </c>
      <c r="G466">
        <f t="shared" si="58"/>
        <v>103</v>
      </c>
      <c r="H466" s="3">
        <f>LEN(Table1[[#This Row],[Auteur]])</f>
        <v>10</v>
      </c>
      <c r="I466" s="3" t="str">
        <f t="shared" si="59"/>
        <v>Build Your Own Database Driven Web Site Using PHP &amp; MySQL</v>
      </c>
    </row>
    <row r="467" spans="1:9" x14ac:dyDescent="0.45">
      <c r="A467" t="s">
        <v>2063</v>
      </c>
      <c r="B467" t="str">
        <f t="shared" si="53"/>
        <v>2016</v>
      </c>
      <c r="C467" t="str">
        <f t="shared" si="54"/>
        <v>O'Reilly</v>
      </c>
      <c r="D467" t="str">
        <f t="shared" si="55"/>
        <v>Robin Nixon</v>
      </c>
      <c r="E467" s="3" t="str">
        <f t="shared" si="56"/>
        <v/>
      </c>
      <c r="F467" t="str">
        <f t="shared" si="57"/>
        <v>.pdf</v>
      </c>
      <c r="G467">
        <f t="shared" si="58"/>
        <v>93</v>
      </c>
      <c r="H467" s="3">
        <f>LEN(Table1[[#This Row],[Auteur]])</f>
        <v>11</v>
      </c>
      <c r="I467" s="3" t="str">
        <f t="shared" si="59"/>
        <v>Développer un site Web en PHP, MySQL, JavaScript</v>
      </c>
    </row>
    <row r="468" spans="1:9" x14ac:dyDescent="0.45">
      <c r="A468" t="s">
        <v>895</v>
      </c>
      <c r="B468" t="str">
        <f t="shared" si="53"/>
        <v>2013</v>
      </c>
      <c r="C468" t="str">
        <f t="shared" si="54"/>
        <v>Apress</v>
      </c>
      <c r="D468" t="str">
        <f t="shared" si="55"/>
        <v>Marc Rochkind</v>
      </c>
      <c r="E468" s="3" t="str">
        <f t="shared" si="56"/>
        <v/>
      </c>
      <c r="F468" t="str">
        <f t="shared" si="57"/>
        <v>.pdf</v>
      </c>
      <c r="G468">
        <f t="shared" si="58"/>
        <v>58</v>
      </c>
      <c r="H468" s="3">
        <f>LEN(Table1[[#This Row],[Auteur]])</f>
        <v>13</v>
      </c>
      <c r="I468" s="3" t="str">
        <f t="shared" si="59"/>
        <v>Expert PHP and MySQL</v>
      </c>
    </row>
    <row r="469" spans="1:9" x14ac:dyDescent="0.45">
      <c r="A469" t="s">
        <v>896</v>
      </c>
      <c r="B469" t="str">
        <f t="shared" si="53"/>
        <v>2009</v>
      </c>
      <c r="C469" t="str">
        <f t="shared" si="54"/>
        <v>O'Reilly</v>
      </c>
      <c r="D469" t="str">
        <f t="shared" si="55"/>
        <v>Lynn Beighley, Michael Morrison</v>
      </c>
      <c r="E469" s="3" t="str">
        <f t="shared" si="56"/>
        <v/>
      </c>
      <c r="F469" s="3" t="str">
        <f t="shared" si="57"/>
        <v>.pdf</v>
      </c>
      <c r="G469">
        <f t="shared" si="58"/>
        <v>78</v>
      </c>
      <c r="H469" s="3">
        <f>LEN(Table1[[#This Row],[Auteur]])</f>
        <v>31</v>
      </c>
      <c r="I469" s="3" t="str">
        <f t="shared" si="59"/>
        <v>Head First PHP-MySQL</v>
      </c>
    </row>
    <row r="470" spans="1:9" x14ac:dyDescent="0.45">
      <c r="A470" t="s">
        <v>897</v>
      </c>
      <c r="B470" t="str">
        <f t="shared" si="53"/>
        <v>2008</v>
      </c>
      <c r="C470" t="str">
        <f t="shared" si="54"/>
        <v>O'Reilly</v>
      </c>
      <c r="D470" t="str">
        <f t="shared" si="55"/>
        <v>Schwartz, Zaitsev, Tkachenko, Zawodny, Lentz, Balling,</v>
      </c>
      <c r="E470" t="str">
        <f t="shared" si="56"/>
        <v/>
      </c>
      <c r="F470" t="str">
        <f t="shared" si="57"/>
        <v>.pdf</v>
      </c>
      <c r="G470">
        <f t="shared" si="58"/>
        <v>111</v>
      </c>
      <c r="H470" s="3">
        <f>LEN(Table1[[#This Row],[Auteur]])</f>
        <v>54</v>
      </c>
      <c r="I470" s="3" t="str">
        <f t="shared" si="59"/>
        <v>High Performance MySQL</v>
      </c>
    </row>
    <row r="471" spans="1:9" x14ac:dyDescent="0.45">
      <c r="A471" t="s">
        <v>898</v>
      </c>
      <c r="B471" t="str">
        <f t="shared" si="53"/>
        <v>2012</v>
      </c>
      <c r="C471" t="str">
        <f t="shared" si="54"/>
        <v>O'Reilly</v>
      </c>
      <c r="D471" t="str">
        <f t="shared" si="55"/>
        <v>Baron Schwartz, Peter Zaitsev, and Vadim Tkachenko</v>
      </c>
      <c r="E471" s="3" t="str">
        <f t="shared" si="56"/>
        <v/>
      </c>
      <c r="F471" t="str">
        <f t="shared" si="57"/>
        <v>.pdf</v>
      </c>
      <c r="G471">
        <f t="shared" si="58"/>
        <v>107</v>
      </c>
      <c r="H471" s="3">
        <f>LEN(Table1[[#This Row],[Auteur]])</f>
        <v>50</v>
      </c>
      <c r="I471" s="3" t="str">
        <f t="shared" si="59"/>
        <v>High Performance MySQL</v>
      </c>
    </row>
    <row r="472" spans="1:9" x14ac:dyDescent="0.45">
      <c r="A472" t="s">
        <v>899</v>
      </c>
      <c r="B472" t="str">
        <f t="shared" si="53"/>
        <v>2012</v>
      </c>
      <c r="C472" t="str">
        <f t="shared" si="54"/>
        <v>O'Reilly</v>
      </c>
      <c r="D472" t="str">
        <f t="shared" si="55"/>
        <v>Robin Nixon</v>
      </c>
      <c r="E472" s="3" t="str">
        <f t="shared" si="56"/>
        <v/>
      </c>
      <c r="F472" s="3" t="str">
        <f t="shared" si="57"/>
        <v>.pdf</v>
      </c>
      <c r="G472">
        <f t="shared" si="58"/>
        <v>62</v>
      </c>
      <c r="H472" s="3">
        <f>LEN(Table1[[#This Row],[Auteur]])</f>
        <v>11</v>
      </c>
      <c r="I472" s="3" t="str">
        <f t="shared" si="59"/>
        <v>Learn PHP, MySQL and CSS</v>
      </c>
    </row>
    <row r="473" spans="1:9" x14ac:dyDescent="0.45">
      <c r="A473" t="s">
        <v>900</v>
      </c>
      <c r="B473" t="str">
        <f t="shared" si="53"/>
        <v>2012</v>
      </c>
      <c r="C473" t="str">
        <f t="shared" si="54"/>
        <v>?</v>
      </c>
      <c r="D473" t="str">
        <f t="shared" si="55"/>
        <v>Joel Murach</v>
      </c>
      <c r="E473" s="3" t="str">
        <f t="shared" si="56"/>
        <v/>
      </c>
      <c r="F473" s="3" t="str">
        <f t="shared" si="57"/>
        <v>.pdf</v>
      </c>
      <c r="G473">
        <f t="shared" si="58"/>
        <v>39</v>
      </c>
      <c r="H473" s="3">
        <f>LEN(Table1[[#This Row],[Auteur]])</f>
        <v>11</v>
      </c>
      <c r="I473" s="3" t="str">
        <f t="shared" si="59"/>
        <v>Murach's MySQL</v>
      </c>
    </row>
    <row r="474" spans="1:9" x14ac:dyDescent="0.45">
      <c r="A474" t="s">
        <v>901</v>
      </c>
      <c r="B474" t="str">
        <f t="shared" si="53"/>
        <v>2010</v>
      </c>
      <c r="C474" t="str">
        <f t="shared" si="54"/>
        <v>Packt</v>
      </c>
      <c r="D474" t="str">
        <f t="shared" si="55"/>
        <v>Daniel Schneller, Udo Schwedt</v>
      </c>
      <c r="E474" s="3" t="str">
        <f t="shared" si="56"/>
        <v/>
      </c>
      <c r="F474" t="str">
        <f t="shared" si="57"/>
        <v>.pdf</v>
      </c>
      <c r="G474">
        <f t="shared" si="58"/>
        <v>73</v>
      </c>
      <c r="H474" s="3">
        <f>LEN(Table1[[#This Row],[Auteur]])</f>
        <v>29</v>
      </c>
      <c r="I474" s="3" t="str">
        <f t="shared" si="59"/>
        <v>MySQL Admin Cookbook</v>
      </c>
    </row>
    <row r="475" spans="1:9" x14ac:dyDescent="0.45">
      <c r="A475" t="s">
        <v>902</v>
      </c>
      <c r="B475" t="str">
        <f t="shared" si="53"/>
        <v>2009</v>
      </c>
      <c r="C475" t="str">
        <f t="shared" si="54"/>
        <v>Wiley</v>
      </c>
      <c r="D475" t="str">
        <f t="shared" si="55"/>
        <v>Sheeri Cabral, Keith Murphy</v>
      </c>
      <c r="E475" s="3" t="str">
        <f t="shared" si="56"/>
        <v/>
      </c>
      <c r="F475" t="str">
        <f t="shared" si="57"/>
        <v>.pdf</v>
      </c>
      <c r="G475">
        <f t="shared" si="58"/>
        <v>77</v>
      </c>
      <c r="H475" s="3">
        <f>LEN(Table1[[#This Row],[Auteur]])</f>
        <v>27</v>
      </c>
      <c r="I475" s="3" t="str">
        <f t="shared" si="59"/>
        <v>MySQL Administrators Bible</v>
      </c>
    </row>
    <row r="476" spans="1:9" x14ac:dyDescent="0.45">
      <c r="A476" t="s">
        <v>903</v>
      </c>
      <c r="B476" t="str">
        <f t="shared" si="53"/>
        <v>2002</v>
      </c>
      <c r="C476" t="str">
        <f t="shared" si="54"/>
        <v>O'Reilly</v>
      </c>
      <c r="D476" t="str">
        <f t="shared" si="55"/>
        <v>Paul DuBois</v>
      </c>
      <c r="E476" s="3" t="str">
        <f t="shared" si="56"/>
        <v>Dump</v>
      </c>
      <c r="F476" t="str">
        <f t="shared" si="57"/>
        <v>.pdf</v>
      </c>
      <c r="G476">
        <f t="shared" si="58"/>
        <v>59</v>
      </c>
      <c r="H476" s="3">
        <f>LEN(Table1[[#This Row],[Auteur]])</f>
        <v>11</v>
      </c>
      <c r="I476" s="3" t="str">
        <f t="shared" si="59"/>
        <v>MySQL Cookbook</v>
      </c>
    </row>
    <row r="477" spans="1:9" x14ac:dyDescent="0.45">
      <c r="A477" t="s">
        <v>904</v>
      </c>
      <c r="B477" t="str">
        <f t="shared" si="53"/>
        <v>2010</v>
      </c>
      <c r="C477" t="str">
        <f t="shared" si="54"/>
        <v>O'Reilly</v>
      </c>
      <c r="D477" t="str">
        <f t="shared" si="55"/>
        <v>Charles Bell, Mats Kindahl, Lars Thalmann</v>
      </c>
      <c r="E477" s="3" t="str">
        <f t="shared" si="56"/>
        <v/>
      </c>
      <c r="F477" s="3" t="str">
        <f t="shared" si="57"/>
        <v>.pdf</v>
      </c>
      <c r="G477">
        <f t="shared" si="58"/>
        <v>91</v>
      </c>
      <c r="H477" s="3">
        <f>LEN(Table1[[#This Row],[Auteur]])</f>
        <v>41</v>
      </c>
      <c r="I477" s="3" t="str">
        <f t="shared" si="59"/>
        <v>MySQL High Availability</v>
      </c>
    </row>
    <row r="478" spans="1:9" x14ac:dyDescent="0.45">
      <c r="A478" t="s">
        <v>905</v>
      </c>
      <c r="B478" t="str">
        <f t="shared" si="53"/>
        <v>2012</v>
      </c>
      <c r="C478" t="str">
        <f t="shared" si="54"/>
        <v>Packt</v>
      </c>
      <c r="D478" t="str">
        <f t="shared" si="55"/>
        <v>Gökhan Ozar</v>
      </c>
      <c r="E478" s="3" t="str">
        <f t="shared" si="56"/>
        <v/>
      </c>
      <c r="F478" s="3" t="str">
        <f t="shared" si="57"/>
        <v>.pdf</v>
      </c>
      <c r="G478" s="3">
        <f t="shared" si="58"/>
        <v>83</v>
      </c>
      <c r="H478" s="3">
        <f>LEN(Table1[[#This Row],[Auteur]])</f>
        <v>11</v>
      </c>
      <c r="I478" s="3" t="str">
        <f t="shared" si="59"/>
        <v>MySQL Management and Administration with Navicat</v>
      </c>
    </row>
    <row r="479" spans="1:9" x14ac:dyDescent="0.45">
      <c r="A479" t="s">
        <v>906</v>
      </c>
      <c r="B479" t="str">
        <f t="shared" si="53"/>
        <v>2012</v>
      </c>
      <c r="C479" t="str">
        <f t="shared" si="54"/>
        <v>O'Reilly</v>
      </c>
      <c r="D479" t="str">
        <f t="shared" si="55"/>
        <v>Sveta Smirnova</v>
      </c>
      <c r="E479" s="3" t="str">
        <f t="shared" si="56"/>
        <v/>
      </c>
      <c r="F479" s="3" t="str">
        <f t="shared" si="57"/>
        <v>.pdf</v>
      </c>
      <c r="G479">
        <f t="shared" si="58"/>
        <v>62</v>
      </c>
      <c r="H479" s="3">
        <f>LEN(Table1[[#This Row],[Auteur]])</f>
        <v>14</v>
      </c>
      <c r="I479" s="3" t="str">
        <f t="shared" si="59"/>
        <v>MySQL Troubleshooting</v>
      </c>
    </row>
    <row r="480" spans="1:9" x14ac:dyDescent="0.45">
      <c r="A480" t="s">
        <v>907</v>
      </c>
      <c r="B480" t="str">
        <f t="shared" si="53"/>
        <v>2009</v>
      </c>
      <c r="C480" t="str">
        <f t="shared" si="54"/>
        <v>Micro Application</v>
      </c>
      <c r="D480" t="str">
        <f t="shared" si="55"/>
        <v>Jean Carfantan</v>
      </c>
      <c r="E480" s="3" t="str">
        <f t="shared" si="56"/>
        <v/>
      </c>
      <c r="F480" t="str">
        <f t="shared" si="57"/>
        <v>.pdf</v>
      </c>
      <c r="G480">
        <f t="shared" si="58"/>
        <v>68</v>
      </c>
      <c r="H480" s="3">
        <f>LEN(Table1[[#This Row],[Auteur]])</f>
        <v>14</v>
      </c>
      <c r="I480" s="3" t="str">
        <f t="shared" si="59"/>
        <v>PHP &amp; MySQL et CSS</v>
      </c>
    </row>
    <row r="481" spans="1:9" x14ac:dyDescent="0.45">
      <c r="A481" t="s">
        <v>908</v>
      </c>
      <c r="B481" t="str">
        <f t="shared" si="53"/>
        <v>2012</v>
      </c>
      <c r="C481" t="str">
        <f t="shared" si="54"/>
        <v>O'Reilly</v>
      </c>
      <c r="D481" t="str">
        <f t="shared" si="55"/>
        <v>Brett McLaughlin</v>
      </c>
      <c r="E481" s="3" t="str">
        <f t="shared" si="56"/>
        <v/>
      </c>
      <c r="F481" t="str">
        <f t="shared" si="57"/>
        <v>.pdf</v>
      </c>
      <c r="G481">
        <f t="shared" si="58"/>
        <v>74</v>
      </c>
      <c r="H481" s="3">
        <f>LEN(Table1[[#This Row],[Auteur]])</f>
        <v>16</v>
      </c>
      <c r="I481" s="3" t="str">
        <f t="shared" si="59"/>
        <v>PHP &amp; MySQL, The Missing Manual</v>
      </c>
    </row>
    <row r="482" spans="1:9" x14ac:dyDescent="0.45">
      <c r="A482" t="s">
        <v>909</v>
      </c>
      <c r="B482" t="str">
        <f t="shared" si="53"/>
        <v>2009</v>
      </c>
      <c r="C482" t="str">
        <f t="shared" si="54"/>
        <v>Cengage Learning</v>
      </c>
      <c r="D482" t="str">
        <f t="shared" si="55"/>
        <v>Andy Harris</v>
      </c>
      <c r="E482" s="3" t="str">
        <f t="shared" si="56"/>
        <v/>
      </c>
      <c r="F482" t="str">
        <f t="shared" si="57"/>
        <v>.pdf</v>
      </c>
      <c r="G482">
        <f t="shared" si="58"/>
        <v>96</v>
      </c>
      <c r="H482" s="3">
        <f>LEN(Table1[[#This Row],[Auteur]])</f>
        <v>11</v>
      </c>
      <c r="I482" s="3" t="str">
        <f t="shared" si="59"/>
        <v>PHP 6 and MySQL Programming for Absolute Beginners</v>
      </c>
    </row>
    <row r="483" spans="1:9" x14ac:dyDescent="0.45">
      <c r="A483" t="s">
        <v>910</v>
      </c>
      <c r="B483" t="str">
        <f t="shared" si="53"/>
        <v>2012</v>
      </c>
      <c r="C483" t="str">
        <f t="shared" si="54"/>
        <v>Sitepoint</v>
      </c>
      <c r="D483" t="str">
        <f t="shared" si="55"/>
        <v>Kevin Yank</v>
      </c>
      <c r="E483" s="3" t="str">
        <f t="shared" si="56"/>
        <v/>
      </c>
      <c r="F483" t="str">
        <f t="shared" si="57"/>
        <v>.pdf</v>
      </c>
      <c r="G483">
        <f t="shared" si="58"/>
        <v>76</v>
      </c>
      <c r="H483" s="3">
        <f>LEN(Table1[[#This Row],[Auteur]])</f>
        <v>10</v>
      </c>
      <c r="I483" s="3" t="str">
        <f t="shared" si="59"/>
        <v>PHP and MySQL, Novice to Ninja</v>
      </c>
    </row>
    <row r="484" spans="1:9" x14ac:dyDescent="0.45">
      <c r="A484" t="s">
        <v>911</v>
      </c>
      <c r="B484" t="str">
        <f t="shared" si="53"/>
        <v>2006</v>
      </c>
      <c r="C484" t="str">
        <f t="shared" si="54"/>
        <v>Eyrolles</v>
      </c>
      <c r="D484" t="str">
        <f t="shared" si="55"/>
        <v>Jean-Marie Defrance</v>
      </c>
      <c r="E484" s="3" t="str">
        <f t="shared" si="56"/>
        <v/>
      </c>
      <c r="F484" s="3" t="str">
        <f t="shared" si="57"/>
        <v>.pdf</v>
      </c>
      <c r="G484">
        <f t="shared" si="58"/>
        <v>77</v>
      </c>
      <c r="H484" s="3">
        <f>LEN(Table1[[#This Row],[Auteur]])</f>
        <v>19</v>
      </c>
      <c r="I484" s="3" t="str">
        <f t="shared" si="59"/>
        <v>PHP et MySQL avec Dreamweaver 8</v>
      </c>
    </row>
    <row r="485" spans="1:9" x14ac:dyDescent="0.45">
      <c r="A485" t="s">
        <v>912</v>
      </c>
      <c r="B485" t="str">
        <f t="shared" si="53"/>
        <v>2009</v>
      </c>
      <c r="C485" t="str">
        <f t="shared" si="54"/>
        <v>Dunod</v>
      </c>
      <c r="D485" t="str">
        <f t="shared" si="55"/>
        <v>Philippe Rigaux</v>
      </c>
      <c r="E485" s="3" t="str">
        <f t="shared" si="56"/>
        <v/>
      </c>
      <c r="F485" t="str">
        <f t="shared" si="57"/>
        <v>.pdf</v>
      </c>
      <c r="G485">
        <f t="shared" si="58"/>
        <v>70</v>
      </c>
      <c r="H485" s="3">
        <f>LEN(Table1[[#This Row],[Auteur]])</f>
        <v>15</v>
      </c>
      <c r="I485" s="3" t="str">
        <f t="shared" si="59"/>
        <v>Pratique de MySQL et PHP</v>
      </c>
    </row>
    <row r="486" spans="1:9" x14ac:dyDescent="0.45">
      <c r="A486" t="s">
        <v>913</v>
      </c>
      <c r="B486" t="str">
        <f t="shared" si="53"/>
        <v>2015</v>
      </c>
      <c r="C486" t="str">
        <f t="shared" si="54"/>
        <v>Eyrolles</v>
      </c>
      <c r="D486" t="str">
        <f t="shared" si="55"/>
        <v>Christian Soutou</v>
      </c>
      <c r="E486" s="3" t="str">
        <f t="shared" si="56"/>
        <v/>
      </c>
      <c r="F486" t="str">
        <f t="shared" si="57"/>
        <v>.epub</v>
      </c>
      <c r="G486">
        <f t="shared" si="58"/>
        <v>72</v>
      </c>
      <c r="H486" s="3">
        <f>LEN(Table1[[#This Row],[Auteur]])</f>
        <v>16</v>
      </c>
      <c r="I486" s="3" t="str">
        <f t="shared" si="59"/>
        <v>Programmer avec MySQL</v>
      </c>
    </row>
    <row r="487" spans="1:9" x14ac:dyDescent="0.45">
      <c r="A487" t="s">
        <v>914</v>
      </c>
      <c r="B487" t="str">
        <f t="shared" si="53"/>
        <v>2015</v>
      </c>
      <c r="C487" t="str">
        <f t="shared" si="54"/>
        <v>Eyrolles</v>
      </c>
      <c r="D487" t="str">
        <f t="shared" si="55"/>
        <v>Christian Soutou</v>
      </c>
      <c r="E487" s="3" t="str">
        <f t="shared" si="56"/>
        <v/>
      </c>
      <c r="F487" t="str">
        <f t="shared" si="57"/>
        <v>.pdf</v>
      </c>
      <c r="G487">
        <f t="shared" si="58"/>
        <v>71</v>
      </c>
      <c r="H487" s="3">
        <f>LEN(Table1[[#This Row],[Auteur]])</f>
        <v>16</v>
      </c>
      <c r="I487" s="3" t="str">
        <f t="shared" si="59"/>
        <v>Programmer avec MySQL</v>
      </c>
    </row>
    <row r="488" spans="1:9" x14ac:dyDescent="0.45">
      <c r="A488" t="s">
        <v>915</v>
      </c>
      <c r="B488" t="str">
        <f t="shared" si="53"/>
        <v>?</v>
      </c>
      <c r="C488" t="str">
        <f t="shared" si="54"/>
        <v>?</v>
      </c>
      <c r="D488" t="str">
        <f t="shared" si="55"/>
        <v>?</v>
      </c>
      <c r="E488" t="str">
        <f t="shared" si="56"/>
        <v/>
      </c>
      <c r="F488" t="str">
        <f t="shared" si="57"/>
        <v>.rar</v>
      </c>
      <c r="G488">
        <f t="shared" si="58"/>
        <v>34</v>
      </c>
      <c r="H488" s="3">
        <f>LEN(Table1[[#This Row],[Auteur]])</f>
        <v>1</v>
      </c>
      <c r="I488" s="3" t="str">
        <f t="shared" si="59"/>
        <v>Programmer avec MySQL, Annexes</v>
      </c>
    </row>
    <row r="489" spans="1:9" x14ac:dyDescent="0.45">
      <c r="A489" t="s">
        <v>916</v>
      </c>
      <c r="B489" t="str">
        <f t="shared" si="53"/>
        <v>2007</v>
      </c>
      <c r="C489" t="str">
        <f t="shared" si="54"/>
        <v>Eyrolles</v>
      </c>
      <c r="D489" t="str">
        <f t="shared" si="55"/>
        <v>Damien Seguy, Philippe Gamache</v>
      </c>
      <c r="E489" s="3" t="str">
        <f t="shared" si="56"/>
        <v/>
      </c>
      <c r="F489" t="str">
        <f t="shared" si="57"/>
        <v>.pdf</v>
      </c>
      <c r="G489">
        <f t="shared" si="58"/>
        <v>80</v>
      </c>
      <c r="H489" s="3">
        <f>LEN(Table1[[#This Row],[Auteur]])</f>
        <v>30</v>
      </c>
      <c r="I489" s="3" t="str">
        <f t="shared" si="59"/>
        <v>Sécurité PHP 5 et MySQL</v>
      </c>
    </row>
    <row r="490" spans="1:9" x14ac:dyDescent="0.45">
      <c r="A490" t="s">
        <v>917</v>
      </c>
      <c r="B490" t="str">
        <f t="shared" si="53"/>
        <v>2012</v>
      </c>
      <c r="C490" t="str">
        <f t="shared" si="54"/>
        <v>Sams</v>
      </c>
      <c r="D490" t="str">
        <f t="shared" si="55"/>
        <v>Julie C. Meloni</v>
      </c>
      <c r="E490" s="3" t="str">
        <f t="shared" si="56"/>
        <v/>
      </c>
      <c r="F490" s="3" t="str">
        <f t="shared" si="57"/>
        <v>.pdf</v>
      </c>
      <c r="G490">
        <f t="shared" si="58"/>
        <v>77</v>
      </c>
      <c r="H490" s="3">
        <f>LEN(Table1[[#This Row],[Auteur]])</f>
        <v>15</v>
      </c>
      <c r="I490" s="3" t="str">
        <f t="shared" si="59"/>
        <v>Teach Yourself PHP MySQL Apache</v>
      </c>
    </row>
    <row r="491" spans="1:9" x14ac:dyDescent="0.45">
      <c r="A491" t="s">
        <v>918</v>
      </c>
      <c r="B491" t="str">
        <f t="shared" si="53"/>
        <v>2000</v>
      </c>
      <c r="C491" t="str">
        <f t="shared" si="54"/>
        <v>O'Reilly</v>
      </c>
      <c r="D491" t="str">
        <f t="shared" si="55"/>
        <v>Steve Muench</v>
      </c>
      <c r="E491" s="3" t="str">
        <f t="shared" si="56"/>
        <v>Dump</v>
      </c>
      <c r="F491" t="str">
        <f t="shared" si="57"/>
        <v>.pdf</v>
      </c>
      <c r="G491">
        <f t="shared" si="58"/>
        <v>78</v>
      </c>
      <c r="H491" s="3">
        <f>LEN(Table1[[#This Row],[Auteur]])</f>
        <v>12</v>
      </c>
      <c r="I491" s="3" t="str">
        <f t="shared" si="59"/>
        <v>Building Oracle XML Applications</v>
      </c>
    </row>
    <row r="492" spans="1:9" x14ac:dyDescent="0.45">
      <c r="A492" t="s">
        <v>919</v>
      </c>
      <c r="B492" t="str">
        <f t="shared" si="53"/>
        <v>2005</v>
      </c>
      <c r="C492" t="str">
        <f t="shared" si="54"/>
        <v>Apress</v>
      </c>
      <c r="D492" t="str">
        <f t="shared" si="55"/>
        <v>Sam R. Alapati</v>
      </c>
      <c r="E492" s="3" t="str">
        <f t="shared" si="56"/>
        <v/>
      </c>
      <c r="F492" s="3" t="str">
        <f t="shared" si="57"/>
        <v>.pdf</v>
      </c>
      <c r="G492" s="3">
        <f t="shared" si="58"/>
        <v>80</v>
      </c>
      <c r="H492" s="3">
        <f>LEN(Table1[[#This Row],[Auteur]])</f>
        <v>14</v>
      </c>
      <c r="I492" s="3" t="str">
        <f t="shared" si="59"/>
        <v>Expert Oracle Database 10g Administration</v>
      </c>
    </row>
    <row r="493" spans="1:9" x14ac:dyDescent="0.45">
      <c r="A493" t="s">
        <v>920</v>
      </c>
      <c r="B493" t="str">
        <f t="shared" si="53"/>
        <v>2015</v>
      </c>
      <c r="C493" t="str">
        <f t="shared" si="54"/>
        <v>Apress</v>
      </c>
      <c r="D493" t="str">
        <f t="shared" si="55"/>
        <v>Thomas Kyte, Darl Kuhn</v>
      </c>
      <c r="E493" s="3" t="str">
        <f t="shared" si="56"/>
        <v/>
      </c>
      <c r="F493" t="str">
        <f t="shared" si="57"/>
        <v>.pdf</v>
      </c>
      <c r="G493">
        <f t="shared" si="58"/>
        <v>90</v>
      </c>
      <c r="H493" s="3">
        <f>LEN(Table1[[#This Row],[Auteur]])</f>
        <v>22</v>
      </c>
      <c r="I493" s="3" t="str">
        <f t="shared" si="59"/>
        <v>Expert Oracle Database Architecture</v>
      </c>
    </row>
    <row r="494" spans="1:9" x14ac:dyDescent="0.45">
      <c r="A494" t="s">
        <v>921</v>
      </c>
      <c r="B494" t="str">
        <f t="shared" si="53"/>
        <v>2010</v>
      </c>
      <c r="C494" t="str">
        <f t="shared" si="54"/>
        <v>Apress</v>
      </c>
      <c r="D494" t="str">
        <f t="shared" si="55"/>
        <v>Thomas Kyte</v>
      </c>
      <c r="E494" s="3" t="str">
        <f t="shared" si="56"/>
        <v/>
      </c>
      <c r="F494" s="3" t="str">
        <f t="shared" si="57"/>
        <v>.pdf</v>
      </c>
      <c r="G494" s="3">
        <f t="shared" si="58"/>
        <v>133</v>
      </c>
      <c r="H494" s="3">
        <f>LEN(Table1[[#This Row],[Auteur]])</f>
        <v>11</v>
      </c>
      <c r="I494" s="3" t="str">
        <f t="shared" si="59"/>
        <v>Expert Oracle Database Architecture 9i, 10g and 11g, Programming Techniques and Solutions</v>
      </c>
    </row>
    <row r="495" spans="1:9" x14ac:dyDescent="0.45">
      <c r="A495" t="s">
        <v>922</v>
      </c>
      <c r="B495" t="str">
        <f t="shared" si="53"/>
        <v>2006</v>
      </c>
      <c r="C495" t="str">
        <f t="shared" si="54"/>
        <v>Eyrolles</v>
      </c>
      <c r="D495" t="str">
        <f t="shared" si="55"/>
        <v>Gilles Briard</v>
      </c>
      <c r="E495" s="3" t="str">
        <f t="shared" si="56"/>
        <v/>
      </c>
      <c r="F495" t="str">
        <f t="shared" si="57"/>
        <v>.pdf</v>
      </c>
      <c r="G495">
        <f t="shared" si="58"/>
        <v>63</v>
      </c>
      <c r="H495" s="3">
        <f>LEN(Table1[[#This Row],[Auteur]])</f>
        <v>13</v>
      </c>
      <c r="I495" s="3" t="str">
        <f t="shared" si="59"/>
        <v>Oracle 10g sous Windows</v>
      </c>
    </row>
    <row r="496" spans="1:9" x14ac:dyDescent="0.45">
      <c r="A496" t="s">
        <v>923</v>
      </c>
      <c r="B496" t="str">
        <f t="shared" si="53"/>
        <v>2001</v>
      </c>
      <c r="C496" t="str">
        <f t="shared" si="54"/>
        <v>O'Reilly</v>
      </c>
      <c r="D496" t="str">
        <f t="shared" si="55"/>
        <v>Quest Software</v>
      </c>
      <c r="E496" s="3" t="str">
        <f t="shared" si="56"/>
        <v/>
      </c>
      <c r="F496" s="3" t="str">
        <f t="shared" si="57"/>
        <v>.pdf</v>
      </c>
      <c r="G496">
        <f t="shared" si="58"/>
        <v>79</v>
      </c>
      <c r="H496" s="3">
        <f>LEN(Table1[[#This Row],[Auteur]])</f>
        <v>14</v>
      </c>
      <c r="I496" s="3" t="str">
        <f t="shared" si="59"/>
        <v>Oracle DBA Checklists Pocket Reference</v>
      </c>
    </row>
    <row r="497" spans="1:9" x14ac:dyDescent="0.45">
      <c r="A497" t="s">
        <v>924</v>
      </c>
      <c r="B497" t="str">
        <f t="shared" si="53"/>
        <v>1999</v>
      </c>
      <c r="C497" t="str">
        <f t="shared" si="54"/>
        <v>O'Reilly</v>
      </c>
      <c r="D497" t="str">
        <f t="shared" si="55"/>
        <v>Charles Dye</v>
      </c>
      <c r="E497" s="3" t="str">
        <f t="shared" si="56"/>
        <v>Dump</v>
      </c>
      <c r="F497" t="str">
        <f t="shared" si="57"/>
        <v>.pdf</v>
      </c>
      <c r="G497">
        <f t="shared" si="58"/>
        <v>71</v>
      </c>
      <c r="H497" s="3">
        <f>LEN(Table1[[#This Row],[Auteur]])</f>
        <v>11</v>
      </c>
      <c r="I497" s="3" t="str">
        <f t="shared" si="59"/>
        <v>Oracle Distributed Systems</v>
      </c>
    </row>
    <row r="498" spans="1:9" x14ac:dyDescent="0.45">
      <c r="A498" t="s">
        <v>925</v>
      </c>
      <c r="B498" t="str">
        <f t="shared" si="53"/>
        <v>2013</v>
      </c>
      <c r="C498" t="str">
        <f t="shared" si="54"/>
        <v>O'Reilly</v>
      </c>
      <c r="D498" t="str">
        <f t="shared" si="55"/>
        <v>Rick Greenwald, Robert Stackowiak, Jonathan Stern</v>
      </c>
      <c r="E498" s="3" t="str">
        <f t="shared" si="56"/>
        <v>Dump</v>
      </c>
      <c r="F498" t="str">
        <f t="shared" si="57"/>
        <v>.pdf</v>
      </c>
      <c r="G498">
        <f t="shared" si="58"/>
        <v>129</v>
      </c>
      <c r="H498" s="3">
        <f>LEN(Table1[[#This Row],[Auteur]])</f>
        <v>49</v>
      </c>
      <c r="I498" s="3" t="str">
        <f t="shared" si="59"/>
        <v>Oracle Essentials, Oracle Database 12c</v>
      </c>
    </row>
    <row r="499" spans="1:9" x14ac:dyDescent="0.45">
      <c r="A499" t="s">
        <v>926</v>
      </c>
      <c r="B499" t="str">
        <f t="shared" si="53"/>
        <v>2008</v>
      </c>
      <c r="C499" t="str">
        <f t="shared" si="54"/>
        <v>O'Reilly</v>
      </c>
      <c r="D499" t="str">
        <f t="shared" si="55"/>
        <v>Steven Feuerstein, Bill Pribyl, Chip Dawes</v>
      </c>
      <c r="E499" s="3" t="str">
        <f t="shared" si="56"/>
        <v/>
      </c>
      <c r="F499" t="str">
        <f t="shared" si="57"/>
        <v>.pdf</v>
      </c>
      <c r="G499">
        <f t="shared" si="58"/>
        <v>116</v>
      </c>
      <c r="H499" s="3">
        <f>LEN(Table1[[#This Row],[Auteur]])</f>
        <v>42</v>
      </c>
      <c r="I499" s="3" t="str">
        <f t="shared" si="59"/>
        <v>Oracle PL-SQL Language Pocket Reference</v>
      </c>
    </row>
    <row r="500" spans="1:9" x14ac:dyDescent="0.45">
      <c r="A500" t="s">
        <v>927</v>
      </c>
      <c r="B500" t="str">
        <f t="shared" si="53"/>
        <v>2009</v>
      </c>
      <c r="C500" t="str">
        <f t="shared" si="54"/>
        <v>O'Reilly</v>
      </c>
      <c r="D500" t="str">
        <f t="shared" si="55"/>
        <v>Steven Feuerstein, Bill Pribyl</v>
      </c>
      <c r="E500" s="3" t="str">
        <f t="shared" si="56"/>
        <v/>
      </c>
      <c r="F500" t="str">
        <f t="shared" si="57"/>
        <v>.pdf</v>
      </c>
      <c r="G500">
        <f t="shared" si="58"/>
        <v>90</v>
      </c>
      <c r="H500" s="3">
        <f>LEN(Table1[[#This Row],[Auteur]])</f>
        <v>30</v>
      </c>
      <c r="I500" s="3" t="str">
        <f t="shared" si="59"/>
        <v>Oracle PL-SQL Programming</v>
      </c>
    </row>
    <row r="501" spans="1:9" x14ac:dyDescent="0.45">
      <c r="A501" t="s">
        <v>928</v>
      </c>
      <c r="B501" t="str">
        <f t="shared" si="53"/>
        <v>2014</v>
      </c>
      <c r="C501" t="str">
        <f t="shared" si="54"/>
        <v>O'Reilly</v>
      </c>
      <c r="D501" t="str">
        <f t="shared" si="55"/>
        <v>Steven Feuerstein, Bill Pribyl</v>
      </c>
      <c r="E501" t="str">
        <f t="shared" si="56"/>
        <v/>
      </c>
      <c r="F501" t="str">
        <f t="shared" si="57"/>
        <v>.epub</v>
      </c>
      <c r="G501">
        <f t="shared" si="58"/>
        <v>91</v>
      </c>
      <c r="H501" s="3">
        <f>LEN(Table1[[#This Row],[Auteur]])</f>
        <v>30</v>
      </c>
      <c r="I501" s="3" t="str">
        <f t="shared" si="59"/>
        <v>Oracle PL-SQL Programming</v>
      </c>
    </row>
    <row r="502" spans="1:9" x14ac:dyDescent="0.45">
      <c r="A502" t="s">
        <v>929</v>
      </c>
      <c r="B502" t="str">
        <f t="shared" si="53"/>
        <v>2014</v>
      </c>
      <c r="C502" t="str">
        <f t="shared" si="54"/>
        <v>O'Reilly</v>
      </c>
      <c r="D502" t="str">
        <f t="shared" si="55"/>
        <v>Steven Feuerstein, Bill Pribyl</v>
      </c>
      <c r="E502" s="3" t="str">
        <f t="shared" si="56"/>
        <v/>
      </c>
      <c r="F502" s="3" t="str">
        <f t="shared" si="57"/>
        <v>.pdf</v>
      </c>
      <c r="G502">
        <f t="shared" si="58"/>
        <v>90</v>
      </c>
      <c r="H502" s="3">
        <f>LEN(Table1[[#This Row],[Auteur]])</f>
        <v>30</v>
      </c>
      <c r="I502" s="3" t="str">
        <f t="shared" si="59"/>
        <v>Oracle PL-SQL Programming</v>
      </c>
    </row>
    <row r="503" spans="1:9" x14ac:dyDescent="0.45">
      <c r="A503" t="s">
        <v>930</v>
      </c>
      <c r="B503" t="str">
        <f t="shared" si="53"/>
        <v>2001</v>
      </c>
      <c r="C503" t="str">
        <f t="shared" si="54"/>
        <v>O'Reilly</v>
      </c>
      <c r="D503" t="str">
        <f t="shared" si="55"/>
        <v>Darl Kuhn, Scott Schulze</v>
      </c>
      <c r="E503" s="3" t="str">
        <f t="shared" si="56"/>
        <v>Dump</v>
      </c>
      <c r="F503" t="str">
        <f t="shared" si="57"/>
        <v>.pdf</v>
      </c>
      <c r="G503">
        <f t="shared" si="58"/>
        <v>86</v>
      </c>
      <c r="H503" s="3">
        <f>LEN(Table1[[#This Row],[Auteur]])</f>
        <v>24</v>
      </c>
      <c r="I503" s="3" t="str">
        <f t="shared" si="59"/>
        <v>Oracle RMAN Pocket Reference</v>
      </c>
    </row>
    <row r="504" spans="1:9" x14ac:dyDescent="0.45">
      <c r="A504" t="s">
        <v>931</v>
      </c>
      <c r="B504" t="str">
        <f t="shared" si="53"/>
        <v>2001</v>
      </c>
      <c r="C504" t="str">
        <f t="shared" si="54"/>
        <v>O'Reilly</v>
      </c>
      <c r="D504" t="str">
        <f t="shared" si="55"/>
        <v>Jonathan Gennick and Sanjay Mishra</v>
      </c>
      <c r="E504" s="3" t="str">
        <f t="shared" si="56"/>
        <v/>
      </c>
      <c r="F504" s="3" t="str">
        <f t="shared" si="57"/>
        <v>.pdf</v>
      </c>
      <c r="G504">
        <f t="shared" si="58"/>
        <v>100</v>
      </c>
      <c r="H504" s="3">
        <f>LEN(Table1[[#This Row],[Auteur]])</f>
        <v>34</v>
      </c>
      <c r="I504" s="3" t="str">
        <f t="shared" si="59"/>
        <v>Oracle SQL Loader, The Definitive Guide</v>
      </c>
    </row>
    <row r="505" spans="1:9" x14ac:dyDescent="0.45">
      <c r="A505" t="s">
        <v>932</v>
      </c>
      <c r="B505" t="str">
        <f t="shared" si="53"/>
        <v>2002</v>
      </c>
      <c r="C505" t="str">
        <f t="shared" si="54"/>
        <v>O'Reilly</v>
      </c>
      <c r="D505" t="str">
        <f t="shared" si="55"/>
        <v>Mark Gurry</v>
      </c>
      <c r="E505" s="3" t="str">
        <f t="shared" si="56"/>
        <v>Dump</v>
      </c>
      <c r="F505" t="str">
        <f t="shared" si="57"/>
        <v>.pdf</v>
      </c>
      <c r="G505">
        <f t="shared" si="58"/>
        <v>68</v>
      </c>
      <c r="H505" s="3">
        <f>LEN(Table1[[#This Row],[Auteur]])</f>
        <v>10</v>
      </c>
      <c r="I505" s="3" t="str">
        <f t="shared" si="59"/>
        <v>Oracle SQL Tuning Pocket</v>
      </c>
    </row>
    <row r="506" spans="1:9" x14ac:dyDescent="0.45">
      <c r="A506" t="s">
        <v>933</v>
      </c>
      <c r="B506" t="str">
        <f t="shared" si="53"/>
        <v>2000</v>
      </c>
      <c r="C506" t="str">
        <f t="shared" si="54"/>
        <v>O'reilly</v>
      </c>
      <c r="D506" t="str">
        <f t="shared" si="55"/>
        <v>David Kreines</v>
      </c>
      <c r="E506" s="3" t="str">
        <f t="shared" si="56"/>
        <v/>
      </c>
      <c r="F506" t="str">
        <f t="shared" si="57"/>
        <v>.pdf</v>
      </c>
      <c r="G506">
        <f t="shared" si="58"/>
        <v>75</v>
      </c>
      <c r="H506" s="3">
        <f>LEN(Table1[[#This Row],[Auteur]])</f>
        <v>13</v>
      </c>
      <c r="I506" s="3" t="str">
        <f t="shared" si="59"/>
        <v>Oracle SQL, The Essential Reference</v>
      </c>
    </row>
    <row r="507" spans="1:9" x14ac:dyDescent="0.45">
      <c r="A507" t="s">
        <v>934</v>
      </c>
      <c r="B507" t="str">
        <f t="shared" si="53"/>
        <v>2008</v>
      </c>
      <c r="C507" t="str">
        <f t="shared" si="54"/>
        <v>Eyrolles</v>
      </c>
      <c r="D507" t="str">
        <f t="shared" si="55"/>
        <v>Christian Soutou</v>
      </c>
      <c r="E507" s="3" t="str">
        <f t="shared" si="56"/>
        <v/>
      </c>
      <c r="F507" s="3" t="str">
        <f t="shared" si="57"/>
        <v>.pdf</v>
      </c>
      <c r="G507">
        <f t="shared" si="58"/>
        <v>99</v>
      </c>
      <c r="H507" s="3">
        <f>LEN(Table1[[#This Row],[Auteur]])</f>
        <v>16</v>
      </c>
      <c r="I507" s="3" t="str">
        <f t="shared" si="59"/>
        <v>SQL pour Oracle, Applications avec Java, PHP, XML</v>
      </c>
    </row>
    <row r="508" spans="1:9" x14ac:dyDescent="0.45">
      <c r="A508" t="s">
        <v>935</v>
      </c>
      <c r="B508" t="str">
        <f t="shared" si="53"/>
        <v>2001</v>
      </c>
      <c r="C508" t="str">
        <f t="shared" si="54"/>
        <v>O'Reilly</v>
      </c>
      <c r="D508" t="str">
        <f t="shared" si="55"/>
        <v>Donald K. Burleson</v>
      </c>
      <c r="E508" s="3" t="str">
        <f t="shared" si="56"/>
        <v>Dump</v>
      </c>
      <c r="F508" s="3" t="str">
        <f t="shared" si="57"/>
        <v>.pdf</v>
      </c>
      <c r="G508">
        <f t="shared" si="58"/>
        <v>89</v>
      </c>
      <c r="H508" s="3">
        <f>LEN(Table1[[#This Row],[Auteur]])</f>
        <v>18</v>
      </c>
      <c r="I508" s="3" t="str">
        <f t="shared" si="59"/>
        <v>UNIX for Oracle DBAs Pocket Reference</v>
      </c>
    </row>
    <row r="509" spans="1:9" x14ac:dyDescent="0.45">
      <c r="A509" t="s">
        <v>177</v>
      </c>
      <c r="B509" t="str">
        <f t="shared" si="53"/>
        <v>2001</v>
      </c>
      <c r="C509" t="str">
        <f t="shared" si="54"/>
        <v>O'Reilly</v>
      </c>
      <c r="D509" t="str">
        <f t="shared" si="55"/>
        <v>James Tisdall</v>
      </c>
      <c r="E509" s="3" t="str">
        <f t="shared" si="56"/>
        <v/>
      </c>
      <c r="F509" t="str">
        <f t="shared" si="57"/>
        <v>.pdf</v>
      </c>
      <c r="G509">
        <f t="shared" si="58"/>
        <v>73</v>
      </c>
      <c r="H509" s="3">
        <f>LEN(Table1[[#This Row],[Auteur]])</f>
        <v>13</v>
      </c>
      <c r="I509" s="3" t="str">
        <f t="shared" si="59"/>
        <v>Beginning Perl for Bioinformatics</v>
      </c>
    </row>
    <row r="510" spans="1:9" hidden="1" x14ac:dyDescent="0.45">
      <c r="A510" t="s">
        <v>178</v>
      </c>
      <c r="B510" t="str">
        <f t="shared" si="53"/>
        <v>2009</v>
      </c>
      <c r="C510" t="str">
        <f t="shared" si="54"/>
        <v>Humana Press</v>
      </c>
      <c r="D510" t="str">
        <f t="shared" si="55"/>
        <v>David Posada</v>
      </c>
      <c r="E510" s="3" t="str">
        <f t="shared" si="56"/>
        <v/>
      </c>
      <c r="F510" t="str">
        <f t="shared" si="57"/>
        <v>.pdf</v>
      </c>
      <c r="G510">
        <f t="shared" si="58"/>
        <v>83</v>
      </c>
      <c r="H510" s="3">
        <f>LEN(Table1[[#This Row],[Auteur]])</f>
        <v>12</v>
      </c>
      <c r="I510" s="3" t="str">
        <f t="shared" ref="I510:I513" si="60">Title(A510)</f>
        <v>Bioinformatics for DNA Sequence Analysis</v>
      </c>
    </row>
    <row r="511" spans="1:9" x14ac:dyDescent="0.45">
      <c r="A511" t="s">
        <v>179</v>
      </c>
      <c r="B511" t="str">
        <f t="shared" si="53"/>
        <v>2010</v>
      </c>
      <c r="C511" t="str">
        <f t="shared" si="54"/>
        <v>O'Reilly</v>
      </c>
      <c r="D511" t="str">
        <f t="shared" si="55"/>
        <v>Mitchell L Model</v>
      </c>
      <c r="E511" s="3" t="str">
        <f t="shared" si="56"/>
        <v/>
      </c>
      <c r="F511" s="3" t="str">
        <f t="shared" si="57"/>
        <v>.pdf</v>
      </c>
      <c r="G511">
        <f t="shared" si="58"/>
        <v>82</v>
      </c>
      <c r="H511" s="3">
        <f>LEN(Table1[[#This Row],[Auteur]])</f>
        <v>16</v>
      </c>
      <c r="I511" s="3" t="str">
        <f t="shared" si="60"/>
        <v>Bioinformatics Programming Using Python</v>
      </c>
    </row>
    <row r="512" spans="1:9" x14ac:dyDescent="0.45">
      <c r="A512" t="s">
        <v>180</v>
      </c>
      <c r="B512" t="str">
        <f t="shared" si="53"/>
        <v>2008</v>
      </c>
      <c r="C512" t="str">
        <f t="shared" si="54"/>
        <v>Springer</v>
      </c>
      <c r="D512" t="str">
        <f t="shared" si="55"/>
        <v>Collective</v>
      </c>
      <c r="E512" s="3" t="str">
        <f t="shared" si="56"/>
        <v/>
      </c>
      <c r="F512" t="str">
        <f t="shared" si="57"/>
        <v>.pdf</v>
      </c>
      <c r="G512">
        <f t="shared" si="58"/>
        <v>76</v>
      </c>
      <c r="H512" s="3">
        <f>LEN(Table1[[#This Row],[Auteur]])</f>
        <v>10</v>
      </c>
      <c r="I512" s="3" t="str">
        <f t="shared" si="60"/>
        <v>Bioinformatics Research and Development</v>
      </c>
    </row>
    <row r="513" spans="1:9" x14ac:dyDescent="0.45">
      <c r="A513" t="s">
        <v>181</v>
      </c>
      <c r="B513" t="str">
        <f t="shared" si="53"/>
        <v>2002</v>
      </c>
      <c r="C513" t="str">
        <f t="shared" si="54"/>
        <v>Wiley</v>
      </c>
      <c r="D513" t="str">
        <f t="shared" si="55"/>
        <v>Thomas Lengauer</v>
      </c>
      <c r="E513" s="3" t="str">
        <f t="shared" si="56"/>
        <v/>
      </c>
      <c r="F513" s="3" t="str">
        <f t="shared" si="57"/>
        <v>.pdf</v>
      </c>
      <c r="G513" s="3">
        <f t="shared" si="58"/>
        <v>76</v>
      </c>
      <c r="H513" s="3">
        <f>LEN(Table1[[#This Row],[Auteur]])</f>
        <v>15</v>
      </c>
      <c r="I513" s="3" t="str">
        <f t="shared" si="60"/>
        <v>Bioinformatics, From Genomes to Drugs</v>
      </c>
    </row>
    <row r="514" spans="1:9" x14ac:dyDescent="0.45">
      <c r="A514" t="s">
        <v>182</v>
      </c>
      <c r="B514" t="str">
        <f t="shared" ref="B514:B577" si="61">DatePub(A514)</f>
        <v>2003</v>
      </c>
      <c r="C514" t="str">
        <f t="shared" ref="C514:C577" si="62">Editeur(A514)</f>
        <v>Wiley</v>
      </c>
      <c r="D514" t="str">
        <f t="shared" ref="D514:D577" si="63">Auteur(A514)</f>
        <v>Sushmita Mitra, Tinku Acharya</v>
      </c>
      <c r="E514" s="3" t="str">
        <f t="shared" ref="E514:E577" si="64">ExtraInfo(A514)</f>
        <v/>
      </c>
      <c r="F514" s="3" t="str">
        <f t="shared" ref="F514:F577" si="65">Extension(A514)</f>
        <v>.pdf</v>
      </c>
      <c r="G514">
        <f t="shared" ref="G514:G577" si="66">LenFileName(A514)</f>
        <v>108</v>
      </c>
      <c r="H514" s="3">
        <f>LEN(Table1[[#This Row],[Auteur]])</f>
        <v>29</v>
      </c>
      <c r="I514" s="3" t="str">
        <f t="shared" ref="I514:I517" si="67">Title(A514)</f>
        <v>Data Mining Multimedia, Soft Computing &amp; Bioinformatics</v>
      </c>
    </row>
    <row r="515" spans="1:9" x14ac:dyDescent="0.45">
      <c r="A515" t="s">
        <v>183</v>
      </c>
      <c r="B515" t="str">
        <f t="shared" si="61"/>
        <v>2001</v>
      </c>
      <c r="C515" t="str">
        <f t="shared" si="62"/>
        <v>O'Reilly</v>
      </c>
      <c r="D515" t="str">
        <f t="shared" si="63"/>
        <v>Cynthia Gibas, Per Jambeck</v>
      </c>
      <c r="E515" s="3" t="str">
        <f t="shared" si="64"/>
        <v/>
      </c>
      <c r="F515" t="str">
        <f t="shared" si="65"/>
        <v>.pdf</v>
      </c>
      <c r="G515">
        <f t="shared" si="66"/>
        <v>94</v>
      </c>
      <c r="H515" s="3">
        <f>LEN(Table1[[#This Row],[Auteur]])</f>
        <v>26</v>
      </c>
      <c r="I515" s="3" t="str">
        <f t="shared" si="67"/>
        <v>Developing Bioinformatics Computer Skills</v>
      </c>
    </row>
    <row r="516" spans="1:9" x14ac:dyDescent="0.45">
      <c r="A516" t="s">
        <v>184</v>
      </c>
      <c r="B516" t="str">
        <f t="shared" si="61"/>
        <v>2007</v>
      </c>
      <c r="C516" t="str">
        <f t="shared" si="62"/>
        <v>Springer</v>
      </c>
      <c r="D516" t="str">
        <f t="shared" si="63"/>
        <v>Harshawardhan Bal, Johnny Hujol</v>
      </c>
      <c r="E516" s="3" t="str">
        <f t="shared" si="64"/>
        <v/>
      </c>
      <c r="F516" s="3" t="str">
        <f t="shared" si="65"/>
        <v>.pdf</v>
      </c>
      <c r="G516">
        <f t="shared" si="66"/>
        <v>109</v>
      </c>
      <c r="H516" s="3">
        <f>LEN(Table1[[#This Row],[Auteur]])</f>
        <v>31</v>
      </c>
      <c r="I516" s="3" t="str">
        <f t="shared" si="67"/>
        <v>Java for Bioinformatics and Biomedical Applications</v>
      </c>
    </row>
    <row r="517" spans="1:9" x14ac:dyDescent="0.45">
      <c r="A517" t="s">
        <v>185</v>
      </c>
      <c r="B517" t="str">
        <f t="shared" si="61"/>
        <v>2016</v>
      </c>
      <c r="C517" t="str">
        <f t="shared" si="62"/>
        <v>Dunod</v>
      </c>
      <c r="D517" t="str">
        <f t="shared" si="63"/>
        <v>Guillaume Plouin</v>
      </c>
      <c r="E517" s="3" t="str">
        <f t="shared" si="64"/>
        <v/>
      </c>
      <c r="F517" t="str">
        <f t="shared" si="65"/>
        <v>.pdf</v>
      </c>
      <c r="G517">
        <f t="shared" si="66"/>
        <v>99</v>
      </c>
      <c r="H517" s="3">
        <f>LEN(Table1[[#This Row],[Auteur]])</f>
        <v>16</v>
      </c>
      <c r="I517" s="3" t="str">
        <f t="shared" si="67"/>
        <v>Cloud computing, Sécurité, gouvernance du SI hybride</v>
      </c>
    </row>
    <row r="518" spans="1:9" hidden="1" x14ac:dyDescent="0.45">
      <c r="A518" t="s">
        <v>186</v>
      </c>
      <c r="B518" t="str">
        <f t="shared" si="61"/>
        <v>2016</v>
      </c>
      <c r="C518" t="str">
        <f t="shared" si="62"/>
        <v>Microsoft Press</v>
      </c>
      <c r="D518" t="str">
        <f t="shared" si="63"/>
        <v>Barry Briggs, Eduardo Kassner</v>
      </c>
      <c r="E518" s="3" t="str">
        <f t="shared" si="64"/>
        <v/>
      </c>
      <c r="F518" t="str">
        <f t="shared" si="65"/>
        <v>.epub</v>
      </c>
      <c r="G518">
        <f t="shared" si="66"/>
        <v>89</v>
      </c>
      <c r="H518" s="3">
        <f>LEN(Table1[[#This Row],[Auteur]])</f>
        <v>29</v>
      </c>
      <c r="I518" s="3" t="str">
        <f t="shared" ref="I518:I577" si="68">Title(A518)</f>
        <v>Enterprise Cloud Strategy</v>
      </c>
    </row>
    <row r="519" spans="1:9" x14ac:dyDescent="0.45">
      <c r="A519" t="s">
        <v>187</v>
      </c>
      <c r="B519" t="str">
        <f t="shared" si="61"/>
        <v>2016</v>
      </c>
      <c r="C519" t="str">
        <f t="shared" si="62"/>
        <v>Microsoft Press</v>
      </c>
      <c r="D519" t="str">
        <f t="shared" si="63"/>
        <v>Barry Briggs, Eduardo Kassner</v>
      </c>
      <c r="E519" s="3" t="str">
        <f t="shared" si="64"/>
        <v/>
      </c>
      <c r="F519" t="str">
        <f t="shared" si="65"/>
        <v>.pdf</v>
      </c>
      <c r="G519">
        <f t="shared" si="66"/>
        <v>88</v>
      </c>
      <c r="H519" s="3">
        <f>LEN(Table1[[#This Row],[Auteur]])</f>
        <v>29</v>
      </c>
      <c r="I519" s="3" t="str">
        <f t="shared" si="68"/>
        <v>Enterprise Cloud Strategy</v>
      </c>
    </row>
    <row r="520" spans="1:9" x14ac:dyDescent="0.45">
      <c r="A520" t="s">
        <v>188</v>
      </c>
      <c r="B520" t="str">
        <f t="shared" si="61"/>
        <v>2014</v>
      </c>
      <c r="C520" t="str">
        <f t="shared" si="62"/>
        <v>Packt</v>
      </c>
      <c r="D520" t="str">
        <f t="shared" si="63"/>
        <v>Anubhav Hanjura</v>
      </c>
      <c r="E520" s="3" t="str">
        <f t="shared" si="64"/>
        <v/>
      </c>
      <c r="F520" s="3" t="str">
        <f t="shared" si="65"/>
        <v>.pdf</v>
      </c>
      <c r="G520" s="3">
        <f t="shared" si="66"/>
        <v>75</v>
      </c>
      <c r="H520" s="3">
        <f>LEN(Table1[[#This Row],[Auteur]])</f>
        <v>15</v>
      </c>
      <c r="I520" s="3" t="str">
        <f t="shared" si="68"/>
        <v>Heroku Cloud Application Development</v>
      </c>
    </row>
    <row r="521" spans="1:9" x14ac:dyDescent="0.45">
      <c r="A521" t="s">
        <v>189</v>
      </c>
      <c r="B521" t="str">
        <f t="shared" si="61"/>
        <v>2010</v>
      </c>
      <c r="C521" t="str">
        <f t="shared" si="62"/>
        <v>Sitepoint</v>
      </c>
      <c r="D521" t="str">
        <f t="shared" si="63"/>
        <v>Jeff Barr</v>
      </c>
      <c r="E521" s="3" t="str">
        <f t="shared" si="64"/>
        <v/>
      </c>
      <c r="F521" t="str">
        <f t="shared" si="65"/>
        <v>.pdf</v>
      </c>
      <c r="G521">
        <f t="shared" si="66"/>
        <v>83</v>
      </c>
      <c r="H521" s="3">
        <f>LEN(Table1[[#This Row],[Auteur]])</f>
        <v>9</v>
      </c>
      <c r="I521" s="3" t="str">
        <f t="shared" si="68"/>
        <v>Host Your Web Site in the Cloud, AWS made easy</v>
      </c>
    </row>
    <row r="522" spans="1:9" x14ac:dyDescent="0.45">
      <c r="A522" t="s">
        <v>190</v>
      </c>
      <c r="B522" t="str">
        <f t="shared" si="61"/>
        <v>2016</v>
      </c>
      <c r="C522" t="str">
        <f t="shared" si="62"/>
        <v>Microsoft</v>
      </c>
      <c r="D522" t="str">
        <f t="shared" si="63"/>
        <v>?</v>
      </c>
      <c r="E522" s="3" t="str">
        <f t="shared" si="64"/>
        <v/>
      </c>
      <c r="F522" t="str">
        <f t="shared" si="65"/>
        <v>.pdf</v>
      </c>
      <c r="G522">
        <f t="shared" si="66"/>
        <v>72</v>
      </c>
      <c r="H522" s="3">
        <f>LEN(Table1[[#This Row],[Auteur]])</f>
        <v>1</v>
      </c>
      <c r="I522" s="3" t="str">
        <f t="shared" si="68"/>
        <v>Microsoft Cloud Solutions and Platforms Options</v>
      </c>
    </row>
    <row r="523" spans="1:9" x14ac:dyDescent="0.45">
      <c r="A523" t="s">
        <v>191</v>
      </c>
      <c r="B523" t="str">
        <f t="shared" si="61"/>
        <v>2014</v>
      </c>
      <c r="C523" t="str">
        <f t="shared" si="62"/>
        <v>Microsoft Press</v>
      </c>
      <c r="D523" t="str">
        <f t="shared" si="63"/>
        <v>David Ziembicki, Mitch Tulloch</v>
      </c>
      <c r="E523" s="3" t="str">
        <f t="shared" si="64"/>
        <v/>
      </c>
      <c r="F523" t="str">
        <f t="shared" si="65"/>
        <v>.epub</v>
      </c>
      <c r="G523">
        <f t="shared" si="66"/>
        <v>114</v>
      </c>
      <c r="H523" s="3">
        <f>LEN(Table1[[#This Row],[Auteur]])</f>
        <v>30</v>
      </c>
      <c r="I523" s="3" t="str">
        <f t="shared" si="68"/>
        <v>Microsoft System Center Integrated Cloud Platform</v>
      </c>
    </row>
    <row r="524" spans="1:9" x14ac:dyDescent="0.45">
      <c r="A524" t="s">
        <v>192</v>
      </c>
      <c r="B524" t="str">
        <f t="shared" si="61"/>
        <v>2014</v>
      </c>
      <c r="C524" t="str">
        <f t="shared" si="62"/>
        <v>Microsoft Press</v>
      </c>
      <c r="D524" t="str">
        <f t="shared" si="63"/>
        <v>David Ziembicki, Mitch Tulloch</v>
      </c>
      <c r="E524" s="3" t="str">
        <f t="shared" si="64"/>
        <v/>
      </c>
      <c r="F524" s="3" t="str">
        <f t="shared" si="65"/>
        <v>.pdf</v>
      </c>
      <c r="G524">
        <f t="shared" si="66"/>
        <v>113</v>
      </c>
      <c r="H524" s="3">
        <f>LEN(Table1[[#This Row],[Auteur]])</f>
        <v>30</v>
      </c>
      <c r="I524" s="3" t="str">
        <f t="shared" si="68"/>
        <v>Microsoft System Center Integrated Cloud Platform</v>
      </c>
    </row>
    <row r="525" spans="1:9" x14ac:dyDescent="0.45">
      <c r="A525" t="s">
        <v>1929</v>
      </c>
      <c r="B525" t="str">
        <f t="shared" si="61"/>
        <v>2014</v>
      </c>
      <c r="C525" t="str">
        <f t="shared" si="62"/>
        <v>Microsoft Press</v>
      </c>
      <c r="D525" t="str">
        <f t="shared" si="63"/>
        <v>Benmessaoud, Williams, Mudigonda, Tulloch</v>
      </c>
      <c r="E525" s="3" t="str">
        <f t="shared" si="64"/>
        <v/>
      </c>
      <c r="F525" s="3" t="str">
        <f t="shared" si="65"/>
        <v>.epub</v>
      </c>
      <c r="G525" s="3">
        <f t="shared" si="66"/>
        <v>142</v>
      </c>
      <c r="H525" s="3">
        <f>LEN(Table1[[#This Row],[Auteur]])</f>
        <v>41</v>
      </c>
      <c r="I525" s="3" t="str">
        <f t="shared" si="68"/>
        <v>Microsoft System Center Network Virtualization and Cloud Computing</v>
      </c>
    </row>
    <row r="526" spans="1:9" x14ac:dyDescent="0.45">
      <c r="A526" t="s">
        <v>1930</v>
      </c>
      <c r="B526" t="str">
        <f t="shared" si="61"/>
        <v>2014</v>
      </c>
      <c r="C526" t="str">
        <f t="shared" si="62"/>
        <v>Microsoft Press</v>
      </c>
      <c r="D526" t="str">
        <f t="shared" si="63"/>
        <v>Benmessaoud, Williams, Mudigonda, Tulloch</v>
      </c>
      <c r="E526" s="3" t="str">
        <f t="shared" si="64"/>
        <v/>
      </c>
      <c r="F526" t="str">
        <f t="shared" si="65"/>
        <v>.pdf</v>
      </c>
      <c r="G526">
        <f t="shared" si="66"/>
        <v>141</v>
      </c>
      <c r="H526" s="3">
        <f>LEN(Table1[[#This Row],[Auteur]])</f>
        <v>41</v>
      </c>
      <c r="I526" s="3" t="str">
        <f t="shared" si="68"/>
        <v>Microsoft System Center Network Virtualization and Cloud Computing</v>
      </c>
    </row>
    <row r="527" spans="1:9" x14ac:dyDescent="0.45">
      <c r="A527" t="s">
        <v>954</v>
      </c>
      <c r="B527" t="str">
        <f t="shared" si="61"/>
        <v>2010</v>
      </c>
      <c r="C527" t="str">
        <f t="shared" si="62"/>
        <v>O'Reilly</v>
      </c>
      <c r="D527" t="str">
        <f t="shared" si="63"/>
        <v>Dan Sanderson</v>
      </c>
      <c r="E527" s="3" t="str">
        <f t="shared" si="64"/>
        <v/>
      </c>
      <c r="F527" t="str">
        <f t="shared" si="65"/>
        <v>.pdf</v>
      </c>
      <c r="G527">
        <f t="shared" si="66"/>
        <v>69</v>
      </c>
      <c r="H527" s="3">
        <f>LEN(Table1[[#This Row],[Auteur]])</f>
        <v>13</v>
      </c>
      <c r="I527" s="3" t="str">
        <f t="shared" si="68"/>
        <v>Programming Google App Engine</v>
      </c>
    </row>
    <row r="528" spans="1:9" x14ac:dyDescent="0.45">
      <c r="A528" t="s">
        <v>193</v>
      </c>
      <c r="B528" t="str">
        <f t="shared" si="61"/>
        <v>2013</v>
      </c>
      <c r="C528" t="str">
        <f t="shared" si="62"/>
        <v>Microsoft Press</v>
      </c>
      <c r="D528" t="str">
        <f t="shared" si="63"/>
        <v>Marc Farley</v>
      </c>
      <c r="E528" s="3" t="str">
        <f t="shared" si="64"/>
        <v/>
      </c>
      <c r="F528" s="3" t="str">
        <f t="shared" si="65"/>
        <v>.epub</v>
      </c>
      <c r="G528" s="3">
        <f t="shared" si="66"/>
        <v>97</v>
      </c>
      <c r="H528" s="3">
        <f>LEN(Table1[[#This Row],[Auteur]])</f>
        <v>11</v>
      </c>
      <c r="I528" s="3" t="str">
        <f t="shared" si="68"/>
        <v>Rethinking Enterprise Storage, A Hybrid Cloud Model</v>
      </c>
    </row>
    <row r="529" spans="1:9" x14ac:dyDescent="0.45">
      <c r="A529" t="s">
        <v>194</v>
      </c>
      <c r="B529" t="str">
        <f t="shared" si="61"/>
        <v>2013</v>
      </c>
      <c r="C529" t="str">
        <f t="shared" si="62"/>
        <v>Microsoft Press</v>
      </c>
      <c r="D529" t="str">
        <f t="shared" si="63"/>
        <v>Marc Farley</v>
      </c>
      <c r="E529" s="3" t="str">
        <f t="shared" si="64"/>
        <v/>
      </c>
      <c r="F529" t="str">
        <f t="shared" si="65"/>
        <v>.pdf</v>
      </c>
      <c r="G529">
        <f t="shared" si="66"/>
        <v>96</v>
      </c>
      <c r="H529" s="3">
        <f>LEN(Table1[[#This Row],[Auteur]])</f>
        <v>11</v>
      </c>
      <c r="I529" s="3" t="str">
        <f t="shared" si="68"/>
        <v>Rethinking Enterprise Storage, A Hybrid Cloud Model</v>
      </c>
    </row>
    <row r="530" spans="1:9" x14ac:dyDescent="0.45">
      <c r="A530" t="s">
        <v>195</v>
      </c>
      <c r="B530" t="str">
        <f t="shared" si="61"/>
        <v>2013</v>
      </c>
      <c r="C530" t="str">
        <f t="shared" si="62"/>
        <v>Microsoft Press</v>
      </c>
      <c r="D530" t="str">
        <f t="shared" si="63"/>
        <v>Yung Chou, Keith Mayer, Mitch Tulloch</v>
      </c>
      <c r="E530" s="3" t="str">
        <f t="shared" si="64"/>
        <v/>
      </c>
      <c r="F530" t="str">
        <f t="shared" si="65"/>
        <v>.epub</v>
      </c>
      <c r="G530">
        <f t="shared" si="66"/>
        <v>116</v>
      </c>
      <c r="H530" s="3">
        <f>LEN(Table1[[#This Row],[Auteur]])</f>
        <v>37</v>
      </c>
      <c r="I530" s="3" t="str">
        <f t="shared" si="68"/>
        <v>System Center Cloud Mgmt with App Controller</v>
      </c>
    </row>
    <row r="531" spans="1:9" x14ac:dyDescent="0.45">
      <c r="A531" t="s">
        <v>196</v>
      </c>
      <c r="B531" t="str">
        <f t="shared" si="61"/>
        <v>2013</v>
      </c>
      <c r="C531" t="str">
        <f t="shared" si="62"/>
        <v>Microsoft Press</v>
      </c>
      <c r="D531" t="str">
        <f t="shared" si="63"/>
        <v>Yung Chou, Keith Mayer, Mitch Tulloch</v>
      </c>
      <c r="E531" s="3" t="str">
        <f t="shared" si="64"/>
        <v/>
      </c>
      <c r="F531" t="str">
        <f t="shared" si="65"/>
        <v>.pdf</v>
      </c>
      <c r="G531">
        <f t="shared" si="66"/>
        <v>115</v>
      </c>
      <c r="H531" s="3">
        <f>LEN(Table1[[#This Row],[Auteur]])</f>
        <v>37</v>
      </c>
      <c r="I531" s="3" t="str">
        <f t="shared" si="68"/>
        <v>System Center Cloud Mgmt with App Controller</v>
      </c>
    </row>
    <row r="532" spans="1:9" x14ac:dyDescent="0.45">
      <c r="A532" t="s">
        <v>1931</v>
      </c>
      <c r="B532" t="str">
        <f t="shared" si="61"/>
        <v>2015</v>
      </c>
      <c r="C532" t="str">
        <f t="shared" si="62"/>
        <v>Microsoft Press</v>
      </c>
      <c r="D532" t="str">
        <f t="shared" si="63"/>
        <v>Dubey, Tandra Sistla, Garg, Ramdas, Tulloch</v>
      </c>
      <c r="E532" s="3" t="str">
        <f t="shared" si="64"/>
        <v/>
      </c>
      <c r="F532" t="str">
        <f t="shared" si="65"/>
        <v>.epub</v>
      </c>
      <c r="G532">
        <f t="shared" si="66"/>
        <v>124</v>
      </c>
      <c r="H532" s="3">
        <f>LEN(Table1[[#This Row],[Auteur]])</f>
        <v>43</v>
      </c>
      <c r="I532" s="3" t="str">
        <f t="shared" si="68"/>
        <v>System Center Data Protection for Hybrid Cloud</v>
      </c>
    </row>
    <row r="533" spans="1:9" x14ac:dyDescent="0.45">
      <c r="A533" t="s">
        <v>1932</v>
      </c>
      <c r="B533" t="str">
        <f t="shared" si="61"/>
        <v>2015</v>
      </c>
      <c r="C533" t="str">
        <f t="shared" si="62"/>
        <v>Microsoft Press</v>
      </c>
      <c r="D533" t="str">
        <f t="shared" si="63"/>
        <v>Dubey, Tandra Sistla, Garg, Ramdas, Tulloch</v>
      </c>
      <c r="E533" s="3" t="str">
        <f t="shared" si="64"/>
        <v/>
      </c>
      <c r="F533" s="3" t="str">
        <f t="shared" si="65"/>
        <v>.pdf</v>
      </c>
      <c r="G533" s="3">
        <f t="shared" si="66"/>
        <v>123</v>
      </c>
      <c r="H533" s="3">
        <f>LEN(Table1[[#This Row],[Auteur]])</f>
        <v>43</v>
      </c>
      <c r="I533" s="3" t="str">
        <f t="shared" si="68"/>
        <v>System Center Data Protection for Hybrid Cloud</v>
      </c>
    </row>
    <row r="534" spans="1:9" x14ac:dyDescent="0.45">
      <c r="A534" t="s">
        <v>74</v>
      </c>
      <c r="B534" t="str">
        <f t="shared" si="61"/>
        <v>2013</v>
      </c>
      <c r="C534" t="str">
        <f t="shared" si="62"/>
        <v>Dunod</v>
      </c>
      <c r="D534" t="str">
        <f t="shared" si="63"/>
        <v>Guillaume Plouin</v>
      </c>
      <c r="E534" s="3" t="str">
        <f t="shared" si="64"/>
        <v/>
      </c>
      <c r="F534" t="str">
        <f t="shared" si="65"/>
        <v>.epub</v>
      </c>
      <c r="G534">
        <f t="shared" si="66"/>
        <v>69</v>
      </c>
      <c r="H534" s="3">
        <f>LEN(Table1[[#This Row],[Auteur]])</f>
        <v>16</v>
      </c>
      <c r="I534" s="3" t="str">
        <f t="shared" si="68"/>
        <v>Tout pour le cloud personnel</v>
      </c>
    </row>
    <row r="535" spans="1:9" x14ac:dyDescent="0.45">
      <c r="A535" t="s">
        <v>75</v>
      </c>
      <c r="B535" t="str">
        <f t="shared" si="61"/>
        <v>2013</v>
      </c>
      <c r="C535" t="str">
        <f t="shared" si="62"/>
        <v>Dunod</v>
      </c>
      <c r="D535" t="str">
        <f t="shared" si="63"/>
        <v>Guillaume Plouin</v>
      </c>
      <c r="E535" s="3" t="str">
        <f t="shared" si="64"/>
        <v/>
      </c>
      <c r="F535" t="str">
        <f t="shared" si="65"/>
        <v>.pdf</v>
      </c>
      <c r="G535">
        <f t="shared" si="66"/>
        <v>68</v>
      </c>
      <c r="H535" s="3">
        <f>LEN(Table1[[#This Row],[Auteur]])</f>
        <v>16</v>
      </c>
      <c r="I535" s="3" t="str">
        <f t="shared" si="68"/>
        <v>Tout pour le cloud personnel</v>
      </c>
    </row>
    <row r="536" spans="1:9" x14ac:dyDescent="0.45">
      <c r="A536" t="s">
        <v>2064</v>
      </c>
      <c r="B536" t="str">
        <f t="shared" si="61"/>
        <v>2016</v>
      </c>
      <c r="C536" t="str">
        <f t="shared" si="62"/>
        <v>Microsoft</v>
      </c>
      <c r="D536" t="str">
        <f t="shared" si="63"/>
        <v>?</v>
      </c>
      <c r="E536" s="3" t="str">
        <f t="shared" si="64"/>
        <v/>
      </c>
      <c r="F536" s="3" t="str">
        <f t="shared" si="65"/>
        <v>.pdf</v>
      </c>
      <c r="G536">
        <f t="shared" si="66"/>
        <v>56</v>
      </c>
      <c r="H536" s="3">
        <f>LEN(Table1[[#This Row],[Auteur]])</f>
        <v>1</v>
      </c>
      <c r="I536" s="3" t="str">
        <f t="shared" si="68"/>
        <v>Azure Managed Services Playbook</v>
      </c>
    </row>
    <row r="537" spans="1:9" x14ac:dyDescent="0.45">
      <c r="A537" t="s">
        <v>940</v>
      </c>
      <c r="B537" t="str">
        <f t="shared" si="61"/>
        <v>2016</v>
      </c>
      <c r="C537" t="str">
        <f t="shared" si="62"/>
        <v>Microsoft</v>
      </c>
      <c r="D537" t="str">
        <f t="shared" si="63"/>
        <v>?</v>
      </c>
      <c r="E537" s="3" t="str">
        <f t="shared" si="64"/>
        <v/>
      </c>
      <c r="F537" t="str">
        <f t="shared" si="65"/>
        <v>.pdf</v>
      </c>
      <c r="G537">
        <f t="shared" si="66"/>
        <v>81</v>
      </c>
      <c r="H537" s="3">
        <f>LEN(Table1[[#This Row],[Auteur]])</f>
        <v>1</v>
      </c>
      <c r="I537" s="3" t="str">
        <f t="shared" si="68"/>
        <v>Bring the cloud to your datacenter Microsoft Azure Stack</v>
      </c>
    </row>
    <row r="538" spans="1:9" x14ac:dyDescent="0.45">
      <c r="A538" t="s">
        <v>1971</v>
      </c>
      <c r="B538" t="str">
        <f t="shared" si="61"/>
        <v>2014</v>
      </c>
      <c r="C538" t="str">
        <f t="shared" si="62"/>
        <v>Microsoft Press</v>
      </c>
      <c r="D538" t="str">
        <f t="shared" si="63"/>
        <v>Guthrie, Simms, Dykstra, Anderson, Wasson</v>
      </c>
      <c r="E538" s="3" t="str">
        <f t="shared" si="64"/>
        <v/>
      </c>
      <c r="F538" s="3" t="str">
        <f t="shared" si="65"/>
        <v>.epub</v>
      </c>
      <c r="G538" s="3">
        <f t="shared" si="66"/>
        <v>116</v>
      </c>
      <c r="H538" s="3">
        <f>LEN(Table1[[#This Row],[Auteur]])</f>
        <v>41</v>
      </c>
      <c r="I538" s="3" t="str">
        <f t="shared" si="68"/>
        <v>Building Cloud Apps with Microsoft Azure</v>
      </c>
    </row>
    <row r="539" spans="1:9" x14ac:dyDescent="0.45">
      <c r="A539" t="s">
        <v>1972</v>
      </c>
      <c r="B539" t="str">
        <f t="shared" si="61"/>
        <v>2014</v>
      </c>
      <c r="C539" t="str">
        <f t="shared" si="62"/>
        <v>Microsoft Press</v>
      </c>
      <c r="D539" t="str">
        <f t="shared" si="63"/>
        <v>Guthrie, Simms, Dykstra, Anderson, Wasson</v>
      </c>
      <c r="E539" s="3" t="str">
        <f t="shared" si="64"/>
        <v/>
      </c>
      <c r="F539" s="3" t="str">
        <f t="shared" si="65"/>
        <v>.pdf</v>
      </c>
      <c r="G539">
        <f t="shared" si="66"/>
        <v>115</v>
      </c>
      <c r="H539" s="3">
        <f>LEN(Table1[[#This Row],[Auteur]])</f>
        <v>41</v>
      </c>
      <c r="I539" s="3" t="str">
        <f t="shared" si="68"/>
        <v>Building Cloud Apps with Microsoft Azure</v>
      </c>
    </row>
    <row r="540" spans="1:9" x14ac:dyDescent="0.45">
      <c r="A540" t="s">
        <v>941</v>
      </c>
      <c r="B540" t="str">
        <f t="shared" si="61"/>
        <v>2014</v>
      </c>
      <c r="C540" t="str">
        <f t="shared" si="62"/>
        <v>Microsoft</v>
      </c>
      <c r="D540" t="str">
        <f t="shared" si="63"/>
        <v>?</v>
      </c>
      <c r="E540" s="3" t="str">
        <f t="shared" si="64"/>
        <v>Whitepaper</v>
      </c>
      <c r="F540" t="str">
        <f t="shared" si="65"/>
        <v>.pdf</v>
      </c>
      <c r="G540">
        <f t="shared" si="66"/>
        <v>91</v>
      </c>
      <c r="H540" s="3">
        <f>LEN(Table1[[#This Row],[Auteur]])</f>
        <v>1</v>
      </c>
      <c r="I540" s="3" t="str">
        <f t="shared" si="68"/>
        <v>Continuous deployment using Microsoft Azure Web Sites</v>
      </c>
    </row>
    <row r="541" spans="1:9" x14ac:dyDescent="0.45">
      <c r="A541" t="s">
        <v>942</v>
      </c>
      <c r="B541" t="str">
        <f t="shared" si="61"/>
        <v>2014</v>
      </c>
      <c r="C541" t="str">
        <f t="shared" si="62"/>
        <v>Microsoft Press</v>
      </c>
      <c r="D541" t="str">
        <f t="shared" si="63"/>
        <v>Chauhuan, Fontama, Hart, Hyong Tok, Woody</v>
      </c>
      <c r="E541" s="3" t="str">
        <f t="shared" si="64"/>
        <v/>
      </c>
      <c r="F541" s="3" t="str">
        <f t="shared" si="65"/>
        <v>.epub</v>
      </c>
      <c r="G541">
        <f t="shared" si="66"/>
        <v>113</v>
      </c>
      <c r="H541" s="3">
        <f>LEN(Table1[[#This Row],[Auteur]])</f>
        <v>41</v>
      </c>
      <c r="I541" s="3" t="str">
        <f t="shared" si="68"/>
        <v>Introducing Microsoft Azure Hindsight</v>
      </c>
    </row>
    <row r="542" spans="1:9" x14ac:dyDescent="0.45">
      <c r="A542" t="s">
        <v>943</v>
      </c>
      <c r="B542" t="str">
        <f t="shared" si="61"/>
        <v>2014</v>
      </c>
      <c r="C542" t="str">
        <f t="shared" si="62"/>
        <v>Microsoft Press</v>
      </c>
      <c r="D542" t="str">
        <f t="shared" si="63"/>
        <v>Chauhuan, Fontama, Hart, Hyong Tok, Woody</v>
      </c>
      <c r="E542" s="3" t="str">
        <f t="shared" si="64"/>
        <v/>
      </c>
      <c r="F542" s="3" t="str">
        <f t="shared" si="65"/>
        <v>.pdf</v>
      </c>
      <c r="G542">
        <f t="shared" si="66"/>
        <v>112</v>
      </c>
      <c r="H542" s="3">
        <f>LEN(Table1[[#This Row],[Auteur]])</f>
        <v>41</v>
      </c>
      <c r="I542" s="3" t="str">
        <f t="shared" si="68"/>
        <v>Introducing Microsoft Azure Hindsight</v>
      </c>
    </row>
    <row r="543" spans="1:9" x14ac:dyDescent="0.45">
      <c r="A543" t="s">
        <v>944</v>
      </c>
      <c r="B543" t="str">
        <f t="shared" si="61"/>
        <v>2013</v>
      </c>
      <c r="C543" t="str">
        <f t="shared" si="62"/>
        <v>Microsoft Press</v>
      </c>
      <c r="D543" t="str">
        <f t="shared" si="63"/>
        <v>Mitch Tulloch</v>
      </c>
      <c r="E543" s="3" t="str">
        <f t="shared" si="64"/>
        <v/>
      </c>
      <c r="F543" t="str">
        <f t="shared" si="65"/>
        <v>.epub</v>
      </c>
      <c r="G543">
        <f t="shared" si="66"/>
        <v>94</v>
      </c>
      <c r="H543" s="3">
        <f>LEN(Table1[[#This Row],[Auteur]])</f>
        <v>13</v>
      </c>
      <c r="I543" s="3" t="str">
        <f t="shared" si="68"/>
        <v>Introducing Windows Azure for IT Professionals</v>
      </c>
    </row>
    <row r="544" spans="1:9" x14ac:dyDescent="0.45">
      <c r="A544" t="s">
        <v>945</v>
      </c>
      <c r="B544" t="str">
        <f t="shared" si="61"/>
        <v>2013</v>
      </c>
      <c r="C544" t="str">
        <f t="shared" si="62"/>
        <v>Microsoft Press</v>
      </c>
      <c r="D544" t="str">
        <f t="shared" si="63"/>
        <v>Mitch Tulloch</v>
      </c>
      <c r="E544" s="3" t="str">
        <f t="shared" si="64"/>
        <v/>
      </c>
      <c r="F544" s="3" t="str">
        <f t="shared" si="65"/>
        <v>.pdf</v>
      </c>
      <c r="G544" s="3">
        <f t="shared" si="66"/>
        <v>93</v>
      </c>
      <c r="H544" s="3">
        <f>LEN(Table1[[#This Row],[Auteur]])</f>
        <v>13</v>
      </c>
      <c r="I544" s="3" t="str">
        <f t="shared" si="68"/>
        <v>Introducing Windows Azure for IT Professionals</v>
      </c>
    </row>
    <row r="545" spans="1:9" x14ac:dyDescent="0.45">
      <c r="A545" t="s">
        <v>946</v>
      </c>
      <c r="B545" t="str">
        <f t="shared" si="61"/>
        <v>2015</v>
      </c>
      <c r="C545" t="str">
        <f t="shared" si="62"/>
        <v>Microsoft Press</v>
      </c>
      <c r="D545" t="str">
        <f t="shared" si="63"/>
        <v>Michael McKeown</v>
      </c>
      <c r="E545" s="3" t="str">
        <f t="shared" si="64"/>
        <v/>
      </c>
      <c r="F545" s="3" t="str">
        <f t="shared" si="65"/>
        <v>.epub</v>
      </c>
      <c r="G545">
        <f t="shared" si="66"/>
        <v>94</v>
      </c>
      <c r="H545" s="3">
        <f>LEN(Table1[[#This Row],[Auteur]])</f>
        <v>15</v>
      </c>
      <c r="I545" s="3" t="str">
        <f t="shared" si="68"/>
        <v>Microsoft Azure Essentials, Azure Automation</v>
      </c>
    </row>
    <row r="546" spans="1:9" x14ac:dyDescent="0.45">
      <c r="A546" t="s">
        <v>947</v>
      </c>
      <c r="B546" t="str">
        <f t="shared" si="61"/>
        <v>2015</v>
      </c>
      <c r="C546" t="str">
        <f t="shared" si="62"/>
        <v>Microsoft Press</v>
      </c>
      <c r="D546" t="str">
        <f t="shared" si="63"/>
        <v>Michael McKeown</v>
      </c>
      <c r="E546" s="3" t="str">
        <f t="shared" si="64"/>
        <v/>
      </c>
      <c r="F546" s="3" t="str">
        <f t="shared" si="65"/>
        <v>.pdf</v>
      </c>
      <c r="G546">
        <f t="shared" si="66"/>
        <v>93</v>
      </c>
      <c r="H546" s="3">
        <f>LEN(Table1[[#This Row],[Auteur]])</f>
        <v>15</v>
      </c>
      <c r="I546" s="3" t="str">
        <f t="shared" si="68"/>
        <v>Microsoft Azure Essentials, Azure Automation</v>
      </c>
    </row>
    <row r="547" spans="1:9" x14ac:dyDescent="0.45">
      <c r="A547" t="s">
        <v>948</v>
      </c>
      <c r="B547" t="str">
        <f t="shared" si="61"/>
        <v>2015</v>
      </c>
      <c r="C547" t="str">
        <f t="shared" si="62"/>
        <v>Microsoft Press</v>
      </c>
      <c r="D547" t="str">
        <f t="shared" si="63"/>
        <v>Jeff Barnes</v>
      </c>
      <c r="E547" s="3" t="str">
        <f t="shared" si="64"/>
        <v/>
      </c>
      <c r="F547" t="str">
        <f t="shared" si="65"/>
        <v>.epub</v>
      </c>
      <c r="G547">
        <f t="shared" si="66"/>
        <v>96</v>
      </c>
      <c r="H547" s="3">
        <f>LEN(Table1[[#This Row],[Auteur]])</f>
        <v>11</v>
      </c>
      <c r="I547" s="3" t="str">
        <f t="shared" si="68"/>
        <v>Microsoft Azure Essentials, Azure Machine Learning</v>
      </c>
    </row>
    <row r="548" spans="1:9" x14ac:dyDescent="0.45">
      <c r="A548" t="s">
        <v>949</v>
      </c>
      <c r="B548" t="str">
        <f t="shared" si="61"/>
        <v>2015</v>
      </c>
      <c r="C548" t="str">
        <f t="shared" si="62"/>
        <v>Microsoft Press</v>
      </c>
      <c r="D548" t="str">
        <f t="shared" si="63"/>
        <v>Jeff Barnes</v>
      </c>
      <c r="E548" s="3" t="str">
        <f t="shared" si="64"/>
        <v/>
      </c>
      <c r="F548" t="str">
        <f t="shared" si="65"/>
        <v>.pdf</v>
      </c>
      <c r="G548">
        <f t="shared" si="66"/>
        <v>95</v>
      </c>
      <c r="H548" s="3">
        <f>LEN(Table1[[#This Row],[Auteur]])</f>
        <v>11</v>
      </c>
      <c r="I548" s="3" t="str">
        <f t="shared" si="68"/>
        <v>Microsoft Azure Essentials, Azure Machine Learning</v>
      </c>
    </row>
    <row r="549" spans="1:9" x14ac:dyDescent="0.45">
      <c r="A549" t="s">
        <v>950</v>
      </c>
      <c r="B549" t="str">
        <f t="shared" si="61"/>
        <v>2015</v>
      </c>
      <c r="C549" t="str">
        <f t="shared" si="62"/>
        <v>Microsoft Press</v>
      </c>
      <c r="D549" t="str">
        <f t="shared" si="63"/>
        <v>Rick Rainey</v>
      </c>
      <c r="E549" s="3" t="str">
        <f t="shared" si="64"/>
        <v/>
      </c>
      <c r="F549" s="3" t="str">
        <f t="shared" si="65"/>
        <v>.epub</v>
      </c>
      <c r="G549">
        <f t="shared" si="66"/>
        <v>103</v>
      </c>
      <c r="H549" s="3">
        <f>LEN(Table1[[#This Row],[Auteur]])</f>
        <v>11</v>
      </c>
      <c r="I549" s="3" t="str">
        <f t="shared" si="68"/>
        <v>Microsoft Azure Essentials, Azure Web Apps for Developers</v>
      </c>
    </row>
    <row r="550" spans="1:9" x14ac:dyDescent="0.45">
      <c r="A550" t="s">
        <v>951</v>
      </c>
      <c r="B550" t="str">
        <f t="shared" si="61"/>
        <v>2015</v>
      </c>
      <c r="C550" t="str">
        <f t="shared" si="62"/>
        <v>Microsoft Press</v>
      </c>
      <c r="D550" t="str">
        <f t="shared" si="63"/>
        <v>Rick Rainey</v>
      </c>
      <c r="E550" s="3" t="str">
        <f t="shared" si="64"/>
        <v/>
      </c>
      <c r="F550" t="str">
        <f t="shared" si="65"/>
        <v>.pdf</v>
      </c>
      <c r="G550">
        <f t="shared" si="66"/>
        <v>102</v>
      </c>
      <c r="H550" s="3">
        <f>LEN(Table1[[#This Row],[Auteur]])</f>
        <v>11</v>
      </c>
      <c r="I550" s="3" t="str">
        <f t="shared" si="68"/>
        <v>Microsoft Azure Essentials, Azure Web Apps for Developers</v>
      </c>
    </row>
    <row r="551" spans="1:9" x14ac:dyDescent="0.45">
      <c r="A551" t="s">
        <v>952</v>
      </c>
      <c r="B551" t="str">
        <f t="shared" si="61"/>
        <v>2015</v>
      </c>
      <c r="C551" t="str">
        <f t="shared" si="62"/>
        <v>Microsoft Press</v>
      </c>
      <c r="D551" t="str">
        <f t="shared" si="63"/>
        <v>Michael Collier, Robin Shahan</v>
      </c>
      <c r="E551" s="3" t="str">
        <f t="shared" si="64"/>
        <v/>
      </c>
      <c r="F551" t="str">
        <f t="shared" si="65"/>
        <v>.epub</v>
      </c>
      <c r="G551">
        <f t="shared" si="66"/>
        <v>113</v>
      </c>
      <c r="H551" s="3">
        <f>LEN(Table1[[#This Row],[Auteur]])</f>
        <v>29</v>
      </c>
      <c r="I551" s="3" t="str">
        <f t="shared" si="68"/>
        <v>Microsoft Azure Essentials, Fundamentals of Azure</v>
      </c>
    </row>
    <row r="552" spans="1:9" x14ac:dyDescent="0.45">
      <c r="A552" t="s">
        <v>953</v>
      </c>
      <c r="B552" t="str">
        <f t="shared" si="61"/>
        <v>2015</v>
      </c>
      <c r="C552" t="str">
        <f t="shared" si="62"/>
        <v>Microsoft Press</v>
      </c>
      <c r="D552" t="str">
        <f t="shared" si="63"/>
        <v>Michael Collier, Robin Shahan</v>
      </c>
      <c r="E552" s="3" t="str">
        <f t="shared" si="64"/>
        <v/>
      </c>
      <c r="F552" t="str">
        <f t="shared" si="65"/>
        <v>.pdf</v>
      </c>
      <c r="G552">
        <f t="shared" si="66"/>
        <v>112</v>
      </c>
      <c r="H552" s="3">
        <f>LEN(Table1[[#This Row],[Auteur]])</f>
        <v>29</v>
      </c>
      <c r="I552" s="3" t="str">
        <f t="shared" si="68"/>
        <v>Microsoft Azure Essentials, Fundamentals of Azure</v>
      </c>
    </row>
    <row r="553" spans="1:9" x14ac:dyDescent="0.45">
      <c r="A553" t="s">
        <v>1981</v>
      </c>
      <c r="B553" t="str">
        <f t="shared" si="61"/>
        <v>2008</v>
      </c>
      <c r="C553" t="str">
        <f t="shared" si="62"/>
        <v>Eyrolles</v>
      </c>
      <c r="D553" t="str">
        <f t="shared" si="63"/>
        <v>Anne Tasso</v>
      </c>
      <c r="E553" s="3" t="str">
        <f t="shared" si="64"/>
        <v/>
      </c>
      <c r="F553" t="str">
        <f t="shared" si="65"/>
        <v>.pdf</v>
      </c>
      <c r="G553">
        <f t="shared" si="66"/>
        <v>77</v>
      </c>
      <c r="H553" s="3">
        <f>LEN(Table1[[#This Row],[Auteur]])</f>
        <v>10</v>
      </c>
      <c r="I553" s="3" t="str">
        <f t="shared" si="68"/>
        <v>Apprendre à programmer en ActionScript 3</v>
      </c>
    </row>
    <row r="554" spans="1:9" x14ac:dyDescent="0.45">
      <c r="A554" t="s">
        <v>1008</v>
      </c>
      <c r="B554" t="str">
        <f t="shared" si="61"/>
        <v>2013</v>
      </c>
      <c r="C554" t="str">
        <f t="shared" si="62"/>
        <v>Packt</v>
      </c>
      <c r="D554" t="str">
        <f t="shared" si="63"/>
        <v>Doron Feinstein</v>
      </c>
      <c r="E554" s="3" t="str">
        <f t="shared" si="64"/>
        <v/>
      </c>
      <c r="F554" t="str">
        <f t="shared" si="65"/>
        <v>.pdf</v>
      </c>
      <c r="G554">
        <f t="shared" si="66"/>
        <v>64</v>
      </c>
      <c r="H554" s="3">
        <f>LEN(Table1[[#This Row],[Auteur]])</f>
        <v>15</v>
      </c>
      <c r="I554" s="3" t="str">
        <f t="shared" si="68"/>
        <v>HLSL Development Cookbook</v>
      </c>
    </row>
    <row r="555" spans="1:9" x14ac:dyDescent="0.45">
      <c r="A555" t="s">
        <v>1011</v>
      </c>
      <c r="B555" t="str">
        <f t="shared" si="61"/>
        <v>2011</v>
      </c>
      <c r="C555" t="str">
        <f t="shared" si="62"/>
        <v>Manning</v>
      </c>
      <c r="D555" t="str">
        <f t="shared" si="63"/>
        <v>Bruno Lowagie</v>
      </c>
      <c r="E555" s="3" t="str">
        <f t="shared" si="64"/>
        <v/>
      </c>
      <c r="F555" t="str">
        <f t="shared" si="65"/>
        <v>.pdf</v>
      </c>
      <c r="G555">
        <f t="shared" si="66"/>
        <v>62</v>
      </c>
      <c r="H555" s="3">
        <f>LEN(Table1[[#This Row],[Auteur]])</f>
        <v>13</v>
      </c>
      <c r="I555" s="3" t="str">
        <f t="shared" si="68"/>
        <v>iText in Action</v>
      </c>
    </row>
    <row r="556" spans="1:9" x14ac:dyDescent="0.45">
      <c r="A556" t="s">
        <v>1012</v>
      </c>
      <c r="B556" t="str">
        <f t="shared" si="61"/>
        <v>2007</v>
      </c>
      <c r="C556" t="str">
        <f t="shared" si="62"/>
        <v>Manning</v>
      </c>
      <c r="D556" t="str">
        <f t="shared" si="63"/>
        <v>Bruno Lowagie</v>
      </c>
      <c r="E556" s="3" t="str">
        <f t="shared" si="64"/>
        <v/>
      </c>
      <c r="F556" t="str">
        <f t="shared" si="65"/>
        <v>.pdf</v>
      </c>
      <c r="G556">
        <f t="shared" si="66"/>
        <v>54</v>
      </c>
      <c r="H556" s="3">
        <f>LEN(Table1[[#This Row],[Auteur]])</f>
        <v>13</v>
      </c>
      <c r="I556" s="3" t="str">
        <f t="shared" si="68"/>
        <v>iText in Action</v>
      </c>
    </row>
    <row r="557" spans="1:9" x14ac:dyDescent="0.45">
      <c r="A557" t="s">
        <v>955</v>
      </c>
      <c r="B557" t="str">
        <f t="shared" si="61"/>
        <v>2015</v>
      </c>
      <c r="C557" t="str">
        <f t="shared" si="62"/>
        <v>?</v>
      </c>
      <c r="D557" t="str">
        <f t="shared" si="63"/>
        <v>OS Swift</v>
      </c>
      <c r="E557" s="3" t="str">
        <f t="shared" si="64"/>
        <v/>
      </c>
      <c r="F557" t="str">
        <f t="shared" si="65"/>
        <v>.pdf</v>
      </c>
      <c r="G557">
        <f t="shared" si="66"/>
        <v>80</v>
      </c>
      <c r="H557" s="3">
        <f>LEN(Table1[[#This Row],[Auteur]])</f>
        <v>8</v>
      </c>
      <c r="I557" s="3" t="str">
        <f t="shared" si="68"/>
        <v>Android Programming Guide, Android App Development</v>
      </c>
    </row>
    <row r="558" spans="1:9" x14ac:dyDescent="0.45">
      <c r="A558" t="s">
        <v>956</v>
      </c>
      <c r="B558" t="str">
        <f t="shared" si="61"/>
        <v>2012</v>
      </c>
      <c r="C558" t="str">
        <f t="shared" si="62"/>
        <v>Wiley</v>
      </c>
      <c r="D558" t="str">
        <f t="shared" si="63"/>
        <v>Wei-Meng Lee</v>
      </c>
      <c r="E558" s="3" t="str">
        <f t="shared" si="64"/>
        <v/>
      </c>
      <c r="F558" t="str">
        <f t="shared" si="65"/>
        <v>.pdf</v>
      </c>
      <c r="G558">
        <f t="shared" si="66"/>
        <v>79</v>
      </c>
      <c r="H558" s="3">
        <f>LEN(Table1[[#This Row],[Auteur]])</f>
        <v>12</v>
      </c>
      <c r="I558" s="3" t="str">
        <f t="shared" si="68"/>
        <v>Beginning Android 4 Application Development</v>
      </c>
    </row>
    <row r="559" spans="1:9" x14ac:dyDescent="0.45">
      <c r="A559" t="s">
        <v>957</v>
      </c>
      <c r="B559" t="str">
        <f t="shared" si="61"/>
        <v>2012</v>
      </c>
      <c r="C559" t="str">
        <f t="shared" si="62"/>
        <v>O'Reilly</v>
      </c>
      <c r="D559" t="str">
        <f t="shared" si="63"/>
        <v>Jonathan Stark</v>
      </c>
      <c r="E559" s="3" t="str">
        <f t="shared" si="64"/>
        <v/>
      </c>
      <c r="F559" t="str">
        <f t="shared" si="65"/>
        <v>.pdf</v>
      </c>
      <c r="G559">
        <f t="shared" si="66"/>
        <v>99</v>
      </c>
      <c r="H559" s="3">
        <f>LEN(Table1[[#This Row],[Auteur]])</f>
        <v>14</v>
      </c>
      <c r="I559" s="3" t="str">
        <f t="shared" si="68"/>
        <v>Building Android Apps with HTML CSS and JavaScript</v>
      </c>
    </row>
    <row r="560" spans="1:9" x14ac:dyDescent="0.45">
      <c r="A560" t="s">
        <v>958</v>
      </c>
      <c r="B560" t="str">
        <f t="shared" si="61"/>
        <v>2013</v>
      </c>
      <c r="C560" t="str">
        <f t="shared" si="62"/>
        <v>Dunod</v>
      </c>
      <c r="D560" t="str">
        <f t="shared" si="63"/>
        <v>Gosset, Impérial, Pybourdin, Zynovieff</v>
      </c>
      <c r="E560" s="3" t="str">
        <f t="shared" si="64"/>
        <v/>
      </c>
      <c r="F560" t="str">
        <f t="shared" si="65"/>
        <v>.pdf</v>
      </c>
      <c r="G560">
        <f t="shared" si="66"/>
        <v>94</v>
      </c>
      <c r="H560" s="3">
        <f>LEN(Table1[[#This Row],[Auteur]])</f>
        <v>38</v>
      </c>
      <c r="I560" s="3" t="str">
        <f t="shared" si="68"/>
        <v>Cookbook développement Android 4</v>
      </c>
    </row>
    <row r="561" spans="1:9" x14ac:dyDescent="0.45">
      <c r="A561" t="s">
        <v>959</v>
      </c>
      <c r="B561" t="str">
        <f t="shared" si="61"/>
        <v>2013</v>
      </c>
      <c r="C561" t="str">
        <f t="shared" si="62"/>
        <v>?</v>
      </c>
      <c r="D561" t="str">
        <f t="shared" si="63"/>
        <v>?</v>
      </c>
      <c r="E561" s="3" t="str">
        <f t="shared" si="64"/>
        <v/>
      </c>
      <c r="F561" s="3" t="str">
        <f t="shared" si="65"/>
        <v>.zip</v>
      </c>
      <c r="G561" s="3">
        <f t="shared" si="66"/>
        <v>60</v>
      </c>
      <c r="H561" s="3">
        <f>LEN(Table1[[#This Row],[Auteur]])</f>
        <v>1</v>
      </c>
      <c r="I561" s="3" t="str">
        <f t="shared" si="68"/>
        <v>Cookbook développement Android 4</v>
      </c>
    </row>
    <row r="562" spans="1:9" x14ac:dyDescent="0.45">
      <c r="A562" t="s">
        <v>960</v>
      </c>
      <c r="B562" t="str">
        <f t="shared" si="61"/>
        <v>2012</v>
      </c>
      <c r="C562" t="str">
        <f t="shared" si="62"/>
        <v>Le site du zéro</v>
      </c>
      <c r="D562" t="str">
        <f t="shared" si="63"/>
        <v>AndroWiiid, Frédéric Espiau</v>
      </c>
      <c r="E562" s="3" t="str">
        <f t="shared" si="64"/>
        <v/>
      </c>
      <c r="F562" s="3" t="str">
        <f t="shared" si="65"/>
        <v>.pdf</v>
      </c>
      <c r="G562">
        <f t="shared" si="66"/>
        <v>96</v>
      </c>
      <c r="H562" s="3">
        <f>LEN(Table1[[#This Row],[Auteur]])</f>
        <v>27</v>
      </c>
      <c r="I562" s="3" t="str">
        <f t="shared" si="68"/>
        <v>Créez des applications pour Android</v>
      </c>
    </row>
    <row r="563" spans="1:9" x14ac:dyDescent="0.45">
      <c r="A563" t="s">
        <v>961</v>
      </c>
      <c r="B563" t="str">
        <f t="shared" si="61"/>
        <v>2009</v>
      </c>
      <c r="C563" t="str">
        <f t="shared" si="62"/>
        <v>Eyrolles</v>
      </c>
      <c r="D563" t="str">
        <f t="shared" si="63"/>
        <v>Frédéric Brault</v>
      </c>
      <c r="E563" s="3" t="str">
        <f t="shared" si="64"/>
        <v/>
      </c>
      <c r="F563" t="str">
        <f t="shared" si="65"/>
        <v>.pdf</v>
      </c>
      <c r="G563">
        <f t="shared" si="66"/>
        <v>104</v>
      </c>
      <c r="H563" s="3">
        <f>LEN(Table1[[#This Row],[Auteur]])</f>
        <v>15</v>
      </c>
      <c r="I563" s="3" t="str">
        <f t="shared" si="68"/>
        <v>Hackez Google Android, Introduction à la programmation système</v>
      </c>
    </row>
    <row r="564" spans="1:9" x14ac:dyDescent="0.45">
      <c r="A564" t="s">
        <v>962</v>
      </c>
      <c r="B564" t="str">
        <f t="shared" si="61"/>
        <v>2012</v>
      </c>
      <c r="C564" t="str">
        <f t="shared" si="62"/>
        <v>Apress</v>
      </c>
      <c r="D564" t="str">
        <f t="shared" si="63"/>
        <v>Gavin Williams</v>
      </c>
      <c r="E564" s="3" t="str">
        <f t="shared" si="64"/>
        <v/>
      </c>
      <c r="F564" t="str">
        <f t="shared" si="65"/>
        <v>.pdf</v>
      </c>
      <c r="G564">
        <f t="shared" si="66"/>
        <v>77</v>
      </c>
      <c r="H564" s="3">
        <f>LEN(Table1[[#This Row],[Auteur]])</f>
        <v>14</v>
      </c>
      <c r="I564" s="3" t="str">
        <f t="shared" si="68"/>
        <v>Learn HTML5 and JavaScript for Android</v>
      </c>
    </row>
    <row r="565" spans="1:9" x14ac:dyDescent="0.45">
      <c r="A565" t="s">
        <v>963</v>
      </c>
      <c r="B565" t="str">
        <f t="shared" si="61"/>
        <v>2010</v>
      </c>
      <c r="C565" t="str">
        <f t="shared" si="62"/>
        <v>Eyrolles</v>
      </c>
      <c r="D565" t="str">
        <f t="shared" si="63"/>
        <v>Guignard, Chable, Robles</v>
      </c>
      <c r="E565" s="3" t="str">
        <f t="shared" si="64"/>
        <v/>
      </c>
      <c r="F565" s="3" t="str">
        <f t="shared" si="65"/>
        <v>.pdf</v>
      </c>
      <c r="G565">
        <f t="shared" si="66"/>
        <v>134</v>
      </c>
      <c r="H565" s="3">
        <f>LEN(Table1[[#This Row],[Auteur]])</f>
        <v>24</v>
      </c>
      <c r="I565" s="3" t="str">
        <f t="shared" si="68"/>
        <v>Programmation Android, De la conception au déploiement avec le SDK Google Android 2</v>
      </c>
    </row>
    <row r="566" spans="1:9" x14ac:dyDescent="0.45">
      <c r="A566" t="s">
        <v>964</v>
      </c>
      <c r="B566" t="str">
        <f t="shared" si="61"/>
        <v>1997</v>
      </c>
      <c r="C566" t="str">
        <f t="shared" si="62"/>
        <v>Morgan Kaufmann</v>
      </c>
      <c r="D566" t="str">
        <f t="shared" si="63"/>
        <v>Steven S. Muchnick</v>
      </c>
      <c r="E566" s="3" t="str">
        <f t="shared" si="64"/>
        <v/>
      </c>
      <c r="F566" t="str">
        <f t="shared" si="65"/>
        <v>.djvu</v>
      </c>
      <c r="G566">
        <f t="shared" si="66"/>
        <v>96</v>
      </c>
      <c r="H566" s="3">
        <f>LEN(Table1[[#This Row],[Auteur]])</f>
        <v>18</v>
      </c>
      <c r="I566" s="3" t="str">
        <f t="shared" si="68"/>
        <v>Advanced Compiler Design and Implementation</v>
      </c>
    </row>
    <row r="567" spans="1:9" x14ac:dyDescent="0.45">
      <c r="A567" t="s">
        <v>965</v>
      </c>
      <c r="B567" t="str">
        <f t="shared" si="61"/>
        <v>1993</v>
      </c>
      <c r="C567" t="str">
        <f t="shared" si="62"/>
        <v>Harper Collins</v>
      </c>
      <c r="D567" t="str">
        <f t="shared" si="63"/>
        <v>William M. Waite, Lynn Robert Carter</v>
      </c>
      <c r="E567" s="3" t="str">
        <f t="shared" si="64"/>
        <v/>
      </c>
      <c r="F567" t="str">
        <f t="shared" si="65"/>
        <v>.djvu</v>
      </c>
      <c r="G567">
        <f t="shared" si="66"/>
        <v>110</v>
      </c>
      <c r="H567" s="3">
        <f>LEN(Table1[[#This Row],[Auteur]])</f>
        <v>36</v>
      </c>
      <c r="I567" s="3" t="str">
        <f t="shared" si="68"/>
        <v>An Introduction to Compiler Construction</v>
      </c>
    </row>
    <row r="568" spans="1:9" x14ac:dyDescent="0.45">
      <c r="A568" t="s">
        <v>966</v>
      </c>
      <c r="B568" t="str">
        <f t="shared" si="61"/>
        <v>2007</v>
      </c>
      <c r="C568" t="str">
        <f t="shared" si="62"/>
        <v>DIKU</v>
      </c>
      <c r="D568" t="str">
        <f t="shared" si="63"/>
        <v>Torben Ægidius Mogensen</v>
      </c>
      <c r="E568" s="3" t="str">
        <f t="shared" si="64"/>
        <v/>
      </c>
      <c r="F568" s="3" t="str">
        <f t="shared" si="65"/>
        <v>.pdf</v>
      </c>
      <c r="G568">
        <f t="shared" si="66"/>
        <v>71</v>
      </c>
      <c r="H568" s="3">
        <f>LEN(Table1[[#This Row],[Auteur]])</f>
        <v>23</v>
      </c>
      <c r="I568" s="3" t="str">
        <f t="shared" si="68"/>
        <v>Basics of Compiler Design</v>
      </c>
    </row>
    <row r="569" spans="1:9" x14ac:dyDescent="0.45">
      <c r="A569" t="s">
        <v>967</v>
      </c>
      <c r="B569" t="str">
        <f t="shared" si="61"/>
        <v>1990</v>
      </c>
      <c r="C569" t="str">
        <f t="shared" si="62"/>
        <v>Prentice Hall</v>
      </c>
      <c r="D569" t="str">
        <f t="shared" si="63"/>
        <v>Allen I. Holub</v>
      </c>
      <c r="E569" s="3" t="str">
        <f t="shared" si="64"/>
        <v/>
      </c>
      <c r="F569" t="str">
        <f t="shared" si="65"/>
        <v>.djvu</v>
      </c>
      <c r="G569">
        <f t="shared" si="66"/>
        <v>67</v>
      </c>
      <c r="H569" s="3">
        <f>LEN(Table1[[#This Row],[Auteur]])</f>
        <v>14</v>
      </c>
      <c r="I569" s="3" t="str">
        <f t="shared" si="68"/>
        <v>Compiler Design in C</v>
      </c>
    </row>
    <row r="570" spans="1:9" x14ac:dyDescent="0.45">
      <c r="A570" t="s">
        <v>968</v>
      </c>
      <c r="B570" t="str">
        <f t="shared" si="61"/>
        <v>1972</v>
      </c>
      <c r="C570" t="str">
        <f t="shared" si="62"/>
        <v>Auerbach</v>
      </c>
      <c r="D570" t="str">
        <f t="shared" si="63"/>
        <v>Bary W. Pollack</v>
      </c>
      <c r="E570" s="3" t="str">
        <f t="shared" si="64"/>
        <v/>
      </c>
      <c r="F570" t="str">
        <f t="shared" si="65"/>
        <v>.djvu</v>
      </c>
      <c r="G570">
        <f t="shared" si="66"/>
        <v>62</v>
      </c>
      <c r="H570" s="3">
        <f>LEN(Table1[[#This Row],[Auteur]])</f>
        <v>15</v>
      </c>
      <c r="I570" s="3" t="str">
        <f t="shared" si="68"/>
        <v>Compiler Techniques</v>
      </c>
    </row>
    <row r="571" spans="1:9" x14ac:dyDescent="0.45">
      <c r="A571" t="s">
        <v>969</v>
      </c>
      <c r="B571" t="str">
        <f t="shared" si="61"/>
        <v>2007</v>
      </c>
      <c r="C571" t="str">
        <f t="shared" si="62"/>
        <v>Addison-Wesley</v>
      </c>
      <c r="D571" t="str">
        <f t="shared" si="63"/>
        <v>Alfred V. Aho, Monica S. Lam, Ravi Sethi, Jeffrey D. Ullman</v>
      </c>
      <c r="E571" s="3" t="str">
        <f t="shared" si="64"/>
        <v/>
      </c>
      <c r="F571" t="str">
        <f t="shared" si="65"/>
        <v>.pdf</v>
      </c>
      <c r="G571">
        <f t="shared" si="66"/>
        <v>144</v>
      </c>
      <c r="H571" s="3">
        <f>LEN(Table1[[#This Row],[Auteur]])</f>
        <v>59</v>
      </c>
      <c r="I571" s="3" t="str">
        <f t="shared" si="68"/>
        <v>Compilers, Principles, Techniques, and Tools</v>
      </c>
    </row>
    <row r="572" spans="1:9" x14ac:dyDescent="0.45">
      <c r="A572" t="s">
        <v>970</v>
      </c>
      <c r="B572" t="str">
        <f t="shared" si="61"/>
        <v>2012</v>
      </c>
      <c r="C572" t="str">
        <f t="shared" si="62"/>
        <v>Elsevier</v>
      </c>
      <c r="D572" t="str">
        <f t="shared" si="63"/>
        <v>Keith Cooper, Linda Torczon</v>
      </c>
      <c r="E572" s="3" t="str">
        <f t="shared" si="64"/>
        <v/>
      </c>
      <c r="F572" t="str">
        <f t="shared" si="65"/>
        <v>.pdf</v>
      </c>
      <c r="G572">
        <f t="shared" si="66"/>
        <v>84</v>
      </c>
      <c r="H572" s="3">
        <f>LEN(Table1[[#This Row],[Auteur]])</f>
        <v>27</v>
      </c>
      <c r="I572" s="3" t="str">
        <f t="shared" si="68"/>
        <v>Engineering a Compiler</v>
      </c>
    </row>
    <row r="573" spans="1:9" x14ac:dyDescent="0.45">
      <c r="A573" t="s">
        <v>971</v>
      </c>
      <c r="B573" t="str">
        <f t="shared" si="61"/>
        <v>2000</v>
      </c>
      <c r="C573" t="str">
        <f t="shared" si="62"/>
        <v>Morgan Kaufmann</v>
      </c>
      <c r="D573" t="str">
        <f t="shared" si="63"/>
        <v>John R. Levine</v>
      </c>
      <c r="E573" s="3" t="str">
        <f t="shared" si="64"/>
        <v/>
      </c>
      <c r="F573" s="3" t="str">
        <f t="shared" si="65"/>
        <v>.djvu</v>
      </c>
      <c r="G573">
        <f t="shared" si="66"/>
        <v>68</v>
      </c>
      <c r="H573" s="3">
        <f>LEN(Table1[[#This Row],[Auteur]])</f>
        <v>14</v>
      </c>
      <c r="I573" s="3" t="str">
        <f t="shared" si="68"/>
        <v>Linkers and Loaders</v>
      </c>
    </row>
    <row r="574" spans="1:9" x14ac:dyDescent="0.45">
      <c r="A574" t="s">
        <v>972</v>
      </c>
      <c r="B574" t="str">
        <f t="shared" si="61"/>
        <v>1998</v>
      </c>
      <c r="C574" t="str">
        <f t="shared" si="62"/>
        <v>Cambridge</v>
      </c>
      <c r="D574" t="str">
        <f t="shared" si="63"/>
        <v>Andrew W. Appel</v>
      </c>
      <c r="E574" s="3" t="str">
        <f t="shared" si="64"/>
        <v/>
      </c>
      <c r="F574" s="3" t="str">
        <f t="shared" si="65"/>
        <v>.djvu</v>
      </c>
      <c r="G574">
        <f t="shared" si="66"/>
        <v>79</v>
      </c>
      <c r="H574" s="3">
        <f>LEN(Table1[[#This Row],[Auteur]])</f>
        <v>15</v>
      </c>
      <c r="I574" s="3" t="str">
        <f t="shared" si="68"/>
        <v>Modern Compiler Implementation in C</v>
      </c>
    </row>
    <row r="575" spans="1:9" x14ac:dyDescent="0.45">
      <c r="A575" t="s">
        <v>973</v>
      </c>
      <c r="B575" t="str">
        <f t="shared" si="61"/>
        <v>1995</v>
      </c>
      <c r="C575" t="str">
        <f t="shared" si="62"/>
        <v>Prentice Hall</v>
      </c>
      <c r="D575" t="str">
        <f t="shared" si="63"/>
        <v>Jim Holmes</v>
      </c>
      <c r="E575" s="3" t="str">
        <f t="shared" si="64"/>
        <v/>
      </c>
      <c r="F575" t="str">
        <f t="shared" si="65"/>
        <v>.djvu</v>
      </c>
      <c r="G575">
        <f t="shared" si="66"/>
        <v>80</v>
      </c>
      <c r="H575" s="3">
        <f>LEN(Table1[[#This Row],[Auteur]])</f>
        <v>10</v>
      </c>
      <c r="I575" s="3" t="str">
        <f t="shared" si="68"/>
        <v>Object-Oriented Compiler Construction</v>
      </c>
    </row>
    <row r="576" spans="1:9" x14ac:dyDescent="0.45">
      <c r="A576" t="s">
        <v>974</v>
      </c>
      <c r="B576" t="str">
        <f t="shared" si="61"/>
        <v>1981</v>
      </c>
      <c r="C576" t="str">
        <f t="shared" si="62"/>
        <v>Wiley</v>
      </c>
      <c r="D576" t="str">
        <f t="shared" si="63"/>
        <v>Robin Hunter</v>
      </c>
      <c r="E576" s="3" t="str">
        <f t="shared" si="64"/>
        <v/>
      </c>
      <c r="F576" t="str">
        <f t="shared" si="65"/>
        <v>.djvu</v>
      </c>
      <c r="G576">
        <f t="shared" si="66"/>
        <v>77</v>
      </c>
      <c r="H576" s="3">
        <f>LEN(Table1[[#This Row],[Auteur]])</f>
        <v>12</v>
      </c>
      <c r="I576" s="3" t="str">
        <f t="shared" si="68"/>
        <v>The Design and Construction of Compilers</v>
      </c>
    </row>
    <row r="577" spans="1:9" x14ac:dyDescent="0.45">
      <c r="A577" t="s">
        <v>975</v>
      </c>
      <c r="B577" t="str">
        <f t="shared" si="61"/>
        <v>1985</v>
      </c>
      <c r="C577" t="str">
        <f t="shared" si="62"/>
        <v>McGraw-Hill</v>
      </c>
      <c r="D577" t="str">
        <f t="shared" si="63"/>
        <v>Jean-Paul Tremblay, Paul G. Sorenson</v>
      </c>
      <c r="E577" s="3" t="str">
        <f t="shared" si="64"/>
        <v/>
      </c>
      <c r="F577" t="str">
        <f t="shared" si="65"/>
        <v>.djvu</v>
      </c>
      <c r="G577">
        <f t="shared" si="66"/>
        <v>110</v>
      </c>
      <c r="H577" s="3">
        <f>LEN(Table1[[#This Row],[Auteur]])</f>
        <v>36</v>
      </c>
      <c r="I577" s="3" t="str">
        <f t="shared" si="68"/>
        <v>The Theory and Practice of Compiler Writing</v>
      </c>
    </row>
    <row r="578" spans="1:9" x14ac:dyDescent="0.45">
      <c r="A578" t="s">
        <v>976</v>
      </c>
      <c r="B578" t="str">
        <f t="shared" ref="B578:B641" si="69">DatePub(A578)</f>
        <v>2008</v>
      </c>
      <c r="C578" t="str">
        <f t="shared" ref="C578:C641" si="70">Editeur(A578)</f>
        <v>?</v>
      </c>
      <c r="D578" t="str">
        <f t="shared" ref="D578:D641" si="71">Auteur(A578)</f>
        <v>Richard Bornat</v>
      </c>
      <c r="E578" s="3" t="str">
        <f t="shared" ref="E578:E641" si="72">ExtraInfo(A578)</f>
        <v/>
      </c>
      <c r="F578" s="3" t="str">
        <f t="shared" ref="F578:F641" si="73">Extension(A578)</f>
        <v>.pdf</v>
      </c>
      <c r="G578">
        <f t="shared" ref="G578:G641" si="74">LenFileName(A578)</f>
        <v>63</v>
      </c>
      <c r="H578" s="3">
        <f>LEN(Table1[[#This Row],[Auteur]])</f>
        <v>14</v>
      </c>
      <c r="I578" s="3" t="str">
        <f t="shared" ref="I578:I641" si="75">Title(A578)</f>
        <v>Understanding and Writing Compilers</v>
      </c>
    </row>
    <row r="579" spans="1:9" x14ac:dyDescent="0.45">
      <c r="A579" t="s">
        <v>977</v>
      </c>
      <c r="B579" t="str">
        <f t="shared" si="69"/>
        <v>1979</v>
      </c>
      <c r="C579" t="str">
        <f t="shared" si="70"/>
        <v>Wiley</v>
      </c>
      <c r="D579" t="str">
        <f t="shared" si="71"/>
        <v>P.J. Brown</v>
      </c>
      <c r="E579" s="3" t="str">
        <f t="shared" si="72"/>
        <v/>
      </c>
      <c r="F579" t="str">
        <f t="shared" si="73"/>
        <v>.djvu</v>
      </c>
      <c r="G579">
        <f t="shared" si="74"/>
        <v>81</v>
      </c>
      <c r="H579" s="3">
        <f>LEN(Table1[[#This Row],[Auteur]])</f>
        <v>10</v>
      </c>
      <c r="I579" s="3" t="str">
        <f t="shared" si="75"/>
        <v>Writing Interactive Compilers and Interpreters</v>
      </c>
    </row>
    <row r="580" spans="1:9" x14ac:dyDescent="0.45">
      <c r="A580" t="s">
        <v>978</v>
      </c>
      <c r="B580" t="str">
        <f t="shared" si="69"/>
        <v>2002</v>
      </c>
      <c r="C580" t="str">
        <f t="shared" si="70"/>
        <v>GNU Press</v>
      </c>
      <c r="D580" t="str">
        <f t="shared" si="71"/>
        <v>Richard Stallman, Roland Pesch, Stan Shebs et al</v>
      </c>
      <c r="E580" s="3" t="str">
        <f t="shared" si="72"/>
        <v/>
      </c>
      <c r="F580" t="str">
        <f t="shared" si="73"/>
        <v>.pdf</v>
      </c>
      <c r="G580">
        <f t="shared" si="74"/>
        <v>108</v>
      </c>
      <c r="H580" s="3">
        <f>LEN(Table1[[#This Row],[Auteur]])</f>
        <v>48</v>
      </c>
      <c r="I580" s="3" t="str">
        <f t="shared" si="75"/>
        <v>Debugging with GDB 5.1.1</v>
      </c>
    </row>
    <row r="581" spans="1:9" x14ac:dyDescent="0.45">
      <c r="A581" t="s">
        <v>979</v>
      </c>
      <c r="B581" t="str">
        <f t="shared" si="69"/>
        <v>1998</v>
      </c>
      <c r="C581" t="str">
        <f t="shared" si="70"/>
        <v>Free Software Foundation</v>
      </c>
      <c r="D581" t="str">
        <f t="shared" si="71"/>
        <v>Roland H. Pesch</v>
      </c>
      <c r="E581" s="3" t="str">
        <f t="shared" si="72"/>
        <v/>
      </c>
      <c r="F581" t="str">
        <f t="shared" si="73"/>
        <v>.pdf</v>
      </c>
      <c r="G581">
        <f t="shared" si="74"/>
        <v>91</v>
      </c>
      <c r="H581" s="3">
        <f>LEN(Table1[[#This Row],[Auteur]])</f>
        <v>15</v>
      </c>
      <c r="I581" s="3" t="str">
        <f t="shared" si="75"/>
        <v>GDB Quick Reference for version 4</v>
      </c>
    </row>
    <row r="582" spans="1:9" x14ac:dyDescent="0.45">
      <c r="A582" t="s">
        <v>980</v>
      </c>
      <c r="B582" t="str">
        <f t="shared" si="69"/>
        <v>2008</v>
      </c>
      <c r="C582" t="str">
        <f t="shared" si="70"/>
        <v>Open Task</v>
      </c>
      <c r="D582" t="str">
        <f t="shared" si="71"/>
        <v>Dmitry Vostokov</v>
      </c>
      <c r="E582" s="3" t="str">
        <f t="shared" si="72"/>
        <v/>
      </c>
      <c r="F582" s="3" t="str">
        <f t="shared" si="73"/>
        <v>.pdf</v>
      </c>
      <c r="G582" s="3">
        <f t="shared" si="74"/>
        <v>83</v>
      </c>
      <c r="H582" s="3">
        <f>LEN(Table1[[#This Row],[Auteur]])</f>
        <v>15</v>
      </c>
      <c r="I582" s="3" t="str">
        <f t="shared" si="75"/>
        <v>Memory Dump Analysis Anthology, Volume 1</v>
      </c>
    </row>
    <row r="583" spans="1:9" x14ac:dyDescent="0.45">
      <c r="A583" t="s">
        <v>1973</v>
      </c>
      <c r="B583" t="str">
        <f t="shared" si="69"/>
        <v>2008</v>
      </c>
      <c r="C583" t="str">
        <f t="shared" si="70"/>
        <v>Springer</v>
      </c>
      <c r="D583" t="str">
        <f t="shared" si="71"/>
        <v>Grötker, Holtmann, Keding, Wloka</v>
      </c>
      <c r="E583" s="3" t="str">
        <f t="shared" si="72"/>
        <v/>
      </c>
      <c r="F583" t="str">
        <f t="shared" si="73"/>
        <v>.pdf</v>
      </c>
      <c r="G583">
        <f t="shared" si="74"/>
        <v>93</v>
      </c>
      <c r="H583" s="3">
        <f>LEN(Table1[[#This Row],[Auteur]])</f>
        <v>32</v>
      </c>
      <c r="I583" s="3" t="str">
        <f t="shared" si="75"/>
        <v>The Developer's Guide to Debugging</v>
      </c>
    </row>
    <row r="584" spans="1:9" x14ac:dyDescent="0.45">
      <c r="A584" t="s">
        <v>981</v>
      </c>
      <c r="B584" t="str">
        <f t="shared" si="69"/>
        <v>2009</v>
      </c>
      <c r="C584" t="str">
        <f t="shared" si="70"/>
        <v>Elsevier</v>
      </c>
      <c r="D584" t="str">
        <f t="shared" si="71"/>
        <v>Andreas Zeller</v>
      </c>
      <c r="E584" s="3" t="str">
        <f t="shared" si="72"/>
        <v/>
      </c>
      <c r="F584" t="str">
        <f t="shared" si="73"/>
        <v>.pdf</v>
      </c>
      <c r="G584">
        <f t="shared" si="74"/>
        <v>99</v>
      </c>
      <c r="H584" s="3">
        <f>LEN(Table1[[#This Row],[Auteur]])</f>
        <v>14</v>
      </c>
      <c r="I584" s="3" t="str">
        <f t="shared" si="75"/>
        <v>Why Programs Fail, A Guide to Systematic Debugging</v>
      </c>
    </row>
    <row r="585" spans="1:9" x14ac:dyDescent="0.45">
      <c r="A585" t="s">
        <v>982</v>
      </c>
      <c r="B585" t="str">
        <f t="shared" si="69"/>
        <v>2005</v>
      </c>
      <c r="C585" t="str">
        <f t="shared" si="70"/>
        <v>Paraglyph</v>
      </c>
      <c r="D585" t="str">
        <f t="shared" si="71"/>
        <v>Raph Koster</v>
      </c>
      <c r="E585" s="3" t="str">
        <f t="shared" si="72"/>
        <v>Scan</v>
      </c>
      <c r="F585" t="str">
        <f t="shared" si="73"/>
        <v>.pdf</v>
      </c>
      <c r="G585">
        <f t="shared" si="74"/>
        <v>77</v>
      </c>
      <c r="H585" s="3">
        <f>LEN(Table1[[#This Row],[Auteur]])</f>
        <v>11</v>
      </c>
      <c r="I585" s="3" t="str">
        <f t="shared" si="75"/>
        <v>A Theory of Fun for Game Design</v>
      </c>
    </row>
    <row r="586" spans="1:9" x14ac:dyDescent="0.45">
      <c r="A586" t="s">
        <v>983</v>
      </c>
      <c r="B586" t="str">
        <f t="shared" si="69"/>
        <v>2013</v>
      </c>
      <c r="C586" t="str">
        <f t="shared" si="70"/>
        <v>Wiley</v>
      </c>
      <c r="D586" t="str">
        <f t="shared" si="71"/>
        <v>Derek James</v>
      </c>
      <c r="E586" s="3" t="str">
        <f t="shared" si="72"/>
        <v/>
      </c>
      <c r="F586" t="str">
        <f t="shared" si="73"/>
        <v>.pdf</v>
      </c>
      <c r="G586">
        <f t="shared" si="74"/>
        <v>71</v>
      </c>
      <c r="H586" s="3">
        <f>LEN(Table1[[#This Row],[Auteur]])</f>
        <v>11</v>
      </c>
      <c r="I586" s="3" t="str">
        <f t="shared" si="75"/>
        <v>Android Game Programming for Dummies</v>
      </c>
    </row>
    <row r="587" spans="1:9" x14ac:dyDescent="0.45">
      <c r="A587" t="s">
        <v>984</v>
      </c>
      <c r="B587" t="str">
        <f t="shared" si="69"/>
        <v>2004</v>
      </c>
      <c r="C587" t="str">
        <f t="shared" si="70"/>
        <v>Apress</v>
      </c>
      <c r="D587" t="str">
        <f t="shared" si="71"/>
        <v>David Weller, Alexandre Santos Lobão, Ellen Hatton</v>
      </c>
      <c r="E587" s="3" t="str">
        <f t="shared" si="72"/>
        <v/>
      </c>
      <c r="F587" t="str">
        <f t="shared" si="73"/>
        <v>.pdf</v>
      </c>
      <c r="G587">
        <f t="shared" si="74"/>
        <v>116</v>
      </c>
      <c r="H587" s="3">
        <f>LEN(Table1[[#This Row],[Auteur]])</f>
        <v>50</v>
      </c>
      <c r="I587" s="3" t="str">
        <f t="shared" si="75"/>
        <v>Beginning .Net Game Programming in VB.Net</v>
      </c>
    </row>
    <row r="588" spans="1:9" x14ac:dyDescent="0.45">
      <c r="A588" t="s">
        <v>985</v>
      </c>
      <c r="B588" t="str">
        <f t="shared" si="69"/>
        <v>2011</v>
      </c>
      <c r="C588" t="str">
        <f t="shared" si="70"/>
        <v>Cengage Learning</v>
      </c>
      <c r="D588" t="str">
        <f t="shared" si="71"/>
        <v>Michael Dawson</v>
      </c>
      <c r="E588" s="3" t="str">
        <f t="shared" si="72"/>
        <v/>
      </c>
      <c r="F588" s="3" t="str">
        <f t="shared" si="73"/>
        <v>.pdf</v>
      </c>
      <c r="G588" s="3">
        <f t="shared" si="74"/>
        <v>95</v>
      </c>
      <c r="H588" s="3">
        <f>LEN(Table1[[#This Row],[Auteur]])</f>
        <v>14</v>
      </c>
      <c r="I588" s="3" t="str">
        <f t="shared" si="75"/>
        <v>Beginning C++ Through Game Programming</v>
      </c>
    </row>
    <row r="589" spans="1:9" x14ac:dyDescent="0.45">
      <c r="A589" t="s">
        <v>986</v>
      </c>
      <c r="B589" t="str">
        <f t="shared" si="69"/>
        <v>2010</v>
      </c>
      <c r="C589" t="str">
        <f t="shared" si="70"/>
        <v>Apress</v>
      </c>
      <c r="D589" t="str">
        <f t="shared" si="71"/>
        <v>Bakhirev, Cabrera, Marsh, Penberthy, Smith, Wing</v>
      </c>
      <c r="E589" s="3" t="str">
        <f t="shared" si="72"/>
        <v/>
      </c>
      <c r="F589" t="str">
        <f t="shared" si="73"/>
        <v>.pdf</v>
      </c>
      <c r="G589">
        <f t="shared" si="74"/>
        <v>107</v>
      </c>
      <c r="H589" s="3">
        <f>LEN(Table1[[#This Row],[Auteur]])</f>
        <v>48</v>
      </c>
      <c r="I589" s="3" t="str">
        <f t="shared" si="75"/>
        <v>Beginning iPhone Games Development</v>
      </c>
    </row>
    <row r="590" spans="1:9" x14ac:dyDescent="0.45">
      <c r="A590" t="s">
        <v>987</v>
      </c>
      <c r="B590" t="str">
        <f t="shared" si="69"/>
        <v>2012</v>
      </c>
      <c r="C590" t="str">
        <f t="shared" si="70"/>
        <v>Cengage Learning</v>
      </c>
      <c r="D590" t="str">
        <f t="shared" si="71"/>
        <v>Jonathan S. Harbour</v>
      </c>
      <c r="E590" s="3" t="str">
        <f t="shared" si="72"/>
        <v/>
      </c>
      <c r="F590" t="str">
        <f t="shared" si="73"/>
        <v>.pdf</v>
      </c>
      <c r="G590">
        <f t="shared" si="74"/>
        <v>98</v>
      </c>
      <c r="H590" s="3">
        <f>LEN(Table1[[#This Row],[Auteur]])</f>
        <v>19</v>
      </c>
      <c r="I590" s="3" t="str">
        <f t="shared" si="75"/>
        <v>Beginning Java SE 6 Game Programming</v>
      </c>
    </row>
    <row r="591" spans="1:9" x14ac:dyDescent="0.45">
      <c r="A591" t="s">
        <v>988</v>
      </c>
      <c r="B591" t="str">
        <f t="shared" si="69"/>
        <v>2011</v>
      </c>
      <c r="C591" t="str">
        <f t="shared" si="70"/>
        <v>Cengage Learning</v>
      </c>
      <c r="D591" t="str">
        <f t="shared" si="71"/>
        <v>Daniel Schuller</v>
      </c>
      <c r="E591" s="3" t="str">
        <f t="shared" si="72"/>
        <v/>
      </c>
      <c r="F591" t="str">
        <f t="shared" si="73"/>
        <v>.pdf</v>
      </c>
      <c r="G591">
        <f t="shared" si="74"/>
        <v>95</v>
      </c>
      <c r="H591" s="3">
        <f>LEN(Table1[[#This Row],[Auteur]])</f>
        <v>15</v>
      </c>
      <c r="I591" s="3" t="str">
        <f t="shared" si="75"/>
        <v>C# Game Programming for Serious Game Creation</v>
      </c>
    </row>
    <row r="592" spans="1:9" x14ac:dyDescent="0.45">
      <c r="A592" t="s">
        <v>989</v>
      </c>
      <c r="B592" t="str">
        <f t="shared" si="69"/>
        <v>?</v>
      </c>
      <c r="C592" t="str">
        <f t="shared" si="70"/>
        <v>?</v>
      </c>
      <c r="D592" t="str">
        <f t="shared" si="71"/>
        <v>David Mekersa</v>
      </c>
      <c r="E592" s="3" t="str">
        <f t="shared" si="72"/>
        <v/>
      </c>
      <c r="F592" t="str">
        <f t="shared" si="73"/>
        <v>.pdf</v>
      </c>
      <c r="G592">
        <f t="shared" si="74"/>
        <v>78</v>
      </c>
      <c r="H592" s="3">
        <f>LEN(Table1[[#This Row],[Auteur]])</f>
        <v>13</v>
      </c>
      <c r="I592" s="3" t="str">
        <f t="shared" si="75"/>
        <v>Comment devenir programmeur de jeux vidéo, Guide de survie</v>
      </c>
    </row>
    <row r="593" spans="1:9" x14ac:dyDescent="0.45">
      <c r="A593" t="s">
        <v>990</v>
      </c>
      <c r="B593" t="str">
        <f t="shared" si="69"/>
        <v>2003</v>
      </c>
      <c r="C593" t="str">
        <f t="shared" si="70"/>
        <v>New Riders Publishing</v>
      </c>
      <c r="D593" t="str">
        <f t="shared" si="71"/>
        <v>Daniel Sánchez-Crespo</v>
      </c>
      <c r="E593" s="3" t="str">
        <f t="shared" si="72"/>
        <v>Dump</v>
      </c>
      <c r="F593" s="3" t="str">
        <f t="shared" si="73"/>
        <v>.pdf</v>
      </c>
      <c r="G593">
        <f t="shared" si="74"/>
        <v>118</v>
      </c>
      <c r="H593" s="3">
        <f>LEN(Table1[[#This Row],[Auteur]])</f>
        <v>21</v>
      </c>
      <c r="I593" s="3" t="str">
        <f t="shared" si="75"/>
        <v>Core Techniques and Algorithms in Game Programming</v>
      </c>
    </row>
    <row r="594" spans="1:9" x14ac:dyDescent="0.45">
      <c r="A594" t="s">
        <v>991</v>
      </c>
      <c r="B594" t="str">
        <f t="shared" si="69"/>
        <v>2015</v>
      </c>
      <c r="C594" t="str">
        <f t="shared" si="70"/>
        <v>D-BookeR</v>
      </c>
      <c r="D594" t="str">
        <f t="shared" si="71"/>
        <v>Anthony Cardinale</v>
      </c>
      <c r="E594" s="3" t="str">
        <f t="shared" si="72"/>
        <v/>
      </c>
      <c r="F594" t="str">
        <f t="shared" si="73"/>
        <v>.pdf</v>
      </c>
      <c r="G594">
        <f t="shared" si="74"/>
        <v>78</v>
      </c>
      <c r="H594" s="3">
        <f>LEN(Table1[[#This Row],[Auteur]])</f>
        <v>17</v>
      </c>
      <c r="I594" s="3" t="str">
        <f t="shared" si="75"/>
        <v>Créez des jeux de A à Z avec Unity</v>
      </c>
    </row>
    <row r="595" spans="1:9" x14ac:dyDescent="0.45">
      <c r="A595" t="s">
        <v>992</v>
      </c>
      <c r="B595" t="str">
        <f t="shared" si="69"/>
        <v>2007</v>
      </c>
      <c r="C595" t="str">
        <f t="shared" si="70"/>
        <v>Charles River Media</v>
      </c>
      <c r="D595" t="str">
        <f t="shared" si="71"/>
        <v>Allen Sherrod</v>
      </c>
      <c r="E595" s="3" t="str">
        <f t="shared" si="72"/>
        <v/>
      </c>
      <c r="F595" s="3" t="str">
        <f t="shared" si="73"/>
        <v>.pdf</v>
      </c>
      <c r="G595">
        <f t="shared" si="74"/>
        <v>101</v>
      </c>
      <c r="H595" s="3">
        <f>LEN(Table1[[#This Row],[Auteur]])</f>
        <v>13</v>
      </c>
      <c r="I595" s="3" t="str">
        <f t="shared" si="75"/>
        <v>Data Structures and Algorithms for Game Developers</v>
      </c>
    </row>
    <row r="596" spans="1:9" x14ac:dyDescent="0.45">
      <c r="A596" t="s">
        <v>993</v>
      </c>
      <c r="B596" t="str">
        <f t="shared" si="69"/>
        <v>2013</v>
      </c>
      <c r="C596" t="str">
        <f t="shared" si="70"/>
        <v>Eyrolles</v>
      </c>
      <c r="D596" t="str">
        <f t="shared" si="71"/>
        <v>Samuel Ronce</v>
      </c>
      <c r="E596" s="3" t="str">
        <f t="shared" si="72"/>
        <v/>
      </c>
      <c r="F596" t="str">
        <f t="shared" si="73"/>
        <v>.pdf</v>
      </c>
      <c r="G596">
        <f t="shared" si="74"/>
        <v>81</v>
      </c>
      <c r="H596" s="3">
        <f>LEN(Table1[[#This Row],[Auteur]])</f>
        <v>12</v>
      </c>
      <c r="I596" s="3" t="str">
        <f t="shared" si="75"/>
        <v>Développer des jeux en HTML5 et JavaScript</v>
      </c>
    </row>
    <row r="597" spans="1:9" x14ac:dyDescent="0.45">
      <c r="A597" t="s">
        <v>994</v>
      </c>
      <c r="B597" t="str">
        <f t="shared" si="69"/>
        <v>2014</v>
      </c>
      <c r="C597" t="str">
        <f t="shared" si="70"/>
        <v>Wiley</v>
      </c>
      <c r="D597" t="str">
        <f t="shared" si="71"/>
        <v>Michael Rohde</v>
      </c>
      <c r="E597" s="3" t="str">
        <f t="shared" si="72"/>
        <v/>
      </c>
      <c r="F597" t="str">
        <f t="shared" si="73"/>
        <v>.pdf</v>
      </c>
      <c r="G597">
        <f t="shared" si="74"/>
        <v>65</v>
      </c>
      <c r="H597" s="3">
        <f>LEN(Table1[[#This Row],[Auteur]])</f>
        <v>13</v>
      </c>
      <c r="I597" s="3" t="str">
        <f t="shared" si="75"/>
        <v>GameMaker Studio for Dummies</v>
      </c>
    </row>
    <row r="598" spans="1:9" x14ac:dyDescent="0.45">
      <c r="A598" t="s">
        <v>995</v>
      </c>
      <c r="B598" t="str">
        <f t="shared" si="69"/>
        <v>2010</v>
      </c>
      <c r="C598" t="str">
        <f t="shared" si="70"/>
        <v>?</v>
      </c>
      <c r="D598" t="str">
        <f t="shared" si="71"/>
        <v>Al Sweigart</v>
      </c>
      <c r="E598" s="3" t="str">
        <f t="shared" si="72"/>
        <v/>
      </c>
      <c r="F598" s="3" t="str">
        <f t="shared" si="73"/>
        <v>.pdf</v>
      </c>
      <c r="G598">
        <f t="shared" si="74"/>
        <v>75</v>
      </c>
      <c r="H598" s="3">
        <f>LEN(Table1[[#This Row],[Auteur]])</f>
        <v>11</v>
      </c>
      <c r="I598" s="3" t="str">
        <f t="shared" si="75"/>
        <v>Invent Your Own Computer Games with Python</v>
      </c>
    </row>
    <row r="599" spans="1:9" x14ac:dyDescent="0.45">
      <c r="A599" t="s">
        <v>996</v>
      </c>
      <c r="B599" t="str">
        <f t="shared" si="69"/>
        <v>2010</v>
      </c>
      <c r="C599" t="str">
        <f t="shared" si="70"/>
        <v>Wiley</v>
      </c>
      <c r="D599" t="str">
        <f t="shared" si="71"/>
        <v>Scott Rogers</v>
      </c>
      <c r="E599" s="3" t="str">
        <f t="shared" si="72"/>
        <v/>
      </c>
      <c r="F599" s="3" t="str">
        <f t="shared" si="73"/>
        <v>.pdf</v>
      </c>
      <c r="G599">
        <f t="shared" si="74"/>
        <v>82</v>
      </c>
      <c r="H599" s="3">
        <f>LEN(Table1[[#This Row],[Auteur]])</f>
        <v>12</v>
      </c>
      <c r="I599" s="3" t="str">
        <f t="shared" si="75"/>
        <v>Level Up! The Guide to Great Video Game Design</v>
      </c>
    </row>
    <row r="600" spans="1:9" x14ac:dyDescent="0.45">
      <c r="A600" t="s">
        <v>997</v>
      </c>
      <c r="B600" t="str">
        <f t="shared" si="69"/>
        <v>2012</v>
      </c>
      <c r="C600" t="str">
        <f t="shared" si="70"/>
        <v>?</v>
      </c>
      <c r="D600" t="str">
        <f t="shared" si="71"/>
        <v>Al Sweigart</v>
      </c>
      <c r="E600" s="3" t="str">
        <f t="shared" si="72"/>
        <v/>
      </c>
      <c r="F600" t="str">
        <f t="shared" si="73"/>
        <v>.pdf</v>
      </c>
      <c r="G600">
        <f t="shared" si="74"/>
        <v>58</v>
      </c>
      <c r="H600" s="3">
        <f>LEN(Table1[[#This Row],[Auteur]])</f>
        <v>11</v>
      </c>
      <c r="I600" s="3" t="str">
        <f t="shared" si="75"/>
        <v>Making Games with Python &amp; Pygame</v>
      </c>
    </row>
    <row r="601" spans="1:9" x14ac:dyDescent="0.45">
      <c r="A601" t="s">
        <v>998</v>
      </c>
      <c r="B601" t="str">
        <f t="shared" si="69"/>
        <v>2002</v>
      </c>
      <c r="C601" t="str">
        <f t="shared" si="70"/>
        <v>O'Reilly</v>
      </c>
      <c r="D601" t="str">
        <f t="shared" si="71"/>
        <v>David M. Bourg</v>
      </c>
      <c r="E601" s="3" t="str">
        <f t="shared" si="72"/>
        <v>Scan</v>
      </c>
      <c r="F601" t="str">
        <f t="shared" si="73"/>
        <v>.pdf</v>
      </c>
      <c r="G601">
        <f t="shared" si="74"/>
        <v>75</v>
      </c>
      <c r="H601" s="3">
        <f>LEN(Table1[[#This Row],[Auteur]])</f>
        <v>14</v>
      </c>
      <c r="I601" s="3" t="str">
        <f t="shared" si="75"/>
        <v>Physics for Game Developers</v>
      </c>
    </row>
    <row r="602" spans="1:9" x14ac:dyDescent="0.45">
      <c r="A602" t="s">
        <v>999</v>
      </c>
      <c r="B602" t="str">
        <f t="shared" si="69"/>
        <v>2012</v>
      </c>
      <c r="C602" t="str">
        <f t="shared" si="70"/>
        <v>Apress</v>
      </c>
      <c r="D602" t="str">
        <f t="shared" si="71"/>
        <v>Juriy Bura, Paul Coates</v>
      </c>
      <c r="E602" s="3" t="str">
        <f t="shared" si="72"/>
        <v/>
      </c>
      <c r="F602" t="str">
        <f t="shared" si="73"/>
        <v>.pdf</v>
      </c>
      <c r="G602">
        <f t="shared" si="74"/>
        <v>73</v>
      </c>
      <c r="H602" s="3">
        <f>LEN(Table1[[#This Row],[Auteur]])</f>
        <v>23</v>
      </c>
      <c r="I602" s="3" t="str">
        <f t="shared" si="75"/>
        <v>Pro Android Web Game Apps</v>
      </c>
    </row>
    <row r="603" spans="1:9" x14ac:dyDescent="0.45">
      <c r="A603" t="s">
        <v>1000</v>
      </c>
      <c r="B603" t="str">
        <f t="shared" si="69"/>
        <v>2016</v>
      </c>
      <c r="C603" t="str">
        <f t="shared" si="70"/>
        <v>Packt</v>
      </c>
      <c r="D603" t="str">
        <f t="shared" si="71"/>
        <v>Dale Green</v>
      </c>
      <c r="E603" s="3" t="str">
        <f t="shared" si="72"/>
        <v/>
      </c>
      <c r="F603" t="str">
        <f t="shared" si="73"/>
        <v>.pdf</v>
      </c>
      <c r="G603">
        <f t="shared" si="74"/>
        <v>88</v>
      </c>
      <c r="H603" s="3">
        <f>LEN(Table1[[#This Row],[Auteur]])</f>
        <v>10</v>
      </c>
      <c r="I603" s="3" t="str">
        <f t="shared" si="75"/>
        <v>Procedural Content Generation for C++ Game Development</v>
      </c>
    </row>
    <row r="604" spans="1:9" x14ac:dyDescent="0.45">
      <c r="A604" t="s">
        <v>1001</v>
      </c>
      <c r="B604" t="str">
        <f t="shared" si="69"/>
        <v>2016</v>
      </c>
      <c r="C604" t="str">
        <f t="shared" si="70"/>
        <v>?</v>
      </c>
      <c r="D604" t="str">
        <f t="shared" si="71"/>
        <v>Dale Green</v>
      </c>
      <c r="E604" s="3" t="str">
        <f t="shared" si="72"/>
        <v/>
      </c>
      <c r="F604" t="str">
        <f t="shared" si="73"/>
        <v>.epub</v>
      </c>
      <c r="G604">
        <f t="shared" si="74"/>
        <v>79</v>
      </c>
      <c r="H604" s="3">
        <f>LEN(Table1[[#This Row],[Auteur]])</f>
        <v>10</v>
      </c>
      <c r="I604" s="3" t="str">
        <f t="shared" si="75"/>
        <v>Procedural Content Generation for C++ Game Development</v>
      </c>
    </row>
    <row r="605" spans="1:9" x14ac:dyDescent="0.45">
      <c r="A605" t="s">
        <v>1002</v>
      </c>
      <c r="B605" t="str">
        <f t="shared" si="69"/>
        <v>2004</v>
      </c>
      <c r="C605" t="str">
        <f t="shared" si="70"/>
        <v>MIT Press</v>
      </c>
      <c r="D605" t="str">
        <f t="shared" si="71"/>
        <v>Katie Salen, Eric Zimmerman</v>
      </c>
      <c r="E605" s="3" t="str">
        <f t="shared" si="72"/>
        <v>Weird page numbering</v>
      </c>
      <c r="F605" s="3" t="str">
        <f t="shared" si="73"/>
        <v>.pdf</v>
      </c>
      <c r="G605" s="3">
        <f t="shared" si="74"/>
        <v>117</v>
      </c>
      <c r="H605" s="3">
        <f>LEN(Table1[[#This Row],[Auteur]])</f>
        <v>27</v>
      </c>
      <c r="I605" s="3" t="str">
        <f t="shared" si="75"/>
        <v>Rules of Play, Game Design Fundamentals</v>
      </c>
    </row>
    <row r="606" spans="1:9" x14ac:dyDescent="0.45">
      <c r="A606" t="s">
        <v>1003</v>
      </c>
      <c r="B606" t="str">
        <f t="shared" si="69"/>
        <v>?</v>
      </c>
      <c r="C606" t="str">
        <f t="shared" si="70"/>
        <v>Packt</v>
      </c>
      <c r="D606" t="str">
        <f t="shared" si="71"/>
        <v>Sergio van Pul, Jessica Chiang</v>
      </c>
      <c r="E606" s="3" t="str">
        <f t="shared" si="72"/>
        <v/>
      </c>
      <c r="F606" t="str">
        <f t="shared" si="73"/>
        <v>.pdf</v>
      </c>
      <c r="G606">
        <f t="shared" si="74"/>
        <v>83</v>
      </c>
      <c r="H606" s="3">
        <f>LEN(Table1[[#This Row],[Auteur]])</f>
        <v>30</v>
      </c>
      <c r="I606" s="3" t="str">
        <f t="shared" si="75"/>
        <v>Scratch 2.0 Game Development Hotshot</v>
      </c>
    </row>
    <row r="607" spans="1:9" x14ac:dyDescent="0.45">
      <c r="A607" t="s">
        <v>1004</v>
      </c>
      <c r="B607" t="str">
        <f t="shared" si="69"/>
        <v>2013</v>
      </c>
      <c r="C607" t="str">
        <f t="shared" si="70"/>
        <v>Packt</v>
      </c>
      <c r="D607" t="str">
        <f t="shared" si="71"/>
        <v>Shaun Mitchell</v>
      </c>
      <c r="E607" s="3" t="str">
        <f t="shared" si="72"/>
        <v/>
      </c>
      <c r="F607" s="3" t="str">
        <f t="shared" si="73"/>
        <v>.pdf</v>
      </c>
      <c r="G607" s="3">
        <f t="shared" si="74"/>
        <v>62</v>
      </c>
      <c r="H607" s="3">
        <f>LEN(Table1[[#This Row],[Auteur]])</f>
        <v>14</v>
      </c>
      <c r="I607" s="3" t="str">
        <f t="shared" si="75"/>
        <v>SDL 2.0 Game Development</v>
      </c>
    </row>
    <row r="608" spans="1:9" x14ac:dyDescent="0.45">
      <c r="A608" t="s">
        <v>1005</v>
      </c>
      <c r="B608" t="str">
        <f t="shared" si="69"/>
        <v>2008</v>
      </c>
      <c r="C608" t="str">
        <f t="shared" si="70"/>
        <v>Elsevier</v>
      </c>
      <c r="D608" t="str">
        <f t="shared" si="71"/>
        <v>Jesse Schell</v>
      </c>
      <c r="E608" s="3" t="str">
        <f t="shared" si="72"/>
        <v/>
      </c>
      <c r="F608" t="str">
        <f t="shared" si="73"/>
        <v>.pdf</v>
      </c>
      <c r="G608">
        <f t="shared" si="74"/>
        <v>79</v>
      </c>
      <c r="H608" s="3">
        <f>LEN(Table1[[#This Row],[Auteur]])</f>
        <v>12</v>
      </c>
      <c r="I608" s="3" t="str">
        <f t="shared" si="75"/>
        <v>The Art of Game Design, A Book of Lenses</v>
      </c>
    </row>
    <row r="609" spans="1:9" x14ac:dyDescent="0.45">
      <c r="A609" t="s">
        <v>1006</v>
      </c>
      <c r="B609" t="str">
        <f t="shared" si="69"/>
        <v>2009</v>
      </c>
      <c r="C609" t="str">
        <f t="shared" si="70"/>
        <v>?</v>
      </c>
      <c r="D609" t="str">
        <f t="shared" si="71"/>
        <v>Scott Chacon</v>
      </c>
      <c r="E609" s="3" t="str">
        <f t="shared" si="72"/>
        <v/>
      </c>
      <c r="F609" t="str">
        <f t="shared" si="73"/>
        <v>.pdf</v>
      </c>
      <c r="G609">
        <f t="shared" si="74"/>
        <v>33</v>
      </c>
      <c r="H609" s="3">
        <f>LEN(Table1[[#This Row],[Auteur]])</f>
        <v>12</v>
      </c>
      <c r="I609" s="3" t="str">
        <f t="shared" si="75"/>
        <v>Pro Git</v>
      </c>
    </row>
    <row r="610" spans="1:9" x14ac:dyDescent="0.45">
      <c r="A610" t="s">
        <v>1007</v>
      </c>
      <c r="B610" t="str">
        <f t="shared" si="69"/>
        <v>2012</v>
      </c>
      <c r="C610" t="str">
        <f t="shared" si="70"/>
        <v>O'Reilly</v>
      </c>
      <c r="D610" t="str">
        <f t="shared" si="71"/>
        <v>Jon Loeliger, Matthew McCullough</v>
      </c>
      <c r="E610" s="3" t="str">
        <f t="shared" si="72"/>
        <v/>
      </c>
      <c r="F610" t="str">
        <f t="shared" si="73"/>
        <v>.pdf</v>
      </c>
      <c r="G610">
        <f t="shared" si="74"/>
        <v>91</v>
      </c>
      <c r="H610" s="3">
        <f>LEN(Table1[[#This Row],[Auteur]])</f>
        <v>32</v>
      </c>
      <c r="I610" s="3" t="str">
        <f t="shared" si="75"/>
        <v>Version Control with Git</v>
      </c>
    </row>
    <row r="611" spans="1:9" x14ac:dyDescent="0.45">
      <c r="A611" t="s">
        <v>1009</v>
      </c>
      <c r="B611" t="str">
        <f t="shared" si="69"/>
        <v>2012</v>
      </c>
      <c r="C611" t="str">
        <f t="shared" si="70"/>
        <v>Wiley</v>
      </c>
      <c r="D611" t="str">
        <f t="shared" si="71"/>
        <v>Richard Wagner</v>
      </c>
      <c r="E611" s="3" t="str">
        <f t="shared" si="72"/>
        <v/>
      </c>
      <c r="F611" t="str">
        <f t="shared" si="73"/>
        <v>.pdf</v>
      </c>
      <c r="G611">
        <f t="shared" si="74"/>
        <v>100</v>
      </c>
      <c r="H611" s="3">
        <f>LEN(Table1[[#This Row],[Auteur]])</f>
        <v>14</v>
      </c>
      <c r="I611" s="3" t="str">
        <f t="shared" si="75"/>
        <v>Beginning iOS Application Development with HTML and JavaScript</v>
      </c>
    </row>
    <row r="612" spans="1:9" x14ac:dyDescent="0.45">
      <c r="A612" t="s">
        <v>1010</v>
      </c>
      <c r="B612" t="str">
        <f t="shared" si="69"/>
        <v>2013</v>
      </c>
      <c r="C612" t="str">
        <f t="shared" si="70"/>
        <v>Dunod</v>
      </c>
      <c r="D612" t="str">
        <f t="shared" si="71"/>
        <v>Zinovieff, Pybourdin, Impérial, Gosset</v>
      </c>
      <c r="E612" s="3" t="str">
        <f t="shared" si="72"/>
        <v/>
      </c>
      <c r="F612" t="str">
        <f t="shared" si="73"/>
        <v>.pdf</v>
      </c>
      <c r="G612">
        <f t="shared" si="74"/>
        <v>90</v>
      </c>
      <c r="H612" s="3">
        <f>LEN(Table1[[#This Row],[Auteur]])</f>
        <v>38</v>
      </c>
      <c r="I612" s="3" t="str">
        <f t="shared" si="75"/>
        <v>Cookbook Développement iOS 7</v>
      </c>
    </row>
    <row r="613" spans="1:9" x14ac:dyDescent="0.45">
      <c r="A613" t="s">
        <v>1013</v>
      </c>
      <c r="B613" t="str">
        <f t="shared" si="69"/>
        <v>2004</v>
      </c>
      <c r="C613" t="str">
        <f t="shared" si="70"/>
        <v>Addison-Wesley</v>
      </c>
      <c r="D613" t="str">
        <f t="shared" si="71"/>
        <v>Helmut Kopka, Patrick W. Daly</v>
      </c>
      <c r="E613" s="3" t="str">
        <f t="shared" si="72"/>
        <v/>
      </c>
      <c r="F613" t="str">
        <f t="shared" si="73"/>
        <v>.pdf</v>
      </c>
      <c r="G613">
        <f t="shared" si="74"/>
        <v>112</v>
      </c>
      <c r="H613" s="3">
        <f>LEN(Table1[[#This Row],[Auteur]])</f>
        <v>29</v>
      </c>
      <c r="I613" s="3" t="str">
        <f t="shared" si="75"/>
        <v>A Guide to Latex and Electronic Publishing</v>
      </c>
    </row>
    <row r="614" spans="1:9" x14ac:dyDescent="0.45">
      <c r="A614" t="s">
        <v>1014</v>
      </c>
      <c r="B614" t="str">
        <f t="shared" si="69"/>
        <v>1999</v>
      </c>
      <c r="C614" t="str">
        <f t="shared" si="70"/>
        <v>?</v>
      </c>
      <c r="D614" t="str">
        <f t="shared" si="71"/>
        <v>Harvey J. Greenberg</v>
      </c>
      <c r="E614" s="3" t="str">
        <f t="shared" si="72"/>
        <v/>
      </c>
      <c r="F614" t="str">
        <f t="shared" si="73"/>
        <v>.pdf</v>
      </c>
      <c r="G614">
        <f t="shared" si="74"/>
        <v>67</v>
      </c>
      <c r="H614" s="3">
        <f>LEN(Table1[[#This Row],[Auteur]])</f>
        <v>19</v>
      </c>
      <c r="I614" s="3" t="str">
        <f t="shared" si="75"/>
        <v>A Simplified Introduction to LaTeX</v>
      </c>
    </row>
    <row r="615" spans="1:9" x14ac:dyDescent="0.45">
      <c r="A615" t="s">
        <v>1015</v>
      </c>
      <c r="B615" t="str">
        <f t="shared" si="69"/>
        <v>2012</v>
      </c>
      <c r="C615" t="str">
        <f t="shared" si="70"/>
        <v>Atramenta</v>
      </c>
      <c r="D615" t="str">
        <f t="shared" si="71"/>
        <v>Maïeul Rouquette</v>
      </c>
      <c r="E615" s="3" t="str">
        <f t="shared" si="72"/>
        <v/>
      </c>
      <c r="F615" t="str">
        <f t="shared" si="73"/>
        <v>.pdf</v>
      </c>
      <c r="G615">
        <f t="shared" si="74"/>
        <v>70</v>
      </c>
      <c r="H615" s="3">
        <f>LEN(Table1[[#This Row],[Auteur]])</f>
        <v>16</v>
      </c>
      <c r="I615" s="3" t="str">
        <f t="shared" si="75"/>
        <v>Latex en sciences humaines</v>
      </c>
    </row>
    <row r="616" spans="1:9" x14ac:dyDescent="0.45">
      <c r="A616" t="s">
        <v>1016</v>
      </c>
      <c r="B616" t="str">
        <f t="shared" si="69"/>
        <v>1997</v>
      </c>
      <c r="C616" t="str">
        <f t="shared" si="70"/>
        <v>Siam</v>
      </c>
      <c r="D616" t="str">
        <f t="shared" si="71"/>
        <v>David F. Griffiths, Desmond J. Higham</v>
      </c>
      <c r="E616" s="3" t="str">
        <f t="shared" si="72"/>
        <v>Scan</v>
      </c>
      <c r="F616" s="3" t="str">
        <f t="shared" si="73"/>
        <v>.pdf</v>
      </c>
      <c r="G616">
        <f t="shared" si="74"/>
        <v>81</v>
      </c>
      <c r="H616" s="3">
        <f>LEN(Table1[[#This Row],[Auteur]])</f>
        <v>37</v>
      </c>
      <c r="I616" s="3" t="str">
        <f t="shared" si="75"/>
        <v>Learning Latex</v>
      </c>
    </row>
    <row r="617" spans="1:9" x14ac:dyDescent="0.45">
      <c r="A617" t="s">
        <v>1017</v>
      </c>
      <c r="B617" t="str">
        <f t="shared" si="69"/>
        <v>1996</v>
      </c>
      <c r="C617" t="str">
        <f t="shared" si="70"/>
        <v>Birkhauser</v>
      </c>
      <c r="D617" t="str">
        <f t="shared" si="71"/>
        <v>George Grätzer</v>
      </c>
      <c r="E617" s="3" t="str">
        <f t="shared" si="72"/>
        <v/>
      </c>
      <c r="F617" s="3" t="str">
        <f t="shared" si="73"/>
        <v>.pdf</v>
      </c>
      <c r="G617">
        <f t="shared" si="74"/>
        <v>95</v>
      </c>
      <c r="H617" s="3">
        <f>LEN(Table1[[#This Row],[Auteur]])</f>
        <v>14</v>
      </c>
      <c r="I617" s="3" t="str">
        <f t="shared" si="75"/>
        <v>Math into LaTeX, Introduction to LaTeX and AMS-LaTeX</v>
      </c>
    </row>
    <row r="618" spans="1:9" x14ac:dyDescent="0.45">
      <c r="A618" t="s">
        <v>1958</v>
      </c>
      <c r="B618" t="str">
        <f t="shared" si="69"/>
        <v>2004</v>
      </c>
      <c r="C618" t="str">
        <f t="shared" si="70"/>
        <v>Addison-Wesley</v>
      </c>
      <c r="D618" t="str">
        <f t="shared" si="71"/>
        <v>Mittelbach, Goossens</v>
      </c>
      <c r="E618" s="3" t="str">
        <f t="shared" si="72"/>
        <v>Scan</v>
      </c>
      <c r="F618" t="str">
        <f t="shared" si="73"/>
        <v>.djvu</v>
      </c>
      <c r="G618">
        <f t="shared" si="74"/>
        <v>135</v>
      </c>
      <c r="H618" s="3">
        <f>LEN(Table1[[#This Row],[Auteur]])</f>
        <v>20</v>
      </c>
      <c r="I618" s="3" t="str">
        <f t="shared" si="75"/>
        <v>The LaTeX Companion, Tools and Techniques for Computer Typesetting</v>
      </c>
    </row>
    <row r="619" spans="1:9" x14ac:dyDescent="0.45">
      <c r="A619" t="s">
        <v>1959</v>
      </c>
      <c r="B619" t="str">
        <f t="shared" si="69"/>
        <v>2004</v>
      </c>
      <c r="C619" t="str">
        <f t="shared" si="70"/>
        <v>Addison-Wesley</v>
      </c>
      <c r="D619" t="str">
        <f t="shared" si="71"/>
        <v>Mittelbach, Goossens</v>
      </c>
      <c r="E619" s="3" t="str">
        <f t="shared" si="72"/>
        <v>Scan</v>
      </c>
      <c r="F619" s="3" t="str">
        <f t="shared" si="73"/>
        <v>.pdf</v>
      </c>
      <c r="G619">
        <f t="shared" si="74"/>
        <v>134</v>
      </c>
      <c r="H619" s="3">
        <f>LEN(Table1[[#This Row],[Auteur]])</f>
        <v>20</v>
      </c>
      <c r="I619" s="3" t="str">
        <f t="shared" si="75"/>
        <v>The LaTeX Companion, Tools and Techniques for Computer Typesetting</v>
      </c>
    </row>
    <row r="620" spans="1:9" x14ac:dyDescent="0.45">
      <c r="A620" t="s">
        <v>1018</v>
      </c>
      <c r="B620" t="str">
        <f t="shared" si="69"/>
        <v>1991</v>
      </c>
      <c r="C620" t="str">
        <f t="shared" si="70"/>
        <v>Addison-Wesley</v>
      </c>
      <c r="D620" t="str">
        <f t="shared" si="71"/>
        <v>Donald Knuth</v>
      </c>
      <c r="E620" s="3" t="str">
        <f t="shared" si="72"/>
        <v/>
      </c>
      <c r="F620" s="3" t="str">
        <f t="shared" si="73"/>
        <v>.pdf</v>
      </c>
      <c r="G620">
        <f t="shared" si="74"/>
        <v>56</v>
      </c>
      <c r="H620" s="3">
        <f>LEN(Table1[[#This Row],[Auteur]])</f>
        <v>12</v>
      </c>
      <c r="I620" s="3" t="str">
        <f t="shared" si="75"/>
        <v>The TeXbook</v>
      </c>
    </row>
    <row r="621" spans="1:9" x14ac:dyDescent="0.45">
      <c r="A621" t="s">
        <v>1019</v>
      </c>
      <c r="B621" t="str">
        <f t="shared" si="69"/>
        <v>2013</v>
      </c>
      <c r="C621" t="str">
        <f t="shared" si="70"/>
        <v>Framabook</v>
      </c>
      <c r="D621" t="str">
        <f t="shared" si="71"/>
        <v>Vincent Lozano</v>
      </c>
      <c r="E621" s="3" t="str">
        <f t="shared" si="72"/>
        <v/>
      </c>
      <c r="F621" t="str">
        <f t="shared" si="73"/>
        <v>.pdf</v>
      </c>
      <c r="G621">
        <f t="shared" si="74"/>
        <v>124</v>
      </c>
      <c r="H621" s="3">
        <f>LEN(Table1[[#This Row],[Auteur]])</f>
        <v>14</v>
      </c>
      <c r="I621" s="3" t="str">
        <f t="shared" si="75"/>
        <v>Tout ce que vous avez toujours voulu savoir sur Latex sans jamais oser le demander</v>
      </c>
    </row>
    <row r="622" spans="1:9" x14ac:dyDescent="0.45">
      <c r="A622" t="s">
        <v>1020</v>
      </c>
      <c r="B622" t="str">
        <f t="shared" si="69"/>
        <v>2014</v>
      </c>
      <c r="C622" t="str">
        <f t="shared" si="70"/>
        <v>?</v>
      </c>
      <c r="D622" t="str">
        <f t="shared" si="71"/>
        <v>Mendel Cooper</v>
      </c>
      <c r="E622" s="3" t="str">
        <f t="shared" si="72"/>
        <v/>
      </c>
      <c r="F622" t="str">
        <f t="shared" si="73"/>
        <v>.pdf</v>
      </c>
      <c r="G622">
        <f t="shared" si="74"/>
        <v>60</v>
      </c>
      <c r="H622" s="3">
        <f>LEN(Table1[[#This Row],[Auteur]])</f>
        <v>13</v>
      </c>
      <c r="I622" s="3" t="str">
        <f t="shared" si="75"/>
        <v>Advanced Bash-Scripting Guide v10</v>
      </c>
    </row>
    <row r="623" spans="1:9" x14ac:dyDescent="0.45">
      <c r="A623" t="s">
        <v>1021</v>
      </c>
      <c r="B623" t="str">
        <f t="shared" si="69"/>
        <v>2001</v>
      </c>
      <c r="C623" t="str">
        <f t="shared" si="70"/>
        <v>New Riders</v>
      </c>
      <c r="D623" t="str">
        <f t="shared" si="71"/>
        <v>Mark Mitchell, Jeffrey Oldham, Alex Samuel</v>
      </c>
      <c r="E623" s="3" t="str">
        <f t="shared" si="72"/>
        <v/>
      </c>
      <c r="F623" s="3" t="str">
        <f t="shared" si="73"/>
        <v>.pdf</v>
      </c>
      <c r="G623" s="3">
        <f t="shared" si="74"/>
        <v>97</v>
      </c>
      <c r="H623" s="3">
        <f>LEN(Table1[[#This Row],[Auteur]])</f>
        <v>42</v>
      </c>
      <c r="I623" s="3" t="str">
        <f t="shared" si="75"/>
        <v>Advanced Linux Programming</v>
      </c>
    </row>
    <row r="624" spans="1:9" x14ac:dyDescent="0.45">
      <c r="A624" t="s">
        <v>1022</v>
      </c>
      <c r="B624" t="str">
        <f t="shared" si="69"/>
        <v>2007</v>
      </c>
      <c r="C624" t="str">
        <f t="shared" si="70"/>
        <v>O'Reilly</v>
      </c>
      <c r="D624" t="str">
        <f t="shared" si="71"/>
        <v>Albing, Vossen, Newham</v>
      </c>
      <c r="E624" s="3" t="str">
        <f t="shared" si="72"/>
        <v/>
      </c>
      <c r="F624" s="3" t="str">
        <f t="shared" si="73"/>
        <v>.pdf</v>
      </c>
      <c r="G624">
        <f t="shared" si="74"/>
        <v>75</v>
      </c>
      <c r="H624" s="3">
        <f>LEN(Table1[[#This Row],[Auteur]])</f>
        <v>22</v>
      </c>
      <c r="I624" s="3" t="str">
        <f t="shared" si="75"/>
        <v>Bash, Le livre de recettes</v>
      </c>
    </row>
    <row r="625" spans="1:9" x14ac:dyDescent="0.45">
      <c r="A625" t="s">
        <v>1023</v>
      </c>
      <c r="B625" t="str">
        <f t="shared" si="69"/>
        <v>2004</v>
      </c>
      <c r="C625" t="str">
        <f t="shared" si="70"/>
        <v>Wiley</v>
      </c>
      <c r="D625" t="str">
        <f t="shared" si="71"/>
        <v>Neil Matthew, Richard Stones</v>
      </c>
      <c r="E625" s="3" t="str">
        <f t="shared" si="72"/>
        <v/>
      </c>
      <c r="F625" s="3" t="str">
        <f t="shared" si="73"/>
        <v>.pdf</v>
      </c>
      <c r="G625">
        <f t="shared" si="74"/>
        <v>87</v>
      </c>
      <c r="H625" s="3">
        <f>LEN(Table1[[#This Row],[Auteur]])</f>
        <v>28</v>
      </c>
      <c r="I625" s="3" t="str">
        <f t="shared" si="75"/>
        <v>Beginning Linux Programming</v>
      </c>
    </row>
    <row r="626" spans="1:9" x14ac:dyDescent="0.45">
      <c r="A626" t="s">
        <v>1024</v>
      </c>
      <c r="B626" t="str">
        <f t="shared" si="69"/>
        <v>2008</v>
      </c>
      <c r="C626" t="str">
        <f t="shared" si="70"/>
        <v>Wiley</v>
      </c>
      <c r="D626" t="str">
        <f t="shared" si="71"/>
        <v>Neil Matthew, Richard Stones</v>
      </c>
      <c r="E626" s="3" t="str">
        <f t="shared" si="72"/>
        <v/>
      </c>
      <c r="F626" t="str">
        <f t="shared" si="73"/>
        <v>.pdf</v>
      </c>
      <c r="G626">
        <f t="shared" si="74"/>
        <v>87</v>
      </c>
      <c r="H626" s="3">
        <f>LEN(Table1[[#This Row],[Auteur]])</f>
        <v>28</v>
      </c>
      <c r="I626" s="3" t="str">
        <f t="shared" si="75"/>
        <v>Beginning Linux Programming</v>
      </c>
    </row>
    <row r="627" spans="1:9" x14ac:dyDescent="0.45">
      <c r="A627" t="s">
        <v>1025</v>
      </c>
      <c r="B627" t="str">
        <f t="shared" si="69"/>
        <v>2009</v>
      </c>
      <c r="C627" t="str">
        <f t="shared" si="70"/>
        <v>Apress</v>
      </c>
      <c r="D627" t="str">
        <f t="shared" si="71"/>
        <v>Ron Peters</v>
      </c>
      <c r="E627" s="3" t="str">
        <f t="shared" si="72"/>
        <v/>
      </c>
      <c r="F627" t="str">
        <f t="shared" si="73"/>
        <v>.pdf</v>
      </c>
      <c r="G627">
        <f t="shared" si="74"/>
        <v>57</v>
      </c>
      <c r="H627" s="3">
        <f>LEN(Table1[[#This Row],[Auteur]])</f>
        <v>10</v>
      </c>
      <c r="I627" s="3" t="str">
        <f t="shared" si="75"/>
        <v>Expert Shell Scripting</v>
      </c>
    </row>
    <row r="628" spans="1:9" x14ac:dyDescent="0.45">
      <c r="A628" t="s">
        <v>1026</v>
      </c>
      <c r="B628" t="str">
        <f t="shared" si="69"/>
        <v>2008</v>
      </c>
      <c r="C628" t="str">
        <f t="shared" si="70"/>
        <v>?</v>
      </c>
      <c r="D628" t="str">
        <f t="shared" si="71"/>
        <v>Mendel Cooper</v>
      </c>
      <c r="E628" s="3" t="str">
        <f t="shared" si="72"/>
        <v/>
      </c>
      <c r="F628" t="str">
        <f t="shared" si="73"/>
        <v>.pdf</v>
      </c>
      <c r="G628">
        <f t="shared" si="74"/>
        <v>71</v>
      </c>
      <c r="H628" s="3">
        <f>LEN(Table1[[#This Row],[Auteur]])</f>
        <v>13</v>
      </c>
      <c r="I628" s="3" t="str">
        <f t="shared" si="75"/>
        <v>Guide avancé d'écriture des scripts Bash 5.3</v>
      </c>
    </row>
    <row r="629" spans="1:9" x14ac:dyDescent="0.45">
      <c r="A629" t="s">
        <v>1027</v>
      </c>
      <c r="B629" t="str">
        <f t="shared" si="69"/>
        <v>2011</v>
      </c>
      <c r="C629" t="str">
        <f t="shared" si="70"/>
        <v>Wiley</v>
      </c>
      <c r="D629" t="str">
        <f t="shared" si="71"/>
        <v>Richard Blum, Christine Bresnahan</v>
      </c>
      <c r="E629" t="str">
        <f t="shared" si="72"/>
        <v/>
      </c>
      <c r="F629" t="str">
        <f t="shared" si="73"/>
        <v>.pdf</v>
      </c>
      <c r="G629">
        <f t="shared" si="74"/>
        <v>109</v>
      </c>
      <c r="H629" s="3">
        <f>LEN(Table1[[#This Row],[Auteur]])</f>
        <v>33</v>
      </c>
      <c r="I629" s="3" t="str">
        <f t="shared" si="75"/>
        <v>Linux Command Line and Shell Scripting Bible</v>
      </c>
    </row>
    <row r="630" spans="1:9" x14ac:dyDescent="0.45">
      <c r="A630" t="s">
        <v>1028</v>
      </c>
      <c r="B630" t="str">
        <f t="shared" si="69"/>
        <v>2015</v>
      </c>
      <c r="C630" t="str">
        <f t="shared" si="70"/>
        <v>Wiley</v>
      </c>
      <c r="D630" t="str">
        <f t="shared" si="71"/>
        <v>Richard Blum, Christine Bresnahan</v>
      </c>
      <c r="E630" s="3" t="str">
        <f t="shared" si="72"/>
        <v/>
      </c>
      <c r="F630" t="str">
        <f t="shared" si="73"/>
        <v>.pdf</v>
      </c>
      <c r="G630">
        <f t="shared" si="74"/>
        <v>109</v>
      </c>
      <c r="H630" s="3">
        <f>LEN(Table1[[#This Row],[Auteur]])</f>
        <v>33</v>
      </c>
      <c r="I630" s="3" t="str">
        <f t="shared" si="75"/>
        <v>Linux Command Line and Shell Scripting Bible</v>
      </c>
    </row>
    <row r="631" spans="1:9" x14ac:dyDescent="0.45">
      <c r="A631" t="s">
        <v>1029</v>
      </c>
      <c r="B631" t="str">
        <f t="shared" si="69"/>
        <v>1997</v>
      </c>
      <c r="C631" t="str">
        <f t="shared" si="70"/>
        <v>Red Hat Press</v>
      </c>
      <c r="D631" t="str">
        <f t="shared" si="71"/>
        <v>J. Purcell</v>
      </c>
      <c r="E631" s="3" t="str">
        <f t="shared" si="72"/>
        <v/>
      </c>
      <c r="F631" s="3" t="str">
        <f t="shared" si="73"/>
        <v>.pdf</v>
      </c>
      <c r="G631">
        <f t="shared" si="74"/>
        <v>74</v>
      </c>
      <c r="H631" s="3">
        <f>LEN(Table1[[#This Row],[Auteur]])</f>
        <v>10</v>
      </c>
      <c r="I631" s="3" t="str">
        <f t="shared" si="75"/>
        <v>Linux Complete Command Reference</v>
      </c>
    </row>
    <row r="632" spans="1:9" x14ac:dyDescent="0.45">
      <c r="A632" t="s">
        <v>1030</v>
      </c>
      <c r="B632" t="str">
        <f t="shared" si="69"/>
        <v>2001</v>
      </c>
      <c r="C632" t="str">
        <f t="shared" si="70"/>
        <v>O'Reilly</v>
      </c>
      <c r="D632" t="str">
        <f t="shared" si="71"/>
        <v>Alessandro Rubini, Jonathan Corbet</v>
      </c>
      <c r="E632" s="3" t="str">
        <f t="shared" si="72"/>
        <v/>
      </c>
      <c r="F632" t="str">
        <f t="shared" si="73"/>
        <v>.pdf</v>
      </c>
      <c r="G632">
        <f t="shared" si="74"/>
        <v>89</v>
      </c>
      <c r="H632" s="3">
        <f>LEN(Table1[[#This Row],[Auteur]])</f>
        <v>34</v>
      </c>
      <c r="I632" s="3" t="str">
        <f t="shared" si="75"/>
        <v>Linux Device Drivers</v>
      </c>
    </row>
    <row r="633" spans="1:9" x14ac:dyDescent="0.45">
      <c r="A633" t="s">
        <v>1031</v>
      </c>
      <c r="B633" t="str">
        <f t="shared" si="69"/>
        <v>2005</v>
      </c>
      <c r="C633" t="str">
        <f t="shared" si="70"/>
        <v>O'Reilly</v>
      </c>
      <c r="D633" t="str">
        <f t="shared" si="71"/>
        <v>Jonathan Corbet, Alessandro Rubini, Greg Kroah-Hartman</v>
      </c>
      <c r="E633" s="3" t="str">
        <f t="shared" si="72"/>
        <v/>
      </c>
      <c r="F633" t="str">
        <f t="shared" si="73"/>
        <v>.pdf</v>
      </c>
      <c r="G633">
        <f t="shared" si="74"/>
        <v>109</v>
      </c>
      <c r="H633" s="3">
        <f>LEN(Table1[[#This Row],[Auteur]])</f>
        <v>54</v>
      </c>
      <c r="I633" s="3" t="str">
        <f t="shared" si="75"/>
        <v>Linux Device Drivers</v>
      </c>
    </row>
    <row r="634" spans="1:9" x14ac:dyDescent="0.45">
      <c r="A634" t="s">
        <v>1032</v>
      </c>
      <c r="B634" t="str">
        <f t="shared" si="69"/>
        <v>2007</v>
      </c>
      <c r="C634" t="str">
        <f t="shared" si="70"/>
        <v>O'Reilly</v>
      </c>
      <c r="D634" t="str">
        <f t="shared" si="71"/>
        <v>Robert Love</v>
      </c>
      <c r="E634" s="3" t="str">
        <f t="shared" si="72"/>
        <v/>
      </c>
      <c r="F634" s="3" t="str">
        <f t="shared" si="73"/>
        <v>.pdf</v>
      </c>
      <c r="G634">
        <f t="shared" si="74"/>
        <v>108</v>
      </c>
      <c r="H634" s="3">
        <f>LEN(Table1[[#This Row],[Auteur]])</f>
        <v>11</v>
      </c>
      <c r="I634" s="3" t="str">
        <f t="shared" si="75"/>
        <v>Linux System Programming, Talking directly to the Kernel and C library</v>
      </c>
    </row>
    <row r="635" spans="1:9" x14ac:dyDescent="0.45">
      <c r="A635" t="s">
        <v>1033</v>
      </c>
      <c r="B635" t="str">
        <f t="shared" si="69"/>
        <v>2009</v>
      </c>
      <c r="C635" t="str">
        <f t="shared" si="70"/>
        <v>Apress</v>
      </c>
      <c r="D635" t="str">
        <f t="shared" si="71"/>
        <v>Johnson, Varma</v>
      </c>
      <c r="E635" s="3" t="str">
        <f t="shared" si="72"/>
        <v/>
      </c>
      <c r="F635" t="str">
        <f t="shared" si="73"/>
        <v>.pdf</v>
      </c>
      <c r="G635">
        <f t="shared" si="74"/>
        <v>67</v>
      </c>
      <c r="H635" s="3">
        <f>LEN(Table1[[#This Row],[Auteur]])</f>
        <v>14</v>
      </c>
      <c r="I635" s="3" t="str">
        <f t="shared" si="75"/>
        <v>Pro Bash Programming</v>
      </c>
    </row>
    <row r="636" spans="1:9" x14ac:dyDescent="0.45">
      <c r="A636" t="s">
        <v>1034</v>
      </c>
      <c r="B636" t="str">
        <f t="shared" si="69"/>
        <v>2015</v>
      </c>
      <c r="C636" t="str">
        <f t="shared" si="70"/>
        <v>Apress</v>
      </c>
      <c r="D636" t="str">
        <f t="shared" si="71"/>
        <v>Johnson, Varma</v>
      </c>
      <c r="E636" s="3" t="str">
        <f t="shared" si="72"/>
        <v/>
      </c>
      <c r="F636" t="str">
        <f t="shared" si="73"/>
        <v>.pdf</v>
      </c>
      <c r="G636">
        <f t="shared" si="74"/>
        <v>67</v>
      </c>
      <c r="H636" s="3">
        <f>LEN(Table1[[#This Row],[Auteur]])</f>
        <v>14</v>
      </c>
      <c r="I636" s="3" t="str">
        <f t="shared" si="75"/>
        <v>Pro Bash Programming</v>
      </c>
    </row>
    <row r="637" spans="1:9" x14ac:dyDescent="0.45">
      <c r="A637" t="s">
        <v>1035</v>
      </c>
      <c r="B637" t="str">
        <f t="shared" si="69"/>
        <v>2007</v>
      </c>
      <c r="C637" t="str">
        <f t="shared" si="70"/>
        <v>Wiley</v>
      </c>
      <c r="D637" t="str">
        <f t="shared" si="71"/>
        <v>Jon Masters, Richard Blum</v>
      </c>
      <c r="E637" s="3" t="str">
        <f t="shared" si="72"/>
        <v/>
      </c>
      <c r="F637" s="3" t="str">
        <f t="shared" si="73"/>
        <v>.pdf</v>
      </c>
      <c r="G637">
        <f t="shared" si="74"/>
        <v>79</v>
      </c>
      <c r="H637" s="3">
        <f>LEN(Table1[[#This Row],[Auteur]])</f>
        <v>25</v>
      </c>
      <c r="I637" s="3" t="str">
        <f t="shared" si="75"/>
        <v>Professional Linux Programming</v>
      </c>
    </row>
    <row r="638" spans="1:9" x14ac:dyDescent="0.45">
      <c r="A638" t="s">
        <v>1036</v>
      </c>
      <c r="B638" t="str">
        <f t="shared" si="69"/>
        <v>2000</v>
      </c>
      <c r="C638" t="str">
        <f t="shared" si="70"/>
        <v>Eyrolles</v>
      </c>
      <c r="D638" t="str">
        <f t="shared" si="71"/>
        <v>Christophe Blaess</v>
      </c>
      <c r="E638" s="3" t="str">
        <f t="shared" si="72"/>
        <v/>
      </c>
      <c r="F638" t="str">
        <f t="shared" si="73"/>
        <v>.pdf</v>
      </c>
      <c r="G638">
        <f t="shared" si="74"/>
        <v>81</v>
      </c>
      <c r="H638" s="3">
        <f>LEN(Table1[[#This Row],[Auteur]])</f>
        <v>17</v>
      </c>
      <c r="I638" s="3" t="str">
        <f t="shared" si="75"/>
        <v>Programmation système en C sous Linux</v>
      </c>
    </row>
    <row r="639" spans="1:9" x14ac:dyDescent="0.45">
      <c r="A639" t="s">
        <v>1037</v>
      </c>
      <c r="B639" t="str">
        <f t="shared" si="69"/>
        <v>2011</v>
      </c>
      <c r="C639" t="str">
        <f t="shared" si="70"/>
        <v>Wiley</v>
      </c>
      <c r="D639" t="str">
        <f t="shared" si="71"/>
        <v>Steve Parker</v>
      </c>
      <c r="E639" s="3" t="str">
        <f t="shared" si="72"/>
        <v/>
      </c>
      <c r="F639" t="str">
        <f t="shared" si="73"/>
        <v>.pdf</v>
      </c>
      <c r="G639">
        <f t="shared" si="74"/>
        <v>51</v>
      </c>
      <c r="H639" s="3">
        <f>LEN(Table1[[#This Row],[Auteur]])</f>
        <v>12</v>
      </c>
      <c r="I639" s="3" t="str">
        <f t="shared" si="75"/>
        <v>Shell Scripting</v>
      </c>
    </row>
    <row r="640" spans="1:9" x14ac:dyDescent="0.45">
      <c r="A640" t="s">
        <v>1038</v>
      </c>
      <c r="B640" t="str">
        <f t="shared" si="69"/>
        <v>2008</v>
      </c>
      <c r="C640" t="str">
        <f t="shared" si="70"/>
        <v>Eyrolles</v>
      </c>
      <c r="D640" t="str">
        <f t="shared" si="71"/>
        <v>Christophe Blaess</v>
      </c>
      <c r="E640" s="3" t="str">
        <f t="shared" si="72"/>
        <v/>
      </c>
      <c r="F640" t="str">
        <f t="shared" si="73"/>
        <v>.pdf</v>
      </c>
      <c r="G640">
        <f t="shared" si="74"/>
        <v>80</v>
      </c>
      <c r="H640" s="3">
        <f>LEN(Table1[[#This Row],[Auteur]])</f>
        <v>17</v>
      </c>
      <c r="I640" s="3" t="str">
        <f t="shared" si="75"/>
        <v>Shells Linux et Unix par la pratique</v>
      </c>
    </row>
    <row r="641" spans="1:9" x14ac:dyDescent="0.45">
      <c r="A641" t="s">
        <v>1039</v>
      </c>
      <c r="B641" t="str">
        <f t="shared" si="69"/>
        <v>2012</v>
      </c>
      <c r="C641" t="str">
        <f t="shared" si="70"/>
        <v>No Starch</v>
      </c>
      <c r="D641" t="str">
        <f t="shared" si="71"/>
        <v>William Shotts</v>
      </c>
      <c r="E641" s="3" t="str">
        <f t="shared" si="72"/>
        <v/>
      </c>
      <c r="F641" t="str">
        <f t="shared" si="73"/>
        <v>.pdf</v>
      </c>
      <c r="G641">
        <f t="shared" si="74"/>
        <v>89</v>
      </c>
      <c r="H641" s="3">
        <f>LEN(Table1[[#This Row],[Auteur]])</f>
        <v>14</v>
      </c>
      <c r="I641" s="3" t="str">
        <f t="shared" si="75"/>
        <v>The Linux Command Line, A Complete Introduction</v>
      </c>
    </row>
    <row r="642" spans="1:9" x14ac:dyDescent="0.45">
      <c r="A642" t="s">
        <v>1040</v>
      </c>
      <c r="B642" t="str">
        <f t="shared" ref="B642:B705" si="76">DatePub(A642)</f>
        <v>2007</v>
      </c>
      <c r="C642" t="str">
        <f t="shared" ref="C642:C705" si="77">Editeur(A642)</f>
        <v>?</v>
      </c>
      <c r="D642" t="str">
        <f t="shared" ref="D642:D705" si="78">Auteur(A642)</f>
        <v>Peter Jay Salzman, Michael Burian, Ori Pomerantz</v>
      </c>
      <c r="E642" s="3" t="str">
        <f t="shared" ref="E642:E705" si="79">ExtraInfo(A642)</f>
        <v/>
      </c>
      <c r="F642" t="str">
        <f t="shared" ref="F642:F705" si="80">Extension(A642)</f>
        <v>.pdf</v>
      </c>
      <c r="G642">
        <f t="shared" ref="G642:G705" si="81">LenFileName(A642)</f>
        <v>103</v>
      </c>
      <c r="H642" s="3">
        <f>LEN(Table1[[#This Row],[Auteur]])</f>
        <v>48</v>
      </c>
      <c r="I642" s="3" t="str">
        <f t="shared" ref="I642:I643" si="82">Title(A642)</f>
        <v>The Linux Kernel Module Programming Guide</v>
      </c>
    </row>
    <row r="643" spans="1:9" x14ac:dyDescent="0.45">
      <c r="A643" t="s">
        <v>1041</v>
      </c>
      <c r="B643" t="str">
        <f t="shared" si="76"/>
        <v>2013</v>
      </c>
      <c r="C643" t="str">
        <f t="shared" si="77"/>
        <v>Oxford</v>
      </c>
      <c r="D643" t="str">
        <f t="shared" si="78"/>
        <v>B.M. Harwani</v>
      </c>
      <c r="E643" s="3" t="str">
        <f t="shared" si="79"/>
        <v/>
      </c>
      <c r="F643" t="str">
        <f t="shared" si="80"/>
        <v>.pdf</v>
      </c>
      <c r="G643">
        <f t="shared" si="81"/>
        <v>63</v>
      </c>
      <c r="H643" s="3">
        <f>LEN(Table1[[#This Row],[Auteur]])</f>
        <v>12</v>
      </c>
      <c r="I643" s="3" t="str">
        <f t="shared" si="82"/>
        <v>Unix and Shell Programming</v>
      </c>
    </row>
    <row r="644" spans="1:9" hidden="1" x14ac:dyDescent="0.45">
      <c r="A644" t="s">
        <v>1042</v>
      </c>
      <c r="B644" t="str">
        <f t="shared" si="76"/>
        <v>1998</v>
      </c>
      <c r="C644" t="str">
        <f t="shared" si="77"/>
        <v>Prentice Hall</v>
      </c>
      <c r="D644" t="str">
        <f t="shared" si="78"/>
        <v>W. Richard Stevens</v>
      </c>
      <c r="E644" s="3" t="str">
        <f t="shared" si="79"/>
        <v>Scan</v>
      </c>
      <c r="F644" t="str">
        <f t="shared" si="80"/>
        <v>.pdf</v>
      </c>
      <c r="G644">
        <f t="shared" si="81"/>
        <v>119</v>
      </c>
      <c r="H644" s="3">
        <f>LEN(Table1[[#This Row],[Auteur]])</f>
        <v>18</v>
      </c>
      <c r="I644" s="3" t="str">
        <f t="shared" ref="I644:I705" si="83">Title(A644)</f>
        <v>Unix Network Programming Volume 2, Interprocess Communications</v>
      </c>
    </row>
    <row r="645" spans="1:9" x14ac:dyDescent="0.45">
      <c r="A645" t="s">
        <v>1043</v>
      </c>
      <c r="B645" t="str">
        <f t="shared" si="76"/>
        <v>2011</v>
      </c>
      <c r="C645" t="str">
        <f t="shared" si="77"/>
        <v>Big nerd ranch</v>
      </c>
      <c r="D645" t="str">
        <f t="shared" si="78"/>
        <v>Mark Dalrymple</v>
      </c>
      <c r="E645" s="3" t="str">
        <f t="shared" si="79"/>
        <v/>
      </c>
      <c r="F645" t="str">
        <f t="shared" si="80"/>
        <v>.pdf</v>
      </c>
      <c r="G645">
        <f t="shared" si="81"/>
        <v>76</v>
      </c>
      <c r="H645" s="3">
        <f>LEN(Table1[[#This Row],[Auteur]])</f>
        <v>14</v>
      </c>
      <c r="I645" s="3" t="str">
        <f t="shared" si="83"/>
        <v>Advanced Mac OS X Programming</v>
      </c>
    </row>
    <row r="646" spans="1:9" x14ac:dyDescent="0.45">
      <c r="A646" t="s">
        <v>1044</v>
      </c>
      <c r="B646" t="str">
        <f t="shared" si="76"/>
        <v>2010</v>
      </c>
      <c r="C646" t="str">
        <f t="shared" si="77"/>
        <v>The Pragmatic Programmers</v>
      </c>
      <c r="D646" t="str">
        <f t="shared" si="78"/>
        <v>Tim Isted</v>
      </c>
      <c r="E646" s="3" t="str">
        <f t="shared" si="79"/>
        <v/>
      </c>
      <c r="F646" t="str">
        <f t="shared" si="80"/>
        <v>.pdf</v>
      </c>
      <c r="G646">
        <f t="shared" si="81"/>
        <v>114</v>
      </c>
      <c r="H646" s="3">
        <f>LEN(Table1[[#This Row],[Auteur]])</f>
        <v>9</v>
      </c>
      <c r="I646" s="3" t="str">
        <f t="shared" si="83"/>
        <v>Beginning Mac Programming, Develop with Objective-C and Cocoa</v>
      </c>
    </row>
    <row r="647" spans="1:9" x14ac:dyDescent="0.45">
      <c r="A647" t="s">
        <v>1045</v>
      </c>
      <c r="B647" t="str">
        <f t="shared" si="76"/>
        <v>2010</v>
      </c>
      <c r="C647" t="str">
        <f t="shared" si="77"/>
        <v>O'Reilly</v>
      </c>
      <c r="D647" t="str">
        <f t="shared" si="78"/>
        <v>Scott Stevenson</v>
      </c>
      <c r="E647" s="3" t="str">
        <f t="shared" si="79"/>
        <v/>
      </c>
      <c r="F647" s="3" t="str">
        <f t="shared" si="80"/>
        <v>.pdf</v>
      </c>
      <c r="G647">
        <f t="shared" si="81"/>
        <v>79</v>
      </c>
      <c r="H647" s="3">
        <f>LEN(Table1[[#This Row],[Auteur]])</f>
        <v>15</v>
      </c>
      <c r="I647" s="3" t="str">
        <f t="shared" si="83"/>
        <v>Cocoa and Objective C, Up and Running</v>
      </c>
    </row>
    <row r="648" spans="1:9" x14ac:dyDescent="0.45">
      <c r="A648" t="s">
        <v>1046</v>
      </c>
      <c r="B648" t="str">
        <f t="shared" si="76"/>
        <v>2010</v>
      </c>
      <c r="C648" t="str">
        <f t="shared" si="77"/>
        <v>Wiley</v>
      </c>
      <c r="D648" t="str">
        <f t="shared" si="78"/>
        <v>Richard Wentk</v>
      </c>
      <c r="E648" s="3" t="str">
        <f t="shared" si="79"/>
        <v/>
      </c>
      <c r="F648" t="str">
        <f t="shared" si="80"/>
        <v>.pdf</v>
      </c>
      <c r="G648">
        <f t="shared" si="81"/>
        <v>62</v>
      </c>
      <c r="H648" s="3">
        <f>LEN(Table1[[#This Row],[Auteur]])</f>
        <v>13</v>
      </c>
      <c r="I648" s="3" t="str">
        <f t="shared" si="83"/>
        <v>Cocoa Developer Reference</v>
      </c>
    </row>
    <row r="649" spans="1:9" x14ac:dyDescent="0.45">
      <c r="A649" t="s">
        <v>1047</v>
      </c>
      <c r="B649" t="str">
        <f t="shared" si="76"/>
        <v>2010</v>
      </c>
      <c r="C649" t="str">
        <f t="shared" si="77"/>
        <v>Addison-Wesley</v>
      </c>
      <c r="D649" t="str">
        <f t="shared" si="78"/>
        <v>David Chisnall</v>
      </c>
      <c r="E649" s="3" t="str">
        <f t="shared" si="79"/>
        <v/>
      </c>
      <c r="F649" s="3" t="str">
        <f t="shared" si="80"/>
        <v>.pdf</v>
      </c>
      <c r="G649">
        <f t="shared" si="81"/>
        <v>85</v>
      </c>
      <c r="H649" s="3">
        <f>LEN(Table1[[#This Row],[Auteur]])</f>
        <v>14</v>
      </c>
      <c r="I649" s="3" t="str">
        <f t="shared" si="83"/>
        <v>Cocoa Programming Developer's Handbook</v>
      </c>
    </row>
    <row r="650" spans="1:9" x14ac:dyDescent="0.45">
      <c r="A650" t="s">
        <v>1048</v>
      </c>
      <c r="B650" t="str">
        <f t="shared" si="76"/>
        <v>2010</v>
      </c>
      <c r="C650" t="str">
        <f t="shared" si="77"/>
        <v>The Pragmatic Programmers</v>
      </c>
      <c r="D650" t="str">
        <f t="shared" si="78"/>
        <v>Daniel H Steinberg</v>
      </c>
      <c r="E650" s="3" t="str">
        <f t="shared" si="79"/>
        <v/>
      </c>
      <c r="F650" t="str">
        <f t="shared" si="80"/>
        <v>.pdf</v>
      </c>
      <c r="G650">
        <f t="shared" si="81"/>
        <v>115</v>
      </c>
      <c r="H650" s="3">
        <f>LEN(Table1[[#This Row],[Auteur]])</f>
        <v>18</v>
      </c>
      <c r="I650" s="3" t="str">
        <f t="shared" si="83"/>
        <v>Cocoa Programming, A Quick Start Guide for Developers</v>
      </c>
    </row>
    <row r="651" spans="1:9" x14ac:dyDescent="0.45">
      <c r="A651" t="s">
        <v>1049</v>
      </c>
      <c r="B651" t="str">
        <f t="shared" si="76"/>
        <v>2010</v>
      </c>
      <c r="C651" t="str">
        <f t="shared" si="77"/>
        <v>Peachpit</v>
      </c>
      <c r="D651" t="str">
        <f t="shared" si="78"/>
        <v>Bill Cheeseman</v>
      </c>
      <c r="E651" s="3" t="str">
        <f t="shared" si="79"/>
        <v/>
      </c>
      <c r="F651" s="3" t="str">
        <f t="shared" si="80"/>
        <v>.pdf</v>
      </c>
      <c r="G651">
        <f t="shared" si="81"/>
        <v>75</v>
      </c>
      <c r="H651" s="3">
        <f>LEN(Table1[[#This Row],[Auteur]])</f>
        <v>14</v>
      </c>
      <c r="I651" s="3" t="str">
        <f t="shared" si="83"/>
        <v>Cocoa Recipes for Mac OS X</v>
      </c>
    </row>
    <row r="652" spans="1:9" x14ac:dyDescent="0.45">
      <c r="A652" t="s">
        <v>1050</v>
      </c>
      <c r="B652" t="str">
        <f t="shared" si="76"/>
        <v>2011</v>
      </c>
      <c r="C652" t="str">
        <f t="shared" si="77"/>
        <v>O'Reilly</v>
      </c>
      <c r="D652" t="str">
        <f t="shared" si="78"/>
        <v>Vandad Nahavandipoor</v>
      </c>
      <c r="E652" s="3" t="str">
        <f t="shared" si="79"/>
        <v/>
      </c>
      <c r="F652" t="str">
        <f t="shared" si="80"/>
        <v>.pdf</v>
      </c>
      <c r="G652">
        <f t="shared" si="81"/>
        <v>117</v>
      </c>
      <c r="H652" s="3">
        <f>LEN(Table1[[#This Row],[Auteur]])</f>
        <v>20</v>
      </c>
      <c r="I652" s="3" t="str">
        <f t="shared" si="83"/>
        <v>Concurrent Programming in Mac OS X and iOS with Grand Central Dispatch</v>
      </c>
    </row>
    <row r="653" spans="1:9" x14ac:dyDescent="0.45">
      <c r="A653" t="s">
        <v>1051</v>
      </c>
      <c r="B653" t="str">
        <f t="shared" si="76"/>
        <v>2011</v>
      </c>
      <c r="C653" t="str">
        <f t="shared" si="77"/>
        <v>Apress</v>
      </c>
      <c r="D653" t="str">
        <f t="shared" si="78"/>
        <v>Wallace Wang</v>
      </c>
      <c r="E653" s="3" t="str">
        <f t="shared" si="79"/>
        <v/>
      </c>
      <c r="F653" t="str">
        <f t="shared" si="80"/>
        <v>.pdf</v>
      </c>
      <c r="G653">
        <f t="shared" si="81"/>
        <v>75</v>
      </c>
      <c r="H653" s="3">
        <f>LEN(Table1[[#This Row],[Auteur]])</f>
        <v>12</v>
      </c>
      <c r="I653" s="3" t="str">
        <f t="shared" si="83"/>
        <v>Mac Programming for Absolute Beginners</v>
      </c>
    </row>
    <row r="654" spans="1:9" x14ac:dyDescent="0.45">
      <c r="A654" t="s">
        <v>1052</v>
      </c>
      <c r="B654" t="str">
        <f t="shared" si="76"/>
        <v>2012</v>
      </c>
      <c r="C654" t="str">
        <f t="shared" si="77"/>
        <v>Peachpit</v>
      </c>
      <c r="D654" t="str">
        <f t="shared" si="78"/>
        <v>Joshua Nozzi</v>
      </c>
      <c r="E654" s="3" t="str">
        <f t="shared" si="79"/>
        <v/>
      </c>
      <c r="F654" t="str">
        <f t="shared" si="80"/>
        <v>.pdf</v>
      </c>
      <c r="G654">
        <f t="shared" si="81"/>
        <v>76</v>
      </c>
      <c r="H654" s="3">
        <f>LEN(Table1[[#This Row],[Auteur]])</f>
        <v>12</v>
      </c>
      <c r="I654" s="3" t="str">
        <f t="shared" si="83"/>
        <v>Mastering Xcode 4, Develop and Design</v>
      </c>
    </row>
    <row r="655" spans="1:9" x14ac:dyDescent="0.45">
      <c r="A655" t="s">
        <v>1053</v>
      </c>
      <c r="B655" t="str">
        <f t="shared" si="76"/>
        <v>2009</v>
      </c>
      <c r="C655" t="str">
        <f t="shared" si="77"/>
        <v>Sams</v>
      </c>
      <c r="D655" t="str">
        <f t="shared" si="78"/>
        <v>Fritz Anderson</v>
      </c>
      <c r="E655" s="3" t="str">
        <f t="shared" si="79"/>
        <v/>
      </c>
      <c r="F655" t="str">
        <f t="shared" si="80"/>
        <v>.pdf</v>
      </c>
      <c r="G655">
        <f t="shared" si="81"/>
        <v>54</v>
      </c>
      <c r="H655" s="3">
        <f>LEN(Table1[[#This Row],[Auteur]])</f>
        <v>14</v>
      </c>
      <c r="I655" s="3" t="str">
        <f t="shared" si="83"/>
        <v>Xcode 3 Unleashed</v>
      </c>
    </row>
    <row r="656" spans="1:9" x14ac:dyDescent="0.45">
      <c r="A656" t="s">
        <v>1054</v>
      </c>
      <c r="B656" t="str">
        <f t="shared" si="76"/>
        <v>1990</v>
      </c>
      <c r="C656" t="str">
        <f t="shared" si="77"/>
        <v>MIT Press</v>
      </c>
      <c r="D656" t="str">
        <f t="shared" si="78"/>
        <v>Nicholas Carriero, David Gelernter</v>
      </c>
      <c r="E656" s="3" t="str">
        <f t="shared" si="79"/>
        <v/>
      </c>
      <c r="F656" s="3" t="str">
        <f t="shared" si="80"/>
        <v>.pdf</v>
      </c>
      <c r="G656" s="3">
        <f t="shared" si="81"/>
        <v>108</v>
      </c>
      <c r="H656" s="3">
        <f>LEN(Table1[[#This Row],[Auteur]])</f>
        <v>34</v>
      </c>
      <c r="I656" s="3" t="str">
        <f t="shared" si="83"/>
        <v>How to Write Parallel Programs, A First Course</v>
      </c>
    </row>
    <row r="657" spans="1:9" x14ac:dyDescent="0.45">
      <c r="A657" t="s">
        <v>1055</v>
      </c>
      <c r="B657" t="str">
        <f t="shared" si="76"/>
        <v>2007</v>
      </c>
      <c r="C657" t="str">
        <f t="shared" si="77"/>
        <v>O'Reilly</v>
      </c>
      <c r="D657" t="str">
        <f t="shared" si="78"/>
        <v>James Reinders</v>
      </c>
      <c r="E657" s="3" t="str">
        <f t="shared" si="79"/>
        <v/>
      </c>
      <c r="F657" t="str">
        <f t="shared" si="80"/>
        <v>.pdf</v>
      </c>
      <c r="G657">
        <f t="shared" si="81"/>
        <v>125</v>
      </c>
      <c r="H657" s="3">
        <f>LEN(Table1[[#This Row],[Auteur]])</f>
        <v>14</v>
      </c>
      <c r="I657" s="3" t="str">
        <f t="shared" si="83"/>
        <v>Intel Threading Building Blocks, Outfitting C++ for Multi-Core Processor Parallelism</v>
      </c>
    </row>
    <row r="658" spans="1:9" x14ac:dyDescent="0.45">
      <c r="A658" t="s">
        <v>1933</v>
      </c>
      <c r="B658" t="str">
        <f t="shared" si="76"/>
        <v>2006</v>
      </c>
      <c r="C658" t="str">
        <f t="shared" si="77"/>
        <v>Wiley</v>
      </c>
      <c r="D658" t="str">
        <f t="shared" si="78"/>
        <v>Richard H. Carver, Kuo-Chung Tai</v>
      </c>
      <c r="E658" s="3" t="str">
        <f t="shared" si="79"/>
        <v/>
      </c>
      <c r="F658" t="str">
        <f t="shared" si="80"/>
        <v>.pdf</v>
      </c>
      <c r="G658">
        <f t="shared" si="81"/>
        <v>77</v>
      </c>
      <c r="H658" s="3">
        <f>LEN(Table1[[#This Row],[Auteur]])</f>
        <v>32</v>
      </c>
      <c r="I658" s="3" t="str">
        <f t="shared" si="83"/>
        <v>Modern Multithreading</v>
      </c>
    </row>
    <row r="659" spans="1:9" x14ac:dyDescent="0.45">
      <c r="A659" t="s">
        <v>1056</v>
      </c>
      <c r="B659" t="str">
        <f t="shared" si="76"/>
        <v>2010</v>
      </c>
      <c r="C659" t="str">
        <f t="shared" si="77"/>
        <v>Springer</v>
      </c>
      <c r="D659" t="str">
        <f t="shared" si="78"/>
        <v>Thomas Rauber, Gudula Rünger</v>
      </c>
      <c r="E659" s="3" t="str">
        <f t="shared" si="79"/>
        <v/>
      </c>
      <c r="F659" s="3" t="str">
        <f t="shared" si="80"/>
        <v>.pdf</v>
      </c>
      <c r="G659">
        <f t="shared" si="81"/>
        <v>109</v>
      </c>
      <c r="H659" s="3">
        <f>LEN(Table1[[#This Row],[Auteur]])</f>
        <v>28</v>
      </c>
      <c r="I659" s="3" t="str">
        <f t="shared" si="83"/>
        <v>Parallel Programming for Multicore and Cluster Systems</v>
      </c>
    </row>
    <row r="660" spans="1:9" x14ac:dyDescent="0.45">
      <c r="A660" t="s">
        <v>1057</v>
      </c>
      <c r="B660" t="str">
        <f t="shared" si="76"/>
        <v>2003</v>
      </c>
      <c r="C660" t="str">
        <f t="shared" si="77"/>
        <v>Cambridge</v>
      </c>
      <c r="D660" t="str">
        <f t="shared" si="78"/>
        <v>George Karniadakis, Robert Kirby</v>
      </c>
      <c r="E660" s="3" t="str">
        <f t="shared" si="79"/>
        <v/>
      </c>
      <c r="F660" t="str">
        <f t="shared" si="80"/>
        <v>.pdf</v>
      </c>
      <c r="G660">
        <f t="shared" si="81"/>
        <v>104</v>
      </c>
      <c r="H660" s="3">
        <f>LEN(Table1[[#This Row],[Auteur]])</f>
        <v>32</v>
      </c>
      <c r="I660" s="3" t="str">
        <f t="shared" si="83"/>
        <v>Parallel Scientific Computing in C++ and MPI</v>
      </c>
    </row>
    <row r="661" spans="1:9" x14ac:dyDescent="0.45">
      <c r="A661" t="s">
        <v>1058</v>
      </c>
      <c r="B661" t="str">
        <f t="shared" si="76"/>
        <v>?</v>
      </c>
      <c r="C661" t="str">
        <f t="shared" si="77"/>
        <v>?</v>
      </c>
      <c r="D661" t="str">
        <f t="shared" si="78"/>
        <v>Timothy G. Mattson, Beverly A. Sanders, Berna L. Massingill</v>
      </c>
      <c r="E661" t="str">
        <f t="shared" si="79"/>
        <v>Dump</v>
      </c>
      <c r="F661" t="str">
        <f t="shared" si="80"/>
        <v>.pdf</v>
      </c>
      <c r="G661">
        <f t="shared" si="81"/>
        <v>106</v>
      </c>
      <c r="H661" s="3">
        <f>LEN(Table1[[#This Row],[Auteur]])</f>
        <v>59</v>
      </c>
      <c r="I661" s="3" t="str">
        <f t="shared" si="83"/>
        <v>Patterns for Parallel Programming</v>
      </c>
    </row>
    <row r="662" spans="1:9" x14ac:dyDescent="0.45">
      <c r="A662" t="s">
        <v>1934</v>
      </c>
      <c r="B662" t="str">
        <f t="shared" si="76"/>
        <v>2008</v>
      </c>
      <c r="C662" t="str">
        <f t="shared" si="77"/>
        <v>Wiley</v>
      </c>
      <c r="D662" t="str">
        <f t="shared" si="78"/>
        <v>Cameron &amp; Tracey Hughes</v>
      </c>
      <c r="E662" s="3" t="str">
        <f t="shared" si="79"/>
        <v/>
      </c>
      <c r="F662" s="3" t="str">
        <f t="shared" si="80"/>
        <v>.pdf</v>
      </c>
      <c r="G662">
        <f t="shared" si="81"/>
        <v>127</v>
      </c>
      <c r="H662" s="3">
        <f>LEN(Table1[[#This Row],[Auteur]])</f>
        <v>23</v>
      </c>
      <c r="I662" s="3" t="str">
        <f t="shared" si="83"/>
        <v>Professional Multicore Programming, Design and Implementation for C++ Developers</v>
      </c>
    </row>
    <row r="663" spans="1:9" x14ac:dyDescent="0.45">
      <c r="A663" t="s">
        <v>1059</v>
      </c>
      <c r="B663" t="str">
        <f t="shared" si="76"/>
        <v>2010</v>
      </c>
      <c r="C663" t="str">
        <f t="shared" si="77"/>
        <v>Elsevier</v>
      </c>
      <c r="D663" t="str">
        <f t="shared" si="78"/>
        <v>David B. Kirk, Wen-mei W. Hwu</v>
      </c>
      <c r="E663" s="3" t="str">
        <f t="shared" si="79"/>
        <v/>
      </c>
      <c r="F663" t="str">
        <f t="shared" si="80"/>
        <v>.pdf</v>
      </c>
      <c r="G663">
        <f t="shared" si="81"/>
        <v>97</v>
      </c>
      <c r="H663" s="3">
        <f>LEN(Table1[[#This Row],[Auteur]])</f>
        <v>29</v>
      </c>
      <c r="I663" s="3" t="str">
        <f t="shared" si="83"/>
        <v>Programming Massively Parallel Processors</v>
      </c>
    </row>
    <row r="664" spans="1:9" x14ac:dyDescent="0.45">
      <c r="A664" t="s">
        <v>1060</v>
      </c>
      <c r="B664" t="str">
        <f t="shared" si="76"/>
        <v>2003</v>
      </c>
      <c r="C664" t="str">
        <f t="shared" si="77"/>
        <v>Elsevier</v>
      </c>
      <c r="D664" t="str">
        <f t="shared" si="78"/>
        <v>Dongarra, Foster, Fox, Gropp, Kennedy, Torczon, White</v>
      </c>
      <c r="E664" t="str">
        <f t="shared" si="79"/>
        <v/>
      </c>
      <c r="F664" t="str">
        <f t="shared" si="80"/>
        <v>.pdf</v>
      </c>
      <c r="G664">
        <f t="shared" si="81"/>
        <v>112</v>
      </c>
      <c r="H664" s="3">
        <f>LEN(Table1[[#This Row],[Auteur]])</f>
        <v>53</v>
      </c>
      <c r="I664" s="3" t="str">
        <f t="shared" si="83"/>
        <v>Sourcebook of Parallel Computing</v>
      </c>
    </row>
    <row r="665" spans="1:9" x14ac:dyDescent="0.45">
      <c r="A665" t="s">
        <v>1061</v>
      </c>
      <c r="B665" t="str">
        <f t="shared" si="76"/>
        <v>2008</v>
      </c>
      <c r="C665" t="str">
        <f t="shared" si="77"/>
        <v>Elsevier</v>
      </c>
      <c r="D665" t="str">
        <f t="shared" si="78"/>
        <v>Maurice Herlihy, Nir Shavit</v>
      </c>
      <c r="E665" s="3" t="str">
        <f t="shared" si="79"/>
        <v/>
      </c>
      <c r="F665" s="3" t="str">
        <f t="shared" si="80"/>
        <v>.pdf</v>
      </c>
      <c r="G665" s="3">
        <f t="shared" si="81"/>
        <v>91</v>
      </c>
      <c r="H665" s="3">
        <f>LEN(Table1[[#This Row],[Auteur]])</f>
        <v>27</v>
      </c>
      <c r="I665" s="3" t="str">
        <f t="shared" si="83"/>
        <v>The Art of Multiprocessor Programming</v>
      </c>
    </row>
    <row r="666" spans="1:9" x14ac:dyDescent="0.45">
      <c r="A666" t="s">
        <v>1062</v>
      </c>
      <c r="B666" t="str">
        <f t="shared" si="76"/>
        <v>2005</v>
      </c>
      <c r="C666" t="str">
        <f t="shared" si="77"/>
        <v>Wiley</v>
      </c>
      <c r="D666" t="str">
        <f t="shared" si="78"/>
        <v>Andrew Watt</v>
      </c>
      <c r="E666" t="str">
        <f t="shared" si="79"/>
        <v/>
      </c>
      <c r="F666" t="str">
        <f t="shared" si="80"/>
        <v>.pdf</v>
      </c>
      <c r="G666">
        <f t="shared" si="81"/>
        <v>64</v>
      </c>
      <c r="H666" s="3">
        <f>LEN(Table1[[#This Row],[Auteur]])</f>
        <v>11</v>
      </c>
      <c r="I666" s="3" t="str">
        <f t="shared" si="83"/>
        <v>Beginning Regular Expressions</v>
      </c>
    </row>
    <row r="667" spans="1:9" x14ac:dyDescent="0.45">
      <c r="A667" t="s">
        <v>1063</v>
      </c>
      <c r="B667" t="str">
        <f t="shared" si="76"/>
        <v>2001</v>
      </c>
      <c r="C667" t="str">
        <f t="shared" si="77"/>
        <v>O'Reilly</v>
      </c>
      <c r="D667" t="str">
        <f t="shared" si="78"/>
        <v>Arnold Robbins</v>
      </c>
      <c r="E667" s="3" t="str">
        <f t="shared" si="79"/>
        <v/>
      </c>
      <c r="F667" s="3" t="str">
        <f t="shared" si="80"/>
        <v>.pdf</v>
      </c>
      <c r="G667">
        <f t="shared" si="81"/>
        <v>74</v>
      </c>
      <c r="H667" s="3">
        <f>LEN(Table1[[#This Row],[Auteur]])</f>
        <v>14</v>
      </c>
      <c r="I667" s="3" t="str">
        <f t="shared" si="83"/>
        <v>Effective awk Programming</v>
      </c>
    </row>
    <row r="668" spans="1:9" x14ac:dyDescent="0.45">
      <c r="A668" t="s">
        <v>1064</v>
      </c>
      <c r="B668" t="str">
        <f t="shared" si="76"/>
        <v>2009</v>
      </c>
      <c r="C668" t="str">
        <f t="shared" si="77"/>
        <v>O'Reilly</v>
      </c>
      <c r="D668" t="str">
        <f t="shared" si="78"/>
        <v>John Bambenek, Agnieszka Klus</v>
      </c>
      <c r="E668" s="3" t="str">
        <f t="shared" si="79"/>
        <v/>
      </c>
      <c r="F668" t="str">
        <f t="shared" si="80"/>
        <v>.pdf</v>
      </c>
      <c r="G668">
        <f t="shared" si="81"/>
        <v>77</v>
      </c>
      <c r="H668" s="3">
        <f>LEN(Table1[[#This Row],[Auteur]])</f>
        <v>29</v>
      </c>
      <c r="I668" s="3" t="str">
        <f t="shared" si="83"/>
        <v>grep Pocket Reference</v>
      </c>
    </row>
    <row r="669" spans="1:9" x14ac:dyDescent="0.45">
      <c r="A669" t="s">
        <v>1065</v>
      </c>
      <c r="B669" t="str">
        <f t="shared" si="76"/>
        <v>2006</v>
      </c>
      <c r="C669" t="str">
        <f t="shared" si="77"/>
        <v>O'Reilly</v>
      </c>
      <c r="D669" t="str">
        <f t="shared" si="78"/>
        <v>Jeffrey Friedl</v>
      </c>
      <c r="E669" s="3" t="str">
        <f t="shared" si="79"/>
        <v/>
      </c>
      <c r="F669" t="str">
        <f t="shared" si="80"/>
        <v>.pdf</v>
      </c>
      <c r="G669">
        <f t="shared" si="81"/>
        <v>78</v>
      </c>
      <c r="H669" s="3">
        <f>LEN(Table1[[#This Row],[Auteur]])</f>
        <v>14</v>
      </c>
      <c r="I669" s="3" t="str">
        <f t="shared" si="83"/>
        <v>Mastering Regular Expressions</v>
      </c>
    </row>
    <row r="670" spans="1:9" x14ac:dyDescent="0.45">
      <c r="A670" t="s">
        <v>1066</v>
      </c>
      <c r="B670" t="str">
        <f t="shared" si="76"/>
        <v>?</v>
      </c>
      <c r="C670" t="str">
        <f t="shared" si="77"/>
        <v>O'Reilly</v>
      </c>
      <c r="D670" t="str">
        <f t="shared" si="78"/>
        <v>Jeffrey E. F. Friedl</v>
      </c>
      <c r="E670" s="3" t="str">
        <f t="shared" si="79"/>
        <v>Excerpt §8</v>
      </c>
      <c r="F670" t="str">
        <f t="shared" si="80"/>
        <v>.pdf</v>
      </c>
      <c r="G670">
        <f t="shared" si="81"/>
        <v>88</v>
      </c>
      <c r="H670" s="3">
        <f>LEN(Table1[[#This Row],[Auteur]])</f>
        <v>20</v>
      </c>
      <c r="I670" s="3" t="str">
        <f t="shared" si="83"/>
        <v>Mastering Regular Expressions, Java</v>
      </c>
    </row>
    <row r="671" spans="1:9" x14ac:dyDescent="0.45">
      <c r="A671" t="s">
        <v>1067</v>
      </c>
      <c r="B671" t="str">
        <f t="shared" si="76"/>
        <v>2008</v>
      </c>
      <c r="C671" t="str">
        <f t="shared" si="77"/>
        <v>Springer</v>
      </c>
      <c r="D671" t="str">
        <f t="shared" si="78"/>
        <v>Dick Grune, Ceriel J.H. Jacobs</v>
      </c>
      <c r="E671" s="3" t="str">
        <f t="shared" si="79"/>
        <v/>
      </c>
      <c r="F671" t="str">
        <f t="shared" si="80"/>
        <v>.pdf</v>
      </c>
      <c r="G671">
        <f t="shared" si="81"/>
        <v>102</v>
      </c>
      <c r="H671" s="3">
        <f>LEN(Table1[[#This Row],[Auteur]])</f>
        <v>30</v>
      </c>
      <c r="I671" s="3" t="str">
        <f t="shared" si="83"/>
        <v>Parsing Techniques, A Practical Guide</v>
      </c>
    </row>
    <row r="672" spans="1:9" x14ac:dyDescent="0.45">
      <c r="A672" t="s">
        <v>1068</v>
      </c>
      <c r="B672" t="str">
        <f t="shared" si="76"/>
        <v>2007</v>
      </c>
      <c r="C672" t="str">
        <f t="shared" si="77"/>
        <v>O'Reilly</v>
      </c>
      <c r="D672" t="str">
        <f t="shared" si="78"/>
        <v>Tony Stubblebine</v>
      </c>
      <c r="E672" s="3" t="str">
        <f t="shared" si="79"/>
        <v/>
      </c>
      <c r="F672" t="str">
        <f t="shared" si="80"/>
        <v>.pdf</v>
      </c>
      <c r="G672">
        <f t="shared" si="81"/>
        <v>86</v>
      </c>
      <c r="H672" s="3">
        <f>LEN(Table1[[#This Row],[Auteur]])</f>
        <v>16</v>
      </c>
      <c r="I672" s="3" t="str">
        <f t="shared" si="83"/>
        <v>Regular Expression Pocket Reference</v>
      </c>
    </row>
    <row r="673" spans="1:9" x14ac:dyDescent="0.45">
      <c r="A673" t="s">
        <v>1069</v>
      </c>
      <c r="B673" t="str">
        <f t="shared" si="76"/>
        <v>2009</v>
      </c>
      <c r="C673" t="str">
        <f t="shared" si="77"/>
        <v>O'Reilly</v>
      </c>
      <c r="D673" t="str">
        <f t="shared" si="78"/>
        <v>Jan Goyvaerts, Steven Levithan</v>
      </c>
      <c r="E673" s="3" t="str">
        <f t="shared" si="79"/>
        <v/>
      </c>
      <c r="F673" s="3" t="str">
        <f t="shared" si="80"/>
        <v>.pdf</v>
      </c>
      <c r="G673">
        <f t="shared" si="81"/>
        <v>85</v>
      </c>
      <c r="H673" s="3">
        <f>LEN(Table1[[#This Row],[Auteur]])</f>
        <v>30</v>
      </c>
      <c r="I673" s="3" t="str">
        <f t="shared" si="83"/>
        <v>Regular Expressions Cookbook</v>
      </c>
    </row>
    <row r="674" spans="1:9" x14ac:dyDescent="0.45">
      <c r="A674" t="s">
        <v>1070</v>
      </c>
      <c r="B674" t="str">
        <f t="shared" si="76"/>
        <v>1997</v>
      </c>
      <c r="C674" t="str">
        <f t="shared" si="77"/>
        <v>O'Reilly</v>
      </c>
      <c r="D674" t="str">
        <f t="shared" si="78"/>
        <v>Dale Dougherty, Arnold Robbins</v>
      </c>
      <c r="E674" s="3" t="str">
        <f t="shared" si="79"/>
        <v>Dump</v>
      </c>
      <c r="F674" s="3" t="str">
        <f t="shared" si="80"/>
        <v>.pdf</v>
      </c>
      <c r="G674" s="3">
        <f t="shared" si="81"/>
        <v>81</v>
      </c>
      <c r="H674" s="3">
        <f>LEN(Table1[[#This Row],[Auteur]])</f>
        <v>30</v>
      </c>
      <c r="I674" s="3" t="str">
        <f t="shared" si="83"/>
        <v>sed &amp; awk</v>
      </c>
    </row>
    <row r="675" spans="1:9" x14ac:dyDescent="0.45">
      <c r="A675" t="s">
        <v>1071</v>
      </c>
      <c r="B675" t="str">
        <f t="shared" si="76"/>
        <v>2004</v>
      </c>
      <c r="C675" t="str">
        <f t="shared" si="77"/>
        <v>Prentice Hall</v>
      </c>
      <c r="D675" t="str">
        <f t="shared" si="78"/>
        <v>Jasmin Blanchette, Mark Summerfield</v>
      </c>
      <c r="E675" s="3" t="str">
        <f t="shared" si="79"/>
        <v/>
      </c>
      <c r="F675" t="str">
        <f t="shared" si="80"/>
        <v>.pdf</v>
      </c>
      <c r="G675">
        <f t="shared" si="81"/>
        <v>96</v>
      </c>
      <c r="H675" s="3">
        <f>LEN(Table1[[#This Row],[Auteur]])</f>
        <v>35</v>
      </c>
      <c r="I675" s="3" t="str">
        <f t="shared" si="83"/>
        <v>C++ GUI Programming with Qt 3</v>
      </c>
    </row>
    <row r="676" spans="1:9" x14ac:dyDescent="0.45">
      <c r="A676" t="s">
        <v>1072</v>
      </c>
      <c r="B676" t="str">
        <f t="shared" si="76"/>
        <v>2011</v>
      </c>
      <c r="C676" t="str">
        <f t="shared" si="77"/>
        <v>Développez.com</v>
      </c>
      <c r="D676" t="str">
        <f t="shared" si="78"/>
        <v>?</v>
      </c>
      <c r="E676" s="3" t="str">
        <f t="shared" si="79"/>
        <v/>
      </c>
      <c r="F676" t="str">
        <f t="shared" si="80"/>
        <v>.pdf</v>
      </c>
      <c r="G676">
        <f t="shared" si="81"/>
        <v>88</v>
      </c>
      <c r="H676" s="3">
        <f>LEN(Table1[[#This Row],[Auteur]])</f>
        <v>1</v>
      </c>
      <c r="I676" s="3" t="str">
        <f t="shared" si="83"/>
        <v>Débuter dans la création d'interfaces graphiques avec Qt 4</v>
      </c>
    </row>
    <row r="677" spans="1:9" x14ac:dyDescent="0.45">
      <c r="A677" t="s">
        <v>1073</v>
      </c>
      <c r="B677" t="str">
        <f t="shared" si="76"/>
        <v>2015</v>
      </c>
      <c r="C677" t="str">
        <f t="shared" si="77"/>
        <v>Eyrolles</v>
      </c>
      <c r="D677" t="str">
        <f t="shared" si="78"/>
        <v>Sylvie Daumal</v>
      </c>
      <c r="E677" s="3" t="str">
        <f t="shared" si="79"/>
        <v/>
      </c>
      <c r="F677" t="str">
        <f t="shared" si="80"/>
        <v>.pdf</v>
      </c>
      <c r="G677">
        <f t="shared" si="81"/>
        <v>104</v>
      </c>
      <c r="H677" s="3">
        <f>LEN(Table1[[#This Row],[Auteur]])</f>
        <v>13</v>
      </c>
      <c r="I677" s="3" t="str">
        <f t="shared" si="83"/>
        <v>Design d'expérience utilisateur, Principes et méthodes UX</v>
      </c>
    </row>
    <row r="678" spans="1:9" x14ac:dyDescent="0.45">
      <c r="A678" t="s">
        <v>1074</v>
      </c>
      <c r="B678" t="str">
        <f t="shared" si="76"/>
        <v>2013</v>
      </c>
      <c r="C678" t="str">
        <f t="shared" si="77"/>
        <v>Dunod</v>
      </c>
      <c r="D678" t="str">
        <f t="shared" si="78"/>
        <v>Nogier, Bouillot, Leclerc</v>
      </c>
      <c r="E678" s="3" t="str">
        <f t="shared" si="79"/>
        <v/>
      </c>
      <c r="F678" s="3" t="str">
        <f t="shared" si="80"/>
        <v>.pdf</v>
      </c>
      <c r="G678">
        <f t="shared" si="81"/>
        <v>80</v>
      </c>
      <c r="H678" s="3">
        <f>LEN(Table1[[#This Row],[Auteur]])</f>
        <v>25</v>
      </c>
      <c r="I678" s="3" t="str">
        <f t="shared" si="83"/>
        <v>Ergonomie des interfaces</v>
      </c>
    </row>
    <row r="679" spans="1:9" x14ac:dyDescent="0.45">
      <c r="A679" t="s">
        <v>1075</v>
      </c>
      <c r="B679" t="str">
        <f t="shared" si="76"/>
        <v>2016</v>
      </c>
      <c r="C679" t="str">
        <f t="shared" si="77"/>
        <v>Eyrolles</v>
      </c>
      <c r="D679" t="str">
        <f t="shared" si="78"/>
        <v>Lallemand, Gronier</v>
      </c>
      <c r="E679" s="3" t="str">
        <f t="shared" si="79"/>
        <v/>
      </c>
      <c r="F679" t="str">
        <f t="shared" si="80"/>
        <v>.epub</v>
      </c>
      <c r="G679">
        <f t="shared" si="81"/>
        <v>67</v>
      </c>
      <c r="H679" s="3">
        <f>LEN(Table1[[#This Row],[Auteur]])</f>
        <v>18</v>
      </c>
      <c r="I679" s="3" t="str">
        <f t="shared" si="83"/>
        <v>Méthodes de design UX</v>
      </c>
    </row>
    <row r="680" spans="1:9" x14ac:dyDescent="0.45">
      <c r="A680" t="s">
        <v>1076</v>
      </c>
      <c r="B680" t="str">
        <f t="shared" si="76"/>
        <v>2016</v>
      </c>
      <c r="C680" t="str">
        <f t="shared" si="77"/>
        <v>Eyrolles</v>
      </c>
      <c r="D680" t="str">
        <f t="shared" si="78"/>
        <v>Lallemand, Gronier</v>
      </c>
      <c r="E680" s="3" t="str">
        <f t="shared" si="79"/>
        <v/>
      </c>
      <c r="F680" s="3" t="str">
        <f t="shared" si="80"/>
        <v>.pdf</v>
      </c>
      <c r="G680">
        <f t="shared" si="81"/>
        <v>66</v>
      </c>
      <c r="H680" s="3">
        <f>LEN(Table1[[#This Row],[Auteur]])</f>
        <v>18</v>
      </c>
      <c r="I680" s="3" t="str">
        <f t="shared" si="83"/>
        <v>Méthodes de design UX</v>
      </c>
    </row>
    <row r="681" spans="1:9" x14ac:dyDescent="0.45">
      <c r="A681" t="s">
        <v>1077</v>
      </c>
      <c r="B681" t="str">
        <f t="shared" si="76"/>
        <v>2010</v>
      </c>
      <c r="C681" t="str">
        <f t="shared" si="77"/>
        <v>Microsoft</v>
      </c>
      <c r="D681" t="str">
        <f t="shared" si="78"/>
        <v>Windows Vista and 7</v>
      </c>
      <c r="E681" s="3" t="str">
        <f t="shared" si="79"/>
        <v>Web document</v>
      </c>
      <c r="F681" t="str">
        <f t="shared" si="80"/>
        <v>.pdf</v>
      </c>
      <c r="G681">
        <f t="shared" si="81"/>
        <v>110</v>
      </c>
      <c r="H681" s="3">
        <f>LEN(Table1[[#This Row],[Auteur]])</f>
        <v>19</v>
      </c>
      <c r="I681" s="3" t="str">
        <f t="shared" si="83"/>
        <v>Microsoft User Interaction Experience Guidelines</v>
      </c>
    </row>
    <row r="682" spans="1:9" x14ac:dyDescent="0.45">
      <c r="A682" t="s">
        <v>1078</v>
      </c>
      <c r="B682" t="str">
        <f t="shared" si="76"/>
        <v>2009</v>
      </c>
      <c r="C682" t="str">
        <f t="shared" si="77"/>
        <v>Pearson</v>
      </c>
      <c r="D682" t="str">
        <f t="shared" si="78"/>
        <v>Jasmin Blanchette, Mark Summerfield</v>
      </c>
      <c r="E682" s="3" t="str">
        <f t="shared" si="79"/>
        <v/>
      </c>
      <c r="F682" s="3" t="str">
        <f t="shared" si="80"/>
        <v>.pdf</v>
      </c>
      <c r="G682">
        <f t="shared" si="81"/>
        <v>103</v>
      </c>
      <c r="H682" s="3">
        <f>LEN(Table1[[#This Row],[Auteur]])</f>
        <v>35</v>
      </c>
      <c r="I682" s="3" t="str">
        <f t="shared" si="83"/>
        <v>Qt4 et C++, Programmation d'interfaces GUI</v>
      </c>
    </row>
    <row r="683" spans="1:9" x14ac:dyDescent="0.45">
      <c r="A683" t="s">
        <v>2065</v>
      </c>
      <c r="B683" t="str">
        <f t="shared" si="76"/>
        <v>?</v>
      </c>
      <c r="C683" t="str">
        <f t="shared" si="77"/>
        <v>?</v>
      </c>
      <c r="D683" t="str">
        <f t="shared" si="78"/>
        <v>?</v>
      </c>
      <c r="E683" s="3" t="str">
        <f t="shared" si="79"/>
        <v/>
      </c>
      <c r="F683" t="str">
        <f t="shared" si="80"/>
        <v>.rar</v>
      </c>
      <c r="G683">
        <f t="shared" si="81"/>
        <v>56</v>
      </c>
      <c r="H683" s="3">
        <f>LEN(Table1[[#This Row],[Auteur]])</f>
        <v>1</v>
      </c>
      <c r="I683" s="3" t="str">
        <f t="shared" si="83"/>
        <v>Qt4 et C++, Programmation d'interfaces GUI, Exemples</v>
      </c>
    </row>
    <row r="684" spans="1:9" x14ac:dyDescent="0.45">
      <c r="A684" t="s">
        <v>1079</v>
      </c>
      <c r="B684" t="str">
        <f t="shared" si="76"/>
        <v>2007</v>
      </c>
      <c r="C684" t="str">
        <f t="shared" si="77"/>
        <v>Prentice Hall</v>
      </c>
      <c r="D684" t="str">
        <f t="shared" si="78"/>
        <v>Mark Summerfield</v>
      </c>
      <c r="E684" s="3" t="str">
        <f t="shared" si="79"/>
        <v>Rough cuts</v>
      </c>
      <c r="F684" t="str">
        <f t="shared" si="80"/>
        <v>.pdf</v>
      </c>
      <c r="G684">
        <f t="shared" si="81"/>
        <v>143</v>
      </c>
      <c r="H684" s="3">
        <f>LEN(Table1[[#This Row],[Auteur]])</f>
        <v>16</v>
      </c>
      <c r="I684" s="3" t="str">
        <f t="shared" si="83"/>
        <v>Rapid GUI Programming with Python and Qt, The Definitive Guide to PyQt Programming</v>
      </c>
    </row>
    <row r="685" spans="1:9" x14ac:dyDescent="0.45">
      <c r="A685" t="s">
        <v>1080</v>
      </c>
      <c r="B685" t="str">
        <f t="shared" si="76"/>
        <v>2006</v>
      </c>
      <c r="C685" t="str">
        <f t="shared" si="77"/>
        <v>Eyrolles</v>
      </c>
      <c r="D685" t="str">
        <f t="shared" si="78"/>
        <v>Pascal Roques</v>
      </c>
      <c r="E685" s="3" t="str">
        <f t="shared" si="79"/>
        <v/>
      </c>
      <c r="F685" t="str">
        <f t="shared" si="80"/>
        <v>.pdf</v>
      </c>
      <c r="G685">
        <f t="shared" si="81"/>
        <v>106</v>
      </c>
      <c r="H685" s="3">
        <f>LEN(Table1[[#This Row],[Auteur]])</f>
        <v>13</v>
      </c>
      <c r="I685" s="3" t="str">
        <f t="shared" si="83"/>
        <v>UML 2 par la pratique, Études de cas et exercices corrigées</v>
      </c>
    </row>
    <row r="686" spans="1:9" x14ac:dyDescent="0.45">
      <c r="A686" t="s">
        <v>1081</v>
      </c>
      <c r="B686" t="str">
        <f t="shared" si="76"/>
        <v>2007</v>
      </c>
      <c r="C686" t="str">
        <f t="shared" si="77"/>
        <v>Eyrolles</v>
      </c>
      <c r="D686" t="str">
        <f t="shared" si="78"/>
        <v>Christian Soutou</v>
      </c>
      <c r="E686" s="3" t="str">
        <f t="shared" si="79"/>
        <v/>
      </c>
      <c r="F686" t="str">
        <f t="shared" si="80"/>
        <v>.pdf</v>
      </c>
      <c r="G686">
        <f t="shared" si="81"/>
        <v>74</v>
      </c>
      <c r="H686" s="3">
        <f>LEN(Table1[[#This Row],[Auteur]])</f>
        <v>16</v>
      </c>
      <c r="I686" s="3" t="str">
        <f t="shared" si="83"/>
        <v>UML 2 pour les bases de données</v>
      </c>
    </row>
    <row r="687" spans="1:9" x14ac:dyDescent="0.45">
      <c r="A687" t="s">
        <v>1082</v>
      </c>
      <c r="B687" t="str">
        <f t="shared" si="76"/>
        <v>2006</v>
      </c>
      <c r="C687" t="str">
        <f t="shared" si="77"/>
        <v>Eyrolles</v>
      </c>
      <c r="D687" t="str">
        <f t="shared" si="78"/>
        <v>Xavier Blanc, Isabelle Mounier</v>
      </c>
      <c r="E687" s="3" t="str">
        <f t="shared" si="79"/>
        <v/>
      </c>
      <c r="F687" t="str">
        <f t="shared" si="80"/>
        <v>.pdf</v>
      </c>
      <c r="G687">
        <f t="shared" si="81"/>
        <v>115</v>
      </c>
      <c r="H687" s="3">
        <f>LEN(Table1[[#This Row],[Auteur]])</f>
        <v>30</v>
      </c>
      <c r="I687" s="3" t="str">
        <f t="shared" si="83"/>
        <v>UML 2 pour les développeurs, Cours avec exercices corrigés</v>
      </c>
    </row>
    <row r="688" spans="1:9" x14ac:dyDescent="0.45">
      <c r="A688" t="s">
        <v>1083</v>
      </c>
      <c r="B688" t="str">
        <f t="shared" si="76"/>
        <v>?</v>
      </c>
      <c r="C688" t="str">
        <f t="shared" si="77"/>
        <v>Wiley</v>
      </c>
      <c r="D688" t="str">
        <f t="shared" si="78"/>
        <v>Thomas Pender</v>
      </c>
      <c r="E688" s="3" t="str">
        <f t="shared" si="79"/>
        <v/>
      </c>
      <c r="F688" t="str">
        <f t="shared" si="80"/>
        <v>.pdf</v>
      </c>
      <c r="G688">
        <f t="shared" si="81"/>
        <v>54</v>
      </c>
      <c r="H688" s="3">
        <f>LEN(Table1[[#This Row],[Auteur]])</f>
        <v>13</v>
      </c>
      <c r="I688" s="3" t="str">
        <f t="shared" si="83"/>
        <v>UML Weekend Crash Course</v>
      </c>
    </row>
    <row r="689" spans="1:9" x14ac:dyDescent="0.45">
      <c r="A689" t="s">
        <v>1084</v>
      </c>
      <c r="B689" t="str">
        <f t="shared" si="76"/>
        <v>1999</v>
      </c>
      <c r="C689" t="str">
        <f t="shared" si="77"/>
        <v>O'Reilly</v>
      </c>
      <c r="D689" t="str">
        <f t="shared" si="78"/>
        <v>Debra Cameron</v>
      </c>
      <c r="E689" s="3" t="str">
        <f t="shared" si="79"/>
        <v/>
      </c>
      <c r="F689" t="str">
        <f t="shared" si="80"/>
        <v>.pdf</v>
      </c>
      <c r="G689">
        <f t="shared" si="81"/>
        <v>66</v>
      </c>
      <c r="H689" s="3">
        <f>LEN(Table1[[#This Row],[Auteur]])</f>
        <v>13</v>
      </c>
      <c r="I689" s="3" t="str">
        <f t="shared" si="83"/>
        <v>GNU Emacs Pocket Reference</v>
      </c>
    </row>
    <row r="690" spans="1:9" x14ac:dyDescent="0.45">
      <c r="A690" t="s">
        <v>1085</v>
      </c>
      <c r="B690" t="str">
        <f t="shared" si="76"/>
        <v>2007</v>
      </c>
      <c r="C690" t="str">
        <f t="shared" si="77"/>
        <v>Packt</v>
      </c>
      <c r="D690" t="str">
        <f t="shared" si="78"/>
        <v>Kim Schulz</v>
      </c>
      <c r="E690" s="3" t="str">
        <f t="shared" si="79"/>
        <v/>
      </c>
      <c r="F690" t="str">
        <f t="shared" si="80"/>
        <v>.pdf</v>
      </c>
      <c r="G690">
        <f t="shared" si="81"/>
        <v>45</v>
      </c>
      <c r="H690" s="3">
        <f>LEN(Table1[[#This Row],[Auteur]])</f>
        <v>10</v>
      </c>
      <c r="I690" s="3" t="str">
        <f t="shared" si="83"/>
        <v>Hacking Vim</v>
      </c>
    </row>
    <row r="691" spans="1:9" x14ac:dyDescent="0.45">
      <c r="A691" t="s">
        <v>1086</v>
      </c>
      <c r="B691" t="str">
        <f t="shared" si="76"/>
        <v>2008</v>
      </c>
      <c r="C691" t="str">
        <f t="shared" si="77"/>
        <v>O'Reilly</v>
      </c>
      <c r="D691" t="str">
        <f t="shared" si="78"/>
        <v>Arnold Robbins, Elbert Hannah, Linda Lamb</v>
      </c>
      <c r="E691" s="3" t="str">
        <f t="shared" si="79"/>
        <v/>
      </c>
      <c r="F691" s="3" t="str">
        <f t="shared" si="80"/>
        <v>.pdf</v>
      </c>
      <c r="G691">
        <f t="shared" si="81"/>
        <v>107</v>
      </c>
      <c r="H691" s="3">
        <f>LEN(Table1[[#This Row],[Auteur]])</f>
        <v>41</v>
      </c>
      <c r="I691" s="3" t="str">
        <f t="shared" si="83"/>
        <v>Learning the vi and Vim Editors</v>
      </c>
    </row>
    <row r="692" spans="1:9" x14ac:dyDescent="0.45">
      <c r="A692" t="s">
        <v>1087</v>
      </c>
      <c r="B692" t="str">
        <f t="shared" si="76"/>
        <v>1998</v>
      </c>
      <c r="C692" t="str">
        <f t="shared" si="77"/>
        <v>O'Reilly</v>
      </c>
      <c r="D692" t="str">
        <f t="shared" si="78"/>
        <v>Linda Lamb, Arnold Robbins</v>
      </c>
      <c r="E692" s="3" t="str">
        <f t="shared" si="79"/>
        <v>Dump</v>
      </c>
      <c r="F692" t="str">
        <f t="shared" si="80"/>
        <v>.pdf</v>
      </c>
      <c r="G692">
        <f t="shared" si="81"/>
        <v>90</v>
      </c>
      <c r="H692" s="3">
        <f>LEN(Table1[[#This Row],[Auteur]])</f>
        <v>26</v>
      </c>
      <c r="I692" s="3" t="str">
        <f t="shared" si="83"/>
        <v>Learning the vi Editor</v>
      </c>
    </row>
    <row r="693" spans="1:9" x14ac:dyDescent="0.45">
      <c r="A693" t="s">
        <v>1088</v>
      </c>
      <c r="B693" t="str">
        <f t="shared" si="76"/>
        <v>2014</v>
      </c>
      <c r="C693" t="str">
        <f t="shared" si="77"/>
        <v>?</v>
      </c>
      <c r="D693" t="str">
        <f t="shared" si="78"/>
        <v>Tim Ottinger</v>
      </c>
      <c r="E693" s="3" t="str">
        <f t="shared" si="79"/>
        <v/>
      </c>
      <c r="F693" t="str">
        <f t="shared" si="80"/>
        <v>.pdf</v>
      </c>
      <c r="G693">
        <f t="shared" si="81"/>
        <v>44</v>
      </c>
      <c r="H693" s="3">
        <f>LEN(Table1[[#This Row],[Auteur]])</f>
        <v>12</v>
      </c>
      <c r="I693" s="3" t="str">
        <f t="shared" si="83"/>
        <v>Use Vim Like a Pro</v>
      </c>
    </row>
    <row r="694" spans="1:9" x14ac:dyDescent="0.45">
      <c r="A694" t="s">
        <v>1089</v>
      </c>
      <c r="B694" t="str">
        <f t="shared" si="76"/>
        <v>?</v>
      </c>
      <c r="C694" t="str">
        <f t="shared" si="77"/>
        <v>?</v>
      </c>
      <c r="D694" t="str">
        <f t="shared" si="78"/>
        <v>?</v>
      </c>
      <c r="E694" s="3" t="str">
        <f t="shared" si="79"/>
        <v/>
      </c>
      <c r="F694" t="str">
        <f t="shared" si="80"/>
        <v>.pdf</v>
      </c>
      <c r="G694">
        <f t="shared" si="81"/>
        <v>12</v>
      </c>
      <c r="H694" s="3">
        <f>LEN(Table1[[#This Row],[Auteur]])</f>
        <v>1</v>
      </c>
      <c r="I694" s="3" t="str">
        <f t="shared" si="83"/>
        <v>Vim book</v>
      </c>
    </row>
    <row r="695" spans="1:9" x14ac:dyDescent="0.45">
      <c r="A695" t="s">
        <v>1090</v>
      </c>
      <c r="B695" t="str">
        <f t="shared" si="76"/>
        <v>2001</v>
      </c>
      <c r="C695" t="str">
        <f t="shared" si="77"/>
        <v>O'Reilly</v>
      </c>
      <c r="D695" t="str">
        <f t="shared" si="78"/>
        <v>Jason T. Roff</v>
      </c>
      <c r="E695" s="3" t="str">
        <f t="shared" si="79"/>
        <v>Dump</v>
      </c>
      <c r="F695" t="str">
        <f t="shared" si="80"/>
        <v>.pdf</v>
      </c>
      <c r="G695">
        <f t="shared" si="81"/>
        <v>71</v>
      </c>
      <c r="H695" s="3">
        <f>LEN(Table1[[#This Row],[Auteur]])</f>
        <v>13</v>
      </c>
      <c r="I695" s="3" t="str">
        <f t="shared" si="83"/>
        <v>ADO ActiveX Data Objects</v>
      </c>
    </row>
    <row r="696" spans="1:9" x14ac:dyDescent="0.45">
      <c r="A696" t="s">
        <v>1091</v>
      </c>
      <c r="B696" t="str">
        <f t="shared" si="76"/>
        <v>2001</v>
      </c>
      <c r="C696" t="str">
        <f t="shared" si="77"/>
        <v>O'Reilly</v>
      </c>
      <c r="D696" t="str">
        <f t="shared" si="78"/>
        <v>Juval Lowy</v>
      </c>
      <c r="E696" s="3" t="str">
        <f t="shared" si="79"/>
        <v/>
      </c>
      <c r="F696" t="str">
        <f t="shared" si="80"/>
        <v>.pdf</v>
      </c>
      <c r="G696">
        <f t="shared" si="81"/>
        <v>68</v>
      </c>
      <c r="H696" s="3">
        <f>LEN(Table1[[#This Row],[Auteur]])</f>
        <v>10</v>
      </c>
      <c r="I696" s="3" t="str">
        <f t="shared" si="83"/>
        <v>COM and .Net Component Services</v>
      </c>
    </row>
    <row r="697" spans="1:9" x14ac:dyDescent="0.45">
      <c r="A697" t="s">
        <v>1092</v>
      </c>
      <c r="B697" t="str">
        <f t="shared" si="76"/>
        <v>2013</v>
      </c>
      <c r="C697" t="str">
        <f t="shared" si="77"/>
        <v>Eyrolles</v>
      </c>
      <c r="D697" t="str">
        <f t="shared" si="78"/>
        <v>Morand, Vo Van, Zanchetta</v>
      </c>
      <c r="E697" s="3" t="str">
        <f t="shared" si="79"/>
        <v/>
      </c>
      <c r="F697" s="3" t="str">
        <f t="shared" si="80"/>
        <v>.pdf</v>
      </c>
      <c r="G697" s="3">
        <f t="shared" si="81"/>
        <v>121</v>
      </c>
      <c r="H697" s="3">
        <f>LEN(Table1[[#This Row],[Auteur]])</f>
        <v>25</v>
      </c>
      <c r="I697" s="3" t="str">
        <f t="shared" si="83"/>
        <v>Développement Windows 8, Créer des applications pour le Windows Store</v>
      </c>
    </row>
    <row r="698" spans="1:9" x14ac:dyDescent="0.45">
      <c r="A698" t="s">
        <v>1974</v>
      </c>
      <c r="B698" t="str">
        <f t="shared" si="76"/>
        <v>2010</v>
      </c>
      <c r="C698" t="str">
        <f t="shared" si="77"/>
        <v>Microsoft Press</v>
      </c>
      <c r="D698" t="str">
        <f t="shared" si="78"/>
        <v>Kiriaty, Moroney, Goldshtein, Fliess</v>
      </c>
      <c r="E698" s="3" t="str">
        <f t="shared" si="79"/>
        <v/>
      </c>
      <c r="F698" s="3" t="str">
        <f t="shared" si="80"/>
        <v>.pdf</v>
      </c>
      <c r="G698">
        <f t="shared" si="81"/>
        <v>106</v>
      </c>
      <c r="H698" s="3">
        <f>LEN(Table1[[#This Row],[Auteur]])</f>
        <v>36</v>
      </c>
      <c r="I698" s="3" t="str">
        <f t="shared" si="83"/>
        <v>Introducing Windows 7 for Developers</v>
      </c>
    </row>
    <row r="699" spans="1:9" x14ac:dyDescent="0.45">
      <c r="A699" t="s">
        <v>1975</v>
      </c>
      <c r="B699" t="str">
        <f t="shared" si="76"/>
        <v>2013</v>
      </c>
      <c r="C699" t="str">
        <f t="shared" si="77"/>
        <v>Wiley</v>
      </c>
      <c r="D699" t="str">
        <f t="shared" si="78"/>
        <v>Lecrenski, Holland, Sanders, Ashley</v>
      </c>
      <c r="E699" s="3" t="str">
        <f t="shared" si="79"/>
        <v/>
      </c>
      <c r="F699" t="str">
        <f t="shared" si="80"/>
        <v>.pdf</v>
      </c>
      <c r="G699">
        <f t="shared" si="81"/>
        <v>134</v>
      </c>
      <c r="H699" s="3">
        <f>LEN(Table1[[#This Row],[Auteur]])</f>
        <v>35</v>
      </c>
      <c r="I699" s="3" t="str">
        <f t="shared" si="83"/>
        <v>Professional Windows 8 Programming Application Development with C# and XAML</v>
      </c>
    </row>
    <row r="700" spans="1:9" x14ac:dyDescent="0.45">
      <c r="A700" t="s">
        <v>1093</v>
      </c>
      <c r="B700" t="str">
        <f t="shared" si="76"/>
        <v>1998</v>
      </c>
      <c r="C700" t="str">
        <f t="shared" si="77"/>
        <v>Microsoft Press</v>
      </c>
      <c r="D700" t="str">
        <f t="shared" si="78"/>
        <v>Charles Petzold</v>
      </c>
      <c r="E700" s="3" t="str">
        <f t="shared" si="79"/>
        <v>Dump</v>
      </c>
      <c r="F700" s="3" t="str">
        <f t="shared" si="80"/>
        <v>.pdf</v>
      </c>
      <c r="G700">
        <f t="shared" si="81"/>
        <v>83</v>
      </c>
      <c r="H700" s="3">
        <f>LEN(Table1[[#This Row],[Auteur]])</f>
        <v>15</v>
      </c>
      <c r="I700" s="3" t="str">
        <f t="shared" si="83"/>
        <v>Programming Windows</v>
      </c>
    </row>
    <row r="701" spans="1:9" x14ac:dyDescent="0.45">
      <c r="A701" t="s">
        <v>1094</v>
      </c>
      <c r="B701" t="str">
        <f t="shared" si="76"/>
        <v>2012</v>
      </c>
      <c r="C701" t="str">
        <f t="shared" si="77"/>
        <v>Microsoft Press</v>
      </c>
      <c r="D701" t="str">
        <f t="shared" si="78"/>
        <v>Kraig Brockschmidt</v>
      </c>
      <c r="E701" s="3" t="str">
        <f t="shared" si="79"/>
        <v/>
      </c>
      <c r="F701" s="3" t="str">
        <f t="shared" si="80"/>
        <v>.epub</v>
      </c>
      <c r="G701" s="3">
        <f t="shared" si="81"/>
        <v>108</v>
      </c>
      <c r="H701" s="3">
        <f>LEN(Table1[[#This Row],[Auteur]])</f>
        <v>18</v>
      </c>
      <c r="I701" s="3" t="str">
        <f t="shared" si="83"/>
        <v>Programming Windows 8 Apps with HTML CSS and Javascript</v>
      </c>
    </row>
    <row r="702" spans="1:9" x14ac:dyDescent="0.45">
      <c r="A702" t="s">
        <v>1095</v>
      </c>
      <c r="B702" t="str">
        <f t="shared" si="76"/>
        <v>2012</v>
      </c>
      <c r="C702" t="str">
        <f t="shared" si="77"/>
        <v>Microsoft Press</v>
      </c>
      <c r="D702" t="str">
        <f t="shared" si="78"/>
        <v>Kraig Brockschmidt</v>
      </c>
      <c r="E702" s="3" t="str">
        <f t="shared" si="79"/>
        <v/>
      </c>
      <c r="F702" t="str">
        <f t="shared" si="80"/>
        <v>.pdf</v>
      </c>
      <c r="G702">
        <f t="shared" si="81"/>
        <v>107</v>
      </c>
      <c r="H702" s="3">
        <f>LEN(Table1[[#This Row],[Auteur]])</f>
        <v>18</v>
      </c>
      <c r="I702" s="3" t="str">
        <f t="shared" si="83"/>
        <v>Programming Windows 8 Apps with HTML CSS and Javascript</v>
      </c>
    </row>
    <row r="703" spans="1:9" x14ac:dyDescent="0.45">
      <c r="A703" t="s">
        <v>1096</v>
      </c>
      <c r="B703" t="str">
        <f t="shared" si="76"/>
        <v>2010</v>
      </c>
      <c r="C703" t="str">
        <f t="shared" si="77"/>
        <v>Microsoft Press</v>
      </c>
      <c r="D703" t="str">
        <f t="shared" si="78"/>
        <v>Charles Petzold</v>
      </c>
      <c r="E703" s="3" t="str">
        <f t="shared" si="79"/>
        <v/>
      </c>
      <c r="F703" t="str">
        <f t="shared" si="80"/>
        <v>.pdf</v>
      </c>
      <c r="G703">
        <f t="shared" si="81"/>
        <v>109</v>
      </c>
      <c r="H703" s="3">
        <f>LEN(Table1[[#This Row],[Auteur]])</f>
        <v>15</v>
      </c>
      <c r="I703" s="3" t="str">
        <f t="shared" si="83"/>
        <v>Programming Windows Phone 7, Microsoft XNA Framework Edition</v>
      </c>
    </row>
    <row r="704" spans="1:9" x14ac:dyDescent="0.45">
      <c r="A704" t="s">
        <v>1097</v>
      </c>
      <c r="B704" t="str">
        <f t="shared" si="76"/>
        <v>2014</v>
      </c>
      <c r="C704" t="str">
        <f t="shared" si="77"/>
        <v>Microsoft Press</v>
      </c>
      <c r="D704" t="str">
        <f t="shared" si="78"/>
        <v>Kraig Brockschmidt</v>
      </c>
      <c r="E704" s="3" t="str">
        <f t="shared" si="79"/>
        <v/>
      </c>
      <c r="F704" t="str">
        <f t="shared" si="80"/>
        <v>.epub</v>
      </c>
      <c r="G704">
        <f t="shared" si="81"/>
        <v>121</v>
      </c>
      <c r="H704" s="3">
        <f>LEN(Table1[[#This Row],[Auteur]])</f>
        <v>18</v>
      </c>
      <c r="I704" s="3" t="str">
        <f t="shared" si="83"/>
        <v>Programming Windows Store Apps with HTML, CSS and JavaScript</v>
      </c>
    </row>
    <row r="705" spans="1:9" x14ac:dyDescent="0.45">
      <c r="A705" t="s">
        <v>1098</v>
      </c>
      <c r="B705" t="str">
        <f t="shared" si="76"/>
        <v>2014</v>
      </c>
      <c r="C705" t="str">
        <f t="shared" si="77"/>
        <v>Microsoft Press</v>
      </c>
      <c r="D705" t="str">
        <f t="shared" si="78"/>
        <v>Kraig Brockschmidt</v>
      </c>
      <c r="E705" s="3" t="str">
        <f t="shared" si="79"/>
        <v/>
      </c>
      <c r="F705" s="3" t="str">
        <f t="shared" si="80"/>
        <v>.pdf</v>
      </c>
      <c r="G705">
        <f t="shared" si="81"/>
        <v>120</v>
      </c>
      <c r="H705" s="3">
        <f>LEN(Table1[[#This Row],[Auteur]])</f>
        <v>18</v>
      </c>
      <c r="I705" s="3" t="str">
        <f t="shared" si="83"/>
        <v>Programming Windows Store Apps with HTML, CSS and JavaScript</v>
      </c>
    </row>
    <row r="706" spans="1:9" x14ac:dyDescent="0.45">
      <c r="A706" t="s">
        <v>1099</v>
      </c>
      <c r="B706" t="str">
        <f t="shared" ref="B706:B769" si="84">DatePub(A706)</f>
        <v>1998</v>
      </c>
      <c r="C706" t="str">
        <f t="shared" ref="C706:C769" si="85">Editeur(A706)</f>
        <v>Microsoft Press</v>
      </c>
      <c r="D706" t="str">
        <f t="shared" ref="D706:D769" si="86">Auteur(A706)</f>
        <v>Charles Petzold</v>
      </c>
      <c r="E706" s="3" t="str">
        <f t="shared" ref="E706:E769" si="87">ExtraInfo(A706)</f>
        <v>Dump</v>
      </c>
      <c r="F706" t="str">
        <f t="shared" ref="F706:F769" si="88">Extension(A706)</f>
        <v>.pdf</v>
      </c>
      <c r="G706">
        <f t="shared" ref="G706:G769" si="89">LenFileName(A706)</f>
        <v>98</v>
      </c>
      <c r="H706" s="3">
        <f>LEN(Table1[[#This Row],[Auteur]])</f>
        <v>15</v>
      </c>
      <c r="I706" s="3" t="str">
        <f t="shared" ref="I706:I769" si="90">Title(A706)</f>
        <v>Programming Windows with Win32 API</v>
      </c>
    </row>
    <row r="707" spans="1:9" x14ac:dyDescent="0.45">
      <c r="A707" t="s">
        <v>1100</v>
      </c>
      <c r="B707" t="str">
        <f t="shared" si="84"/>
        <v>2013</v>
      </c>
      <c r="C707" t="str">
        <f t="shared" si="85"/>
        <v>Microsoft Press</v>
      </c>
      <c r="D707" t="str">
        <f t="shared" si="86"/>
        <v>Charles Petzold</v>
      </c>
      <c r="E707" s="3" t="str">
        <f t="shared" si="87"/>
        <v/>
      </c>
      <c r="F707" t="str">
        <f t="shared" si="88"/>
        <v>.pdf</v>
      </c>
      <c r="G707">
        <f t="shared" si="89"/>
        <v>117</v>
      </c>
      <c r="H707" s="3">
        <f>LEN(Table1[[#This Row],[Auteur]])</f>
        <v>15</v>
      </c>
      <c r="I707" s="3" t="str">
        <f t="shared" si="90"/>
        <v>Programming Windows, Writing Windows 8 Apps with C# and XAML</v>
      </c>
    </row>
    <row r="708" spans="1:9" x14ac:dyDescent="0.45">
      <c r="A708" t="s">
        <v>1101</v>
      </c>
      <c r="B708" t="str">
        <f t="shared" si="84"/>
        <v>2005</v>
      </c>
      <c r="C708" t="str">
        <f t="shared" si="85"/>
        <v>Eyrolles</v>
      </c>
      <c r="D708" t="str">
        <f t="shared" si="86"/>
        <v>Antoine Habert, Cédric Bravo</v>
      </c>
      <c r="E708" s="3" t="str">
        <f t="shared" si="87"/>
        <v/>
      </c>
      <c r="F708" s="3" t="str">
        <f t="shared" si="88"/>
        <v>.pdf</v>
      </c>
      <c r="G708">
        <f t="shared" si="89"/>
        <v>113</v>
      </c>
      <c r="H708" s="3">
        <f>LEN(Table1[[#This Row],[Auteur]])</f>
        <v>28</v>
      </c>
      <c r="I708" s="3" t="str">
        <f t="shared" si="90"/>
        <v>Scripting Windows, Automatiser les taches d'administration</v>
      </c>
    </row>
    <row r="709" spans="1:9" x14ac:dyDescent="0.45">
      <c r="A709" t="s">
        <v>1105</v>
      </c>
      <c r="B709" t="str">
        <f t="shared" si="84"/>
        <v>1997</v>
      </c>
      <c r="C709" t="str">
        <f t="shared" si="85"/>
        <v>O'Reilly</v>
      </c>
      <c r="D709" t="str">
        <f t="shared" si="86"/>
        <v>Rajeev Nagar</v>
      </c>
      <c r="E709" s="3" t="str">
        <f t="shared" si="87"/>
        <v/>
      </c>
      <c r="F709" t="str">
        <f t="shared" si="88"/>
        <v>.pdf</v>
      </c>
      <c r="G709">
        <f t="shared" si="89"/>
        <v>92</v>
      </c>
      <c r="H709" s="3">
        <f>LEN(Table1[[#This Row],[Auteur]])</f>
        <v>12</v>
      </c>
      <c r="I709" s="3" t="str">
        <f t="shared" si="90"/>
        <v>Windows NT File System Internals, A Developer's Guide</v>
      </c>
    </row>
    <row r="710" spans="1:9" x14ac:dyDescent="0.45">
      <c r="A710" t="s">
        <v>1106</v>
      </c>
      <c r="B710" t="str">
        <f t="shared" si="84"/>
        <v>2010</v>
      </c>
      <c r="C710" t="str">
        <f t="shared" si="85"/>
        <v>Addison-Wesley</v>
      </c>
      <c r="D710" t="str">
        <f t="shared" si="86"/>
        <v>Johnson M. Hart</v>
      </c>
      <c r="E710" s="3" t="str">
        <f t="shared" si="87"/>
        <v/>
      </c>
      <c r="F710" t="str">
        <f t="shared" si="88"/>
        <v>.pdf</v>
      </c>
      <c r="G710">
        <f t="shared" si="89"/>
        <v>82</v>
      </c>
      <c r="H710" s="3">
        <f>LEN(Table1[[#This Row],[Auteur]])</f>
        <v>15</v>
      </c>
      <c r="I710" s="3" t="str">
        <f t="shared" si="90"/>
        <v>Windows System Programming</v>
      </c>
    </row>
    <row r="711" spans="1:9" x14ac:dyDescent="0.45">
      <c r="A711" t="s">
        <v>1102</v>
      </c>
      <c r="B711" t="str">
        <f t="shared" si="84"/>
        <v>2008</v>
      </c>
      <c r="C711" t="str">
        <f t="shared" si="85"/>
        <v>Addison-Wesley</v>
      </c>
      <c r="D711" t="str">
        <f t="shared" si="86"/>
        <v>Steve Resnick, Richard Crane, Chris Bowen</v>
      </c>
      <c r="E711" s="3" t="str">
        <f t="shared" si="87"/>
        <v/>
      </c>
      <c r="F711" t="str">
        <f t="shared" si="88"/>
        <v>.pdf</v>
      </c>
      <c r="G711">
        <f t="shared" si="89"/>
        <v>139</v>
      </c>
      <c r="H711" s="3">
        <f>LEN(Table1[[#This Row],[Auteur]])</f>
        <v>41</v>
      </c>
      <c r="I711" s="3" t="str">
        <f t="shared" si="90"/>
        <v>Essential Windows Communication Foundation for .Net Framework 3.5</v>
      </c>
    </row>
    <row r="712" spans="1:9" x14ac:dyDescent="0.45">
      <c r="A712" t="s">
        <v>1103</v>
      </c>
      <c r="B712" t="str">
        <f t="shared" si="84"/>
        <v>2007</v>
      </c>
      <c r="C712" t="str">
        <f t="shared" si="85"/>
        <v>Wiley</v>
      </c>
      <c r="D712" t="str">
        <f t="shared" si="86"/>
        <v>Scott Klein</v>
      </c>
      <c r="E712" s="3" t="str">
        <f t="shared" si="87"/>
        <v/>
      </c>
      <c r="F712" t="str">
        <f t="shared" si="88"/>
        <v>.pdf</v>
      </c>
      <c r="G712">
        <f t="shared" si="89"/>
        <v>63</v>
      </c>
      <c r="H712" s="3">
        <f>LEN(Table1[[#This Row],[Auteur]])</f>
        <v>11</v>
      </c>
      <c r="I712" s="3" t="str">
        <f t="shared" si="90"/>
        <v>Professional WCF Programming</v>
      </c>
    </row>
    <row r="713" spans="1:9" x14ac:dyDescent="0.45">
      <c r="A713" t="s">
        <v>1104</v>
      </c>
      <c r="B713" t="str">
        <f t="shared" si="84"/>
        <v>2010</v>
      </c>
      <c r="C713" t="str">
        <f t="shared" si="85"/>
        <v>O'Reilly</v>
      </c>
      <c r="D713" t="str">
        <f t="shared" si="86"/>
        <v>Juval Löwy</v>
      </c>
      <c r="E713" s="3" t="str">
        <f t="shared" si="87"/>
        <v/>
      </c>
      <c r="F713" t="str">
        <f t="shared" si="88"/>
        <v>.pdf</v>
      </c>
      <c r="G713">
        <f t="shared" si="89"/>
        <v>69</v>
      </c>
      <c r="H713" s="3">
        <f>LEN(Table1[[#This Row],[Auteur]])</f>
        <v>10</v>
      </c>
      <c r="I713" s="3" t="str">
        <f t="shared" si="90"/>
        <v>Programming WCF Services</v>
      </c>
    </row>
    <row r="714" spans="1:9" x14ac:dyDescent="0.45">
      <c r="A714" t="s">
        <v>2066</v>
      </c>
      <c r="B714" t="str">
        <f t="shared" si="84"/>
        <v>2010</v>
      </c>
      <c r="C714" t="str">
        <f t="shared" si="85"/>
        <v>Packt</v>
      </c>
      <c r="D714" t="str">
        <f t="shared" si="86"/>
        <v>Mike Liu</v>
      </c>
      <c r="E714" s="3" t="str">
        <f t="shared" si="87"/>
        <v/>
      </c>
      <c r="F714" t="str">
        <f t="shared" si="88"/>
        <v>.pdf</v>
      </c>
      <c r="G714">
        <f t="shared" si="89"/>
        <v>93</v>
      </c>
      <c r="H714" s="3">
        <f>LEN(Table1[[#This Row],[Auteur]])</f>
        <v>8</v>
      </c>
      <c r="I714" s="3" t="str">
        <f t="shared" si="90"/>
        <v>WCF 4.0 Multi-tier Services Development with LINQ to Entities</v>
      </c>
    </row>
    <row r="715" spans="1:9" x14ac:dyDescent="0.45">
      <c r="A715" t="s">
        <v>1107</v>
      </c>
      <c r="B715" t="str">
        <f t="shared" si="84"/>
        <v>2007</v>
      </c>
      <c r="C715" t="str">
        <f t="shared" si="85"/>
        <v>Addison-Wesley</v>
      </c>
      <c r="D715" t="str">
        <f t="shared" si="86"/>
        <v>Chris Anderson</v>
      </c>
      <c r="E715" s="3" t="str">
        <f t="shared" si="87"/>
        <v/>
      </c>
      <c r="F715" t="str">
        <f t="shared" si="88"/>
        <v>.pdf</v>
      </c>
      <c r="G715">
        <f t="shared" si="89"/>
        <v>88</v>
      </c>
      <c r="H715" s="3">
        <f>LEN(Table1[[#This Row],[Auteur]])</f>
        <v>14</v>
      </c>
      <c r="I715" s="3" t="str">
        <f t="shared" si="90"/>
        <v>Essential Windows Presentation Foundation</v>
      </c>
    </row>
    <row r="716" spans="1:9" x14ac:dyDescent="0.45">
      <c r="A716" t="s">
        <v>1108</v>
      </c>
      <c r="B716" t="str">
        <f t="shared" si="84"/>
        <v>2010</v>
      </c>
      <c r="C716" t="str">
        <f t="shared" si="85"/>
        <v>Apress</v>
      </c>
      <c r="D716" t="str">
        <f t="shared" si="86"/>
        <v>Matthew MacDonald</v>
      </c>
      <c r="E716" s="3" t="str">
        <f t="shared" si="87"/>
        <v/>
      </c>
      <c r="F716" s="3" t="str">
        <f t="shared" si="88"/>
        <v>.pdf</v>
      </c>
      <c r="G716" s="3">
        <f t="shared" si="89"/>
        <v>60</v>
      </c>
      <c r="H716" s="3">
        <f>LEN(Table1[[#This Row],[Auteur]])</f>
        <v>17</v>
      </c>
      <c r="I716" s="3" t="str">
        <f t="shared" si="90"/>
        <v>Pro WPF in C# 2010</v>
      </c>
    </row>
    <row r="717" spans="1:9" x14ac:dyDescent="0.45">
      <c r="A717" t="s">
        <v>1109</v>
      </c>
      <c r="B717" t="str">
        <f t="shared" si="84"/>
        <v>2007</v>
      </c>
      <c r="C717" t="str">
        <f t="shared" si="85"/>
        <v>O'Reilly</v>
      </c>
      <c r="D717" t="str">
        <f t="shared" si="86"/>
        <v>Chris Sells, Ian Griffiths</v>
      </c>
      <c r="E717" s="3" t="str">
        <f t="shared" si="87"/>
        <v/>
      </c>
      <c r="F717" t="str">
        <f t="shared" si="88"/>
        <v>.pdf</v>
      </c>
      <c r="G717">
        <f t="shared" si="89"/>
        <v>76</v>
      </c>
      <c r="H717" s="3">
        <f>LEN(Table1[[#This Row],[Auteur]])</f>
        <v>26</v>
      </c>
      <c r="I717" s="3" t="str">
        <f t="shared" si="90"/>
        <v>Programming WPF</v>
      </c>
    </row>
    <row r="718" spans="1:9" x14ac:dyDescent="0.45">
      <c r="A718" t="s">
        <v>1110</v>
      </c>
      <c r="B718" t="str">
        <f t="shared" si="84"/>
        <v>2007</v>
      </c>
      <c r="C718" t="str">
        <f t="shared" si="85"/>
        <v>Sams</v>
      </c>
      <c r="D718" t="str">
        <f t="shared" si="86"/>
        <v>Adam Nathan</v>
      </c>
      <c r="E718" s="3" t="str">
        <f t="shared" si="87"/>
        <v/>
      </c>
      <c r="F718" s="3" t="str">
        <f t="shared" si="88"/>
        <v>.pdf</v>
      </c>
      <c r="G718">
        <f t="shared" si="89"/>
        <v>75</v>
      </c>
      <c r="H718" s="3">
        <f>LEN(Table1[[#This Row],[Auteur]])</f>
        <v>11</v>
      </c>
      <c r="I718" s="3" t="str">
        <f t="shared" si="90"/>
        <v>Windows Presentation Foundation Unleashed</v>
      </c>
    </row>
    <row r="719" spans="1:9" x14ac:dyDescent="0.45">
      <c r="A719" t="s">
        <v>1111</v>
      </c>
      <c r="B719" t="str">
        <f t="shared" si="84"/>
        <v>2010</v>
      </c>
      <c r="C719" t="str">
        <f t="shared" si="85"/>
        <v>Sams</v>
      </c>
      <c r="D719" t="str">
        <f t="shared" si="86"/>
        <v>Adam Nathan</v>
      </c>
      <c r="E719" s="3" t="str">
        <f t="shared" si="87"/>
        <v/>
      </c>
      <c r="F719" t="str">
        <f t="shared" si="88"/>
        <v>.pdf</v>
      </c>
      <c r="G719">
        <f t="shared" si="89"/>
        <v>49</v>
      </c>
      <c r="H719" s="3">
        <f>LEN(Table1[[#This Row],[Auteur]])</f>
        <v>11</v>
      </c>
      <c r="I719" s="3" t="str">
        <f t="shared" si="90"/>
        <v>WPF 4 Unleashed</v>
      </c>
    </row>
    <row r="720" spans="1:9" x14ac:dyDescent="0.45">
      <c r="A720" t="s">
        <v>1112</v>
      </c>
      <c r="B720" t="str">
        <f t="shared" si="84"/>
        <v>2014</v>
      </c>
      <c r="C720" t="str">
        <f t="shared" si="85"/>
        <v>Sams</v>
      </c>
      <c r="D720" t="str">
        <f t="shared" si="86"/>
        <v>Adam Nathan</v>
      </c>
      <c r="E720" s="3" t="str">
        <f t="shared" si="87"/>
        <v/>
      </c>
      <c r="F720" s="3" t="str">
        <f t="shared" si="88"/>
        <v>.epub</v>
      </c>
      <c r="G720" s="3">
        <f t="shared" si="89"/>
        <v>52</v>
      </c>
      <c r="H720" s="3">
        <f>LEN(Table1[[#This Row],[Auteur]])</f>
        <v>11</v>
      </c>
      <c r="I720" s="3" t="str">
        <f t="shared" si="90"/>
        <v>WPF 4.5 Unleashed</v>
      </c>
    </row>
    <row r="721" spans="1:9" x14ac:dyDescent="0.45">
      <c r="A721" t="s">
        <v>1113</v>
      </c>
      <c r="B721" t="str">
        <f t="shared" si="84"/>
        <v>2010</v>
      </c>
      <c r="C721" t="str">
        <f t="shared" si="85"/>
        <v>Wiley</v>
      </c>
      <c r="D721" t="str">
        <f t="shared" si="86"/>
        <v>Rod Stephens</v>
      </c>
      <c r="E721" s="3" t="str">
        <f t="shared" si="87"/>
        <v/>
      </c>
      <c r="F721" t="str">
        <f t="shared" si="88"/>
        <v>.pdf</v>
      </c>
      <c r="G721">
        <f t="shared" si="89"/>
        <v>119</v>
      </c>
      <c r="H721" s="3">
        <f>LEN(Table1[[#This Row],[Auteur]])</f>
        <v>12</v>
      </c>
      <c r="I721" s="3" t="str">
        <f t="shared" si="90"/>
        <v>WPF Programmer's Reference, Windows Presentation Foundation with C# 2010 and .Net 4</v>
      </c>
    </row>
    <row r="722" spans="1:9" x14ac:dyDescent="0.45">
      <c r="A722" t="s">
        <v>1114</v>
      </c>
      <c r="B722" t="str">
        <f t="shared" si="84"/>
        <v>2006</v>
      </c>
      <c r="C722" t="str">
        <f t="shared" si="85"/>
        <v>Eyrolles</v>
      </c>
      <c r="D722" t="str">
        <f t="shared" si="86"/>
        <v>Antoine Lonjon Jean-Jacques Thomasson</v>
      </c>
      <c r="E722" s="3" t="str">
        <f t="shared" si="87"/>
        <v/>
      </c>
      <c r="F722" t="str">
        <f t="shared" si="88"/>
        <v>.pdf</v>
      </c>
      <c r="G722">
        <f t="shared" si="89"/>
        <v>80</v>
      </c>
      <c r="H722" s="3">
        <f>LEN(Table1[[#This Row],[Auteur]])</f>
        <v>37</v>
      </c>
      <c r="I722" s="3" t="str">
        <f t="shared" si="90"/>
        <v>Modélisation XML</v>
      </c>
    </row>
    <row r="723" spans="1:9" x14ac:dyDescent="0.45">
      <c r="A723" t="s">
        <v>1115</v>
      </c>
      <c r="B723" t="str">
        <f t="shared" si="84"/>
        <v>2002</v>
      </c>
      <c r="C723" t="str">
        <f t="shared" si="85"/>
        <v>O'Reilly</v>
      </c>
      <c r="D723" t="str">
        <f t="shared" si="86"/>
        <v>Eric T. Ray, Jason McIntosh</v>
      </c>
      <c r="E723" s="3" t="str">
        <f t="shared" si="87"/>
        <v/>
      </c>
      <c r="F723" t="str">
        <f t="shared" si="88"/>
        <v>.pdf</v>
      </c>
      <c r="G723">
        <f t="shared" si="89"/>
        <v>64</v>
      </c>
      <c r="H723" s="3">
        <f>LEN(Table1[[#This Row],[Auteur]])</f>
        <v>27</v>
      </c>
      <c r="I723" s="3" t="str">
        <f t="shared" si="90"/>
        <v>Perl &amp; XML</v>
      </c>
    </row>
    <row r="724" spans="1:9" x14ac:dyDescent="0.45">
      <c r="A724" t="s">
        <v>1116</v>
      </c>
      <c r="B724" t="str">
        <f t="shared" si="84"/>
        <v>2002</v>
      </c>
      <c r="C724" t="str">
        <f t="shared" si="85"/>
        <v>O'Reilly</v>
      </c>
      <c r="D724" t="str">
        <f t="shared" si="86"/>
        <v>David Brownell</v>
      </c>
      <c r="E724" s="3" t="str">
        <f t="shared" si="87"/>
        <v/>
      </c>
      <c r="F724" s="3" t="str">
        <f t="shared" si="88"/>
        <v>.pdf</v>
      </c>
      <c r="G724">
        <f t="shared" si="89"/>
        <v>45</v>
      </c>
      <c r="H724" s="3">
        <f>LEN(Table1[[#This Row],[Auteur]])</f>
        <v>14</v>
      </c>
      <c r="I724" s="3" t="str">
        <f t="shared" si="90"/>
        <v>SAX2</v>
      </c>
    </row>
    <row r="725" spans="1:9" x14ac:dyDescent="0.45">
      <c r="A725" t="s">
        <v>1117</v>
      </c>
      <c r="B725" t="str">
        <f t="shared" si="84"/>
        <v>2004</v>
      </c>
      <c r="C725" t="str">
        <f t="shared" si="85"/>
        <v>Wiley</v>
      </c>
      <c r="D725" t="str">
        <f t="shared" si="86"/>
        <v>Elliotte Rusty Harold</v>
      </c>
      <c r="E725" s="3" t="str">
        <f t="shared" si="87"/>
        <v/>
      </c>
      <c r="F725" t="str">
        <f t="shared" si="88"/>
        <v>.pdf</v>
      </c>
      <c r="G725">
        <f t="shared" si="89"/>
        <v>66</v>
      </c>
      <c r="H725" s="3">
        <f>LEN(Table1[[#This Row],[Auteur]])</f>
        <v>21</v>
      </c>
      <c r="I725" s="3" t="str">
        <f t="shared" si="90"/>
        <v>XML 1.1 Bible</v>
      </c>
    </row>
    <row r="726" spans="1:9" x14ac:dyDescent="0.45">
      <c r="A726" t="s">
        <v>1118</v>
      </c>
      <c r="B726" t="str">
        <f t="shared" si="84"/>
        <v>2001</v>
      </c>
      <c r="C726" t="str">
        <f t="shared" si="85"/>
        <v>O'Reilly</v>
      </c>
      <c r="D726" t="str">
        <f t="shared" si="86"/>
        <v>Robert Eckstein, Michel Casabianca</v>
      </c>
      <c r="E726" s="3" t="str">
        <f t="shared" si="87"/>
        <v/>
      </c>
      <c r="F726" t="str">
        <f t="shared" si="88"/>
        <v>.pdf</v>
      </c>
      <c r="G726">
        <f t="shared" si="89"/>
        <v>89</v>
      </c>
      <c r="H726" s="3">
        <f>LEN(Table1[[#This Row],[Auteur]])</f>
        <v>34</v>
      </c>
      <c r="I726" s="3" t="str">
        <f t="shared" si="90"/>
        <v>XML Pocket Reference</v>
      </c>
    </row>
    <row r="727" spans="1:9" x14ac:dyDescent="0.45">
      <c r="A727" t="s">
        <v>1119</v>
      </c>
      <c r="B727" t="str">
        <f t="shared" si="84"/>
        <v>2011</v>
      </c>
      <c r="C727" t="str">
        <f t="shared" si="85"/>
        <v>Eyrolles</v>
      </c>
      <c r="D727" t="str">
        <f t="shared" si="86"/>
        <v>Bernard Prost</v>
      </c>
      <c r="E727" s="3" t="str">
        <f t="shared" si="87"/>
        <v/>
      </c>
      <c r="F727" t="str">
        <f t="shared" si="88"/>
        <v>.pdf</v>
      </c>
      <c r="G727">
        <f t="shared" si="89"/>
        <v>58</v>
      </c>
      <c r="H727" s="3">
        <f>LEN(Table1[[#This Row],[Auteur]])</f>
        <v>13</v>
      </c>
      <c r="I727" s="3" t="str">
        <f t="shared" si="90"/>
        <v>XML pour l'édition</v>
      </c>
    </row>
    <row r="728" spans="1:9" x14ac:dyDescent="0.45">
      <c r="A728" t="s">
        <v>1120</v>
      </c>
      <c r="B728" t="str">
        <f t="shared" si="84"/>
        <v>2003</v>
      </c>
      <c r="C728" t="str">
        <f t="shared" si="85"/>
        <v>Wiley</v>
      </c>
      <c r="D728" t="str">
        <f t="shared" si="86"/>
        <v>Brian Benz</v>
      </c>
      <c r="E728" s="3" t="str">
        <f t="shared" si="87"/>
        <v/>
      </c>
      <c r="F728" s="3" t="str">
        <f t="shared" si="88"/>
        <v>.pdf</v>
      </c>
      <c r="G728">
        <f t="shared" si="89"/>
        <v>55</v>
      </c>
      <c r="H728" s="3">
        <f>LEN(Table1[[#This Row],[Auteur]])</f>
        <v>10</v>
      </c>
      <c r="I728" s="3" t="str">
        <f t="shared" si="90"/>
        <v>XML Programming Bible</v>
      </c>
    </row>
    <row r="729" spans="1:9" x14ac:dyDescent="0.45">
      <c r="A729" t="s">
        <v>1121</v>
      </c>
      <c r="B729" t="str">
        <f t="shared" si="84"/>
        <v>2002</v>
      </c>
      <c r="C729" t="str">
        <f t="shared" si="85"/>
        <v>O'Reilly</v>
      </c>
      <c r="D729" t="str">
        <f t="shared" si="86"/>
        <v>Eric van der Vlist</v>
      </c>
      <c r="E729" s="3" t="str">
        <f t="shared" si="87"/>
        <v>Dump</v>
      </c>
      <c r="F729" s="3" t="str">
        <f t="shared" si="88"/>
        <v>.pdf</v>
      </c>
      <c r="G729" s="3">
        <f t="shared" si="89"/>
        <v>62</v>
      </c>
      <c r="H729" s="3">
        <f>LEN(Table1[[#This Row],[Auteur]])</f>
        <v>18</v>
      </c>
      <c r="I729" s="3" t="str">
        <f t="shared" si="90"/>
        <v>XML Schema</v>
      </c>
    </row>
    <row r="730" spans="1:9" x14ac:dyDescent="0.45">
      <c r="A730" t="s">
        <v>1122</v>
      </c>
      <c r="B730" t="str">
        <f t="shared" si="84"/>
        <v>2007</v>
      </c>
      <c r="C730" t="str">
        <f t="shared" si="85"/>
        <v>Eyrolles</v>
      </c>
      <c r="D730" t="str">
        <f t="shared" si="86"/>
        <v>Alexandre Brillant</v>
      </c>
      <c r="E730" s="3" t="str">
        <f t="shared" si="87"/>
        <v/>
      </c>
      <c r="F730" t="str">
        <f t="shared" si="88"/>
        <v>.pdf</v>
      </c>
      <c r="G730">
        <f t="shared" si="89"/>
        <v>68</v>
      </c>
      <c r="H730" s="3">
        <f>LEN(Table1[[#This Row],[Auteur]])</f>
        <v>18</v>
      </c>
      <c r="I730" s="3" t="str">
        <f t="shared" si="90"/>
        <v>XML, Cours et exercices</v>
      </c>
    </row>
    <row r="731" spans="1:9" x14ac:dyDescent="0.45">
      <c r="A731" t="s">
        <v>1123</v>
      </c>
      <c r="B731" t="str">
        <f t="shared" si="84"/>
        <v>2006</v>
      </c>
      <c r="C731" t="str">
        <f t="shared" si="85"/>
        <v>Wiley</v>
      </c>
      <c r="D731" t="str">
        <f t="shared" si="86"/>
        <v>Mitch Amiano, Conrad D'Cruz, Kay Ethier, Michael D. Thomas</v>
      </c>
      <c r="E731" s="3" t="str">
        <f t="shared" si="87"/>
        <v/>
      </c>
      <c r="F731" t="str">
        <f t="shared" si="88"/>
        <v>.pdf</v>
      </c>
      <c r="G731">
        <f t="shared" si="89"/>
        <v>110</v>
      </c>
      <c r="H731" s="3">
        <f>LEN(Table1[[#This Row],[Auteur]])</f>
        <v>58</v>
      </c>
      <c r="I731" s="3" t="str">
        <f t="shared" si="90"/>
        <v>XML, Problem-Design-Solution</v>
      </c>
    </row>
    <row r="732" spans="1:9" x14ac:dyDescent="0.45">
      <c r="A732" t="s">
        <v>1124</v>
      </c>
      <c r="B732" t="str">
        <f t="shared" si="84"/>
        <v>2002</v>
      </c>
      <c r="C732" t="str">
        <f t="shared" si="85"/>
        <v>O'Reilly</v>
      </c>
      <c r="D732" t="str">
        <f t="shared" si="86"/>
        <v>John E. Simpson</v>
      </c>
      <c r="E732" s="3" t="str">
        <f t="shared" si="87"/>
        <v>Dump</v>
      </c>
      <c r="F732" t="str">
        <f t="shared" si="88"/>
        <v>.pdf</v>
      </c>
      <c r="G732">
        <f t="shared" si="89"/>
        <v>67</v>
      </c>
      <c r="H732" s="3">
        <f>LEN(Table1[[#This Row],[Auteur]])</f>
        <v>15</v>
      </c>
      <c r="I732" s="3" t="str">
        <f t="shared" si="90"/>
        <v>XPath and XPointer</v>
      </c>
    </row>
    <row r="733" spans="1:9" x14ac:dyDescent="0.45">
      <c r="A733" t="s">
        <v>1125</v>
      </c>
      <c r="B733" t="str">
        <f t="shared" si="84"/>
        <v>2001</v>
      </c>
      <c r="C733" t="str">
        <f t="shared" si="85"/>
        <v>O'Reilly</v>
      </c>
      <c r="D733" t="str">
        <f t="shared" si="86"/>
        <v>Doug Tidwell</v>
      </c>
      <c r="E733" s="3" t="str">
        <f t="shared" si="87"/>
        <v/>
      </c>
      <c r="F733" s="3" t="str">
        <f t="shared" si="88"/>
        <v>.pdf</v>
      </c>
      <c r="G733">
        <f t="shared" si="89"/>
        <v>43</v>
      </c>
      <c r="H733" s="3">
        <f>LEN(Table1[[#This Row],[Auteur]])</f>
        <v>12</v>
      </c>
      <c r="I733" s="3" t="str">
        <f t="shared" si="90"/>
        <v>XSLT</v>
      </c>
    </row>
    <row r="734" spans="1:9" x14ac:dyDescent="0.45">
      <c r="A734" t="s">
        <v>1126</v>
      </c>
      <c r="B734" t="str">
        <f t="shared" si="84"/>
        <v>1995</v>
      </c>
      <c r="C734" t="str">
        <f t="shared" si="85"/>
        <v>Prentice Hall</v>
      </c>
      <c r="D734" t="str">
        <f t="shared" si="86"/>
        <v>Paul M. Embree</v>
      </c>
      <c r="E734" s="3" t="str">
        <f t="shared" si="87"/>
        <v>Scan</v>
      </c>
      <c r="F734" s="3" t="str">
        <f t="shared" si="88"/>
        <v>.pdf</v>
      </c>
      <c r="G734">
        <f t="shared" si="89"/>
        <v>83</v>
      </c>
      <c r="H734" s="3">
        <f>LEN(Table1[[#This Row],[Auteur]])</f>
        <v>14</v>
      </c>
      <c r="I734" s="3" t="str">
        <f t="shared" si="90"/>
        <v>C Algorithms for Real-time DSP</v>
      </c>
    </row>
    <row r="735" spans="1:9" x14ac:dyDescent="0.45">
      <c r="A735" t="s">
        <v>1127</v>
      </c>
      <c r="B735" t="str">
        <f t="shared" si="84"/>
        <v>1993</v>
      </c>
      <c r="C735" t="str">
        <f t="shared" si="85"/>
        <v>McGraw-Hill</v>
      </c>
      <c r="D735" t="str">
        <f t="shared" si="86"/>
        <v>C. Britton Rorabaugh</v>
      </c>
      <c r="E735" s="3" t="str">
        <f t="shared" si="87"/>
        <v>Scan</v>
      </c>
      <c r="F735" t="str">
        <f t="shared" si="88"/>
        <v>.pdf</v>
      </c>
      <c r="G735">
        <f t="shared" si="89"/>
        <v>91</v>
      </c>
      <c r="H735" s="3">
        <f>LEN(Table1[[#This Row],[Auteur]])</f>
        <v>20</v>
      </c>
      <c r="I735" s="3" t="str">
        <f t="shared" si="90"/>
        <v>Digital Filter Designer's Handbook</v>
      </c>
    </row>
    <row r="736" spans="1:9" x14ac:dyDescent="0.45">
      <c r="A736" t="s">
        <v>1128</v>
      </c>
      <c r="B736" t="str">
        <f t="shared" si="84"/>
        <v>2001</v>
      </c>
      <c r="C736" t="str">
        <f t="shared" si="85"/>
        <v>Wiley</v>
      </c>
      <c r="D736" t="str">
        <f t="shared" si="86"/>
        <v>William K. Pratt</v>
      </c>
      <c r="E736" s="3" t="str">
        <f t="shared" si="87"/>
        <v/>
      </c>
      <c r="F736" t="str">
        <f t="shared" si="88"/>
        <v>.pdf</v>
      </c>
      <c r="G736">
        <f t="shared" si="89"/>
        <v>85</v>
      </c>
      <c r="H736" s="3">
        <f>LEN(Table1[[#This Row],[Auteur]])</f>
        <v>16</v>
      </c>
      <c r="I736" s="3" t="str">
        <f t="shared" si="90"/>
        <v>Digital Image Processing, PIKS Inside</v>
      </c>
    </row>
    <row r="737" spans="1:9" x14ac:dyDescent="0.45">
      <c r="A737" t="s">
        <v>1129</v>
      </c>
      <c r="B737" t="str">
        <f t="shared" si="84"/>
        <v>1999</v>
      </c>
      <c r="C737" t="str">
        <f t="shared" si="85"/>
        <v>CRC Press</v>
      </c>
      <c r="D737" t="str">
        <f t="shared" si="86"/>
        <v>?</v>
      </c>
      <c r="E737" s="3" t="str">
        <f t="shared" si="87"/>
        <v/>
      </c>
      <c r="F737" s="3" t="str">
        <f t="shared" si="88"/>
        <v>.pdf</v>
      </c>
      <c r="G737">
        <f t="shared" si="89"/>
        <v>59</v>
      </c>
      <c r="H737" s="3">
        <f>LEN(Table1[[#This Row],[Auteur]])</f>
        <v>1</v>
      </c>
      <c r="I737" s="3" t="str">
        <f t="shared" si="90"/>
        <v>Digital Signal Processing Handbook</v>
      </c>
    </row>
    <row r="738" spans="1:9" x14ac:dyDescent="0.45">
      <c r="A738" t="s">
        <v>1130</v>
      </c>
      <c r="B738" t="str">
        <f t="shared" si="84"/>
        <v>2008</v>
      </c>
      <c r="C738" t="str">
        <f t="shared" si="85"/>
        <v>Springer</v>
      </c>
      <c r="D738" t="str">
        <f t="shared" si="86"/>
        <v>Shlomo Engelberg</v>
      </c>
      <c r="E738" s="3" t="str">
        <f t="shared" si="87"/>
        <v/>
      </c>
      <c r="F738" t="str">
        <f t="shared" si="88"/>
        <v>.pdf</v>
      </c>
      <c r="G738">
        <f t="shared" si="89"/>
        <v>94</v>
      </c>
      <c r="H738" s="3">
        <f>LEN(Table1[[#This Row],[Auteur]])</f>
        <v>16</v>
      </c>
      <c r="I738" s="3" t="str">
        <f t="shared" si="90"/>
        <v>Digital Signal Processing, An Experimental Approach</v>
      </c>
    </row>
    <row r="739" spans="1:9" x14ac:dyDescent="0.45">
      <c r="A739" t="s">
        <v>1131</v>
      </c>
      <c r="B739" t="str">
        <f t="shared" si="84"/>
        <v>2004</v>
      </c>
      <c r="C739" t="str">
        <f t="shared" si="85"/>
        <v>Artech House</v>
      </c>
      <c r="D739" t="str">
        <f t="shared" si="86"/>
        <v>Les Thede</v>
      </c>
      <c r="E739" s="3" t="str">
        <f t="shared" si="87"/>
        <v/>
      </c>
      <c r="F739" t="str">
        <f t="shared" si="88"/>
        <v>.pdf</v>
      </c>
      <c r="G739">
        <f t="shared" si="89"/>
        <v>82</v>
      </c>
      <c r="H739" s="3">
        <f>LEN(Table1[[#This Row],[Auteur]])</f>
        <v>9</v>
      </c>
      <c r="I739" s="3" t="str">
        <f t="shared" si="90"/>
        <v>Practical Analog and Digital Filter Design</v>
      </c>
    </row>
    <row r="740" spans="1:9" x14ac:dyDescent="0.45">
      <c r="A740" t="s">
        <v>1132</v>
      </c>
      <c r="B740" t="str">
        <f t="shared" si="84"/>
        <v>2001</v>
      </c>
      <c r="C740" t="str">
        <f t="shared" si="85"/>
        <v>Wiley</v>
      </c>
      <c r="D740" t="str">
        <f t="shared" si="86"/>
        <v>Sen M. Kuo, Bob H. Lee</v>
      </c>
      <c r="E740" s="3" t="str">
        <f t="shared" si="87"/>
        <v/>
      </c>
      <c r="F740" t="str">
        <f t="shared" si="88"/>
        <v>.pdf</v>
      </c>
      <c r="G740">
        <f t="shared" si="89"/>
        <v>81</v>
      </c>
      <c r="H740" s="3">
        <f>LEN(Table1[[#This Row],[Auteur]])</f>
        <v>22</v>
      </c>
      <c r="I740" s="3" t="str">
        <f t="shared" si="90"/>
        <v>Real Time Digital Signal Processing</v>
      </c>
    </row>
    <row r="741" spans="1:9" x14ac:dyDescent="0.45">
      <c r="A741" t="s">
        <v>1133</v>
      </c>
      <c r="B741" t="str">
        <f t="shared" si="84"/>
        <v>1999</v>
      </c>
      <c r="C741" t="str">
        <f t="shared" si="85"/>
        <v>California Technical Publishing</v>
      </c>
      <c r="D741" t="str">
        <f t="shared" si="86"/>
        <v>Steven W. Smith</v>
      </c>
      <c r="E741" s="3" t="str">
        <f t="shared" si="87"/>
        <v/>
      </c>
      <c r="F741" t="str">
        <f t="shared" si="88"/>
        <v>.pdf</v>
      </c>
      <c r="G741">
        <f t="shared" si="89"/>
        <v>136</v>
      </c>
      <c r="H741" s="3">
        <f>LEN(Table1[[#This Row],[Auteur]])</f>
        <v>15</v>
      </c>
      <c r="I741" s="3" t="str">
        <f t="shared" si="90"/>
        <v>The Scientist and Engineer's Guide to Digital Signal Processing</v>
      </c>
    </row>
    <row r="742" spans="1:9" x14ac:dyDescent="0.45">
      <c r="A742" t="s">
        <v>1134</v>
      </c>
      <c r="B742" t="str">
        <f t="shared" si="84"/>
        <v>2001</v>
      </c>
      <c r="C742" t="str">
        <f t="shared" si="85"/>
        <v>Prentice Hall</v>
      </c>
      <c r="D742" t="str">
        <f t="shared" si="86"/>
        <v>Richard G. Lyons</v>
      </c>
      <c r="E742" s="3" t="str">
        <f t="shared" si="87"/>
        <v>Scan</v>
      </c>
      <c r="F742" t="str">
        <f t="shared" si="88"/>
        <v>.pdf</v>
      </c>
      <c r="G742">
        <f t="shared" si="89"/>
        <v>94</v>
      </c>
      <c r="H742" s="3">
        <f>LEN(Table1[[#This Row],[Auteur]])</f>
        <v>16</v>
      </c>
      <c r="I742" s="3" t="str">
        <f t="shared" si="90"/>
        <v>Understanding Digital Signal Processing</v>
      </c>
    </row>
    <row r="743" spans="1:9" x14ac:dyDescent="0.45">
      <c r="A743" t="s">
        <v>1135</v>
      </c>
      <c r="B743" t="str">
        <f t="shared" si="84"/>
        <v>1995</v>
      </c>
      <c r="C743" t="str">
        <f t="shared" si="85"/>
        <v>Citrus Press</v>
      </c>
      <c r="D743" t="str">
        <f t="shared" si="86"/>
        <v>Anders E. Zonst</v>
      </c>
      <c r="E743" s="3" t="str">
        <f t="shared" si="87"/>
        <v>Scan</v>
      </c>
      <c r="F743" s="3" t="str">
        <f t="shared" si="88"/>
        <v>.pdf</v>
      </c>
      <c r="G743">
        <f t="shared" si="89"/>
        <v>93</v>
      </c>
      <c r="H743" s="3">
        <f>LEN(Table1[[#This Row],[Auteur]])</f>
        <v>15</v>
      </c>
      <c r="I743" s="3" t="str">
        <f t="shared" si="90"/>
        <v>Understanding the Fast Fourier Transform</v>
      </c>
    </row>
    <row r="744" spans="1:9" x14ac:dyDescent="0.45">
      <c r="A744" t="s">
        <v>264</v>
      </c>
      <c r="B744" t="str">
        <f t="shared" si="84"/>
        <v>2014</v>
      </c>
      <c r="C744" t="str">
        <f t="shared" si="85"/>
        <v>Eyrolles</v>
      </c>
      <c r="D744" t="str">
        <f t="shared" si="86"/>
        <v>Philippe Taché</v>
      </c>
      <c r="E744" s="3" t="str">
        <f t="shared" si="87"/>
        <v/>
      </c>
      <c r="F744" t="str">
        <f t="shared" si="88"/>
        <v>.pdf</v>
      </c>
      <c r="G744">
        <f t="shared" si="89"/>
        <v>72</v>
      </c>
      <c r="H744" s="3">
        <f>LEN(Table1[[#This Row],[Auteur]])</f>
        <v>14</v>
      </c>
      <c r="I744" s="3" t="str">
        <f t="shared" si="90"/>
        <v>Conduire un projet informatique</v>
      </c>
    </row>
    <row r="745" spans="1:9" x14ac:dyDescent="0.45">
      <c r="A745" t="s">
        <v>265</v>
      </c>
      <c r="B745" t="str">
        <f t="shared" si="84"/>
        <v>2013</v>
      </c>
      <c r="C745" t="str">
        <f t="shared" si="85"/>
        <v>Springer</v>
      </c>
      <c r="D745" t="str">
        <f t="shared" si="86"/>
        <v>Chantal Morley, Marie Bia Figueiredo</v>
      </c>
      <c r="E745" s="3" t="str">
        <f t="shared" si="87"/>
        <v/>
      </c>
      <c r="F745" t="str">
        <f t="shared" si="88"/>
        <v>.pdf</v>
      </c>
      <c r="G745">
        <f t="shared" si="89"/>
        <v>117</v>
      </c>
      <c r="H745" s="3">
        <f>LEN(Table1[[#This Row],[Auteur]])</f>
        <v>36</v>
      </c>
      <c r="I745" s="3" t="str">
        <f t="shared" si="90"/>
        <v>Génération Y et pratiques de management des projets SI</v>
      </c>
    </row>
    <row r="746" spans="1:9" x14ac:dyDescent="0.45">
      <c r="A746" t="s">
        <v>266</v>
      </c>
      <c r="B746" t="str">
        <f t="shared" si="84"/>
        <v>2011</v>
      </c>
      <c r="C746" t="str">
        <f t="shared" si="85"/>
        <v>First</v>
      </c>
      <c r="D746" t="str">
        <f t="shared" si="86"/>
        <v>Portny, Sage</v>
      </c>
      <c r="E746" s="3" t="str">
        <f t="shared" si="87"/>
        <v/>
      </c>
      <c r="F746" t="str">
        <f t="shared" si="88"/>
        <v>.pdf</v>
      </c>
      <c r="G746">
        <f t="shared" si="89"/>
        <v>77</v>
      </c>
      <c r="H746" s="3">
        <f>LEN(Table1[[#This Row],[Auteur]])</f>
        <v>12</v>
      </c>
      <c r="I746" s="3" t="str">
        <f t="shared" si="90"/>
        <v>La gestion de projet pour les nuls</v>
      </c>
    </row>
    <row r="747" spans="1:9" x14ac:dyDescent="0.45">
      <c r="A747" t="s">
        <v>267</v>
      </c>
      <c r="B747" t="str">
        <f t="shared" si="84"/>
        <v>2016</v>
      </c>
      <c r="C747" t="str">
        <f t="shared" si="85"/>
        <v>Eyrolles</v>
      </c>
      <c r="D747" t="str">
        <f t="shared" si="86"/>
        <v>Hugues Marchat</v>
      </c>
      <c r="E747" s="3" t="str">
        <f t="shared" si="87"/>
        <v/>
      </c>
      <c r="F747" s="3" t="str">
        <f t="shared" si="88"/>
        <v>.pdf</v>
      </c>
      <c r="G747">
        <f t="shared" si="89"/>
        <v>72</v>
      </c>
      <c r="H747" s="3">
        <f>LEN(Table1[[#This Row],[Auteur]])</f>
        <v>14</v>
      </c>
      <c r="I747" s="3" t="str">
        <f t="shared" si="90"/>
        <v>Le kit du chef de projet</v>
      </c>
    </row>
    <row r="748" spans="1:9" x14ac:dyDescent="0.45">
      <c r="A748" t="s">
        <v>268</v>
      </c>
      <c r="B748" t="str">
        <f t="shared" si="84"/>
        <v>2009</v>
      </c>
      <c r="C748" t="str">
        <f t="shared" si="85"/>
        <v>Eyrolles</v>
      </c>
      <c r="D748" t="str">
        <f t="shared" si="86"/>
        <v>Frédéric Créplet, Thomas Jacob</v>
      </c>
      <c r="E748" s="3" t="str">
        <f t="shared" si="87"/>
        <v/>
      </c>
      <c r="F748" t="str">
        <f t="shared" si="88"/>
        <v>.pdf</v>
      </c>
      <c r="G748">
        <f t="shared" si="89"/>
        <v>87</v>
      </c>
      <c r="H748" s="3">
        <f>LEN(Table1[[#This Row],[Auteur]])</f>
        <v>30</v>
      </c>
      <c r="I748" s="3" t="str">
        <f t="shared" si="90"/>
        <v>Réussir un projet Intranet 2.0</v>
      </c>
    </row>
    <row r="749" spans="1:9" x14ac:dyDescent="0.45">
      <c r="A749" t="s">
        <v>269</v>
      </c>
      <c r="B749" t="str">
        <f t="shared" si="84"/>
        <v>2015</v>
      </c>
      <c r="C749" t="str">
        <f t="shared" si="85"/>
        <v>Dunod</v>
      </c>
      <c r="D749" t="str">
        <f t="shared" si="86"/>
        <v>Claude Aubry</v>
      </c>
      <c r="E749" s="3" t="str">
        <f t="shared" si="87"/>
        <v/>
      </c>
      <c r="F749" t="str">
        <f t="shared" si="88"/>
        <v>.epub</v>
      </c>
      <c r="G749">
        <f t="shared" si="89"/>
        <v>106</v>
      </c>
      <c r="H749" s="3">
        <f>LEN(Table1[[#This Row],[Auteur]])</f>
        <v>12</v>
      </c>
      <c r="I749" s="3" t="str">
        <f t="shared" si="90"/>
        <v>Scrum, Le guide pratique de la méthode agile la plus populaire</v>
      </c>
    </row>
    <row r="750" spans="1:9" x14ac:dyDescent="0.45">
      <c r="A750" t="s">
        <v>270</v>
      </c>
      <c r="B750" t="str">
        <f t="shared" si="84"/>
        <v>2015</v>
      </c>
      <c r="C750" t="str">
        <f t="shared" si="85"/>
        <v>Dunod</v>
      </c>
      <c r="D750" t="str">
        <f t="shared" si="86"/>
        <v>Claude Aubry</v>
      </c>
      <c r="E750" s="3" t="str">
        <f t="shared" si="87"/>
        <v/>
      </c>
      <c r="F750" t="str">
        <f t="shared" si="88"/>
        <v>.pdf</v>
      </c>
      <c r="G750">
        <f t="shared" si="89"/>
        <v>105</v>
      </c>
      <c r="H750" s="3">
        <f>LEN(Table1[[#This Row],[Auteur]])</f>
        <v>12</v>
      </c>
      <c r="I750" s="3" t="str">
        <f t="shared" si="90"/>
        <v>Scrum, Le guide pratique de la méthode agile la plus populaire</v>
      </c>
    </row>
    <row r="751" spans="1:9" x14ac:dyDescent="0.45">
      <c r="A751" t="s">
        <v>1136</v>
      </c>
      <c r="B751" t="str">
        <f t="shared" si="84"/>
        <v>2010</v>
      </c>
      <c r="C751" t="str">
        <f t="shared" si="85"/>
        <v>O'Reilly</v>
      </c>
      <c r="D751" t="str">
        <f t="shared" si="86"/>
        <v>?</v>
      </c>
      <c r="E751" s="3" t="str">
        <f t="shared" si="87"/>
        <v/>
      </c>
      <c r="F751" s="3" t="str">
        <f t="shared" si="88"/>
        <v>.pdf</v>
      </c>
      <c r="G751">
        <f t="shared" si="89"/>
        <v>98</v>
      </c>
      <c r="H751" s="3">
        <f>LEN(Table1[[#This Row],[Auteur]])</f>
        <v>1</v>
      </c>
      <c r="I751" s="3" t="str">
        <f t="shared" si="90"/>
        <v>97 Things Every Programmer Should Know, Collective Wisdom from the Experts</v>
      </c>
    </row>
    <row r="752" spans="1:9" x14ac:dyDescent="0.45">
      <c r="A752" t="s">
        <v>1137</v>
      </c>
      <c r="B752" t="str">
        <f t="shared" si="84"/>
        <v>1999</v>
      </c>
      <c r="C752" t="str">
        <f t="shared" si="85"/>
        <v>Springer</v>
      </c>
      <c r="D752" t="str">
        <f t="shared" si="86"/>
        <v>Jean-Luc Chabert</v>
      </c>
      <c r="E752" s="3" t="str">
        <f t="shared" si="87"/>
        <v/>
      </c>
      <c r="F752" t="str">
        <f t="shared" si="88"/>
        <v>.djvu</v>
      </c>
      <c r="G752">
        <f t="shared" si="89"/>
        <v>101</v>
      </c>
      <c r="H752" s="3">
        <f>LEN(Table1[[#This Row],[Auteur]])</f>
        <v>16</v>
      </c>
      <c r="I752" s="3" t="str">
        <f t="shared" si="90"/>
        <v>A History of Algorithms, From the Pebble to the Microchip</v>
      </c>
    </row>
    <row r="753" spans="1:9" x14ac:dyDescent="0.45">
      <c r="A753" t="s">
        <v>1138</v>
      </c>
      <c r="B753" t="str">
        <f t="shared" si="84"/>
        <v>2010</v>
      </c>
      <c r="C753" t="str">
        <f t="shared" si="85"/>
        <v>O'Reilly</v>
      </c>
      <c r="D753" t="str">
        <f t="shared" si="86"/>
        <v>Michael Lopp</v>
      </c>
      <c r="E753" s="3" t="str">
        <f t="shared" si="87"/>
        <v/>
      </c>
      <c r="F753" s="3" t="str">
        <f t="shared" si="88"/>
        <v>.pdf</v>
      </c>
      <c r="G753">
        <f t="shared" si="89"/>
        <v>91</v>
      </c>
      <c r="H753" s="3">
        <f>LEN(Table1[[#This Row],[Auteur]])</f>
        <v>12</v>
      </c>
      <c r="I753" s="3" t="str">
        <f t="shared" si="90"/>
        <v>Being Geek, The Software Developer's Career Handbook</v>
      </c>
    </row>
    <row r="754" spans="1:9" x14ac:dyDescent="0.45">
      <c r="A754" t="s">
        <v>1982</v>
      </c>
      <c r="B754" t="str">
        <f t="shared" si="84"/>
        <v>2009</v>
      </c>
      <c r="C754" t="str">
        <f t="shared" si="85"/>
        <v>Prentice Hall</v>
      </c>
      <c r="D754" t="str">
        <f t="shared" si="86"/>
        <v>Robert Martin</v>
      </c>
      <c r="E754" s="3" t="str">
        <f t="shared" si="87"/>
        <v/>
      </c>
      <c r="F754" t="str">
        <f t="shared" si="88"/>
        <v>.pdf</v>
      </c>
      <c r="G754">
        <f t="shared" si="89"/>
        <v>97</v>
      </c>
      <c r="H754" s="3">
        <f>LEN(Table1[[#This Row],[Auteur]])</f>
        <v>13</v>
      </c>
      <c r="I754" s="3" t="str">
        <f t="shared" si="90"/>
        <v>Clean Code, A Handbook of Agile Software Craftmaship</v>
      </c>
    </row>
    <row r="755" spans="1:9" x14ac:dyDescent="0.45">
      <c r="A755" t="s">
        <v>1983</v>
      </c>
      <c r="B755" t="str">
        <f t="shared" si="84"/>
        <v>2004</v>
      </c>
      <c r="C755" t="str">
        <f t="shared" si="85"/>
        <v>Microsoft Press</v>
      </c>
      <c r="D755" t="str">
        <f t="shared" si="86"/>
        <v>Steve McCornell</v>
      </c>
      <c r="E755" s="3" t="str">
        <f t="shared" si="87"/>
        <v/>
      </c>
      <c r="F755" s="3" t="str">
        <f t="shared" si="88"/>
        <v>.pdf</v>
      </c>
      <c r="G755">
        <f t="shared" si="89"/>
        <v>70</v>
      </c>
      <c r="H755" s="3">
        <f>LEN(Table1[[#This Row],[Auteur]])</f>
        <v>15</v>
      </c>
      <c r="I755" s="3" t="str">
        <f t="shared" si="90"/>
        <v>Code Complete</v>
      </c>
    </row>
    <row r="756" spans="1:9" x14ac:dyDescent="0.45">
      <c r="A756" t="s">
        <v>1984</v>
      </c>
      <c r="B756" t="str">
        <f t="shared" si="84"/>
        <v>2007</v>
      </c>
      <c r="C756" t="str">
        <f t="shared" si="85"/>
        <v>No Starch</v>
      </c>
      <c r="D756" t="str">
        <f t="shared" si="86"/>
        <v>Pete Goodliffe</v>
      </c>
      <c r="E756" s="3" t="str">
        <f t="shared" si="87"/>
        <v/>
      </c>
      <c r="F756" t="str">
        <f t="shared" si="88"/>
        <v>.pdf</v>
      </c>
      <c r="G756">
        <f t="shared" si="89"/>
        <v>92</v>
      </c>
      <c r="H756" s="3">
        <f>LEN(Table1[[#This Row],[Auteur]])</f>
        <v>14</v>
      </c>
      <c r="I756" s="3" t="str">
        <f t="shared" si="90"/>
        <v>Code Craft, The Practice of Writing Excellent Code</v>
      </c>
    </row>
    <row r="757" spans="1:9" x14ac:dyDescent="0.45">
      <c r="A757" t="s">
        <v>1985</v>
      </c>
      <c r="B757" t="str">
        <f t="shared" si="84"/>
        <v>2000</v>
      </c>
      <c r="C757" t="str">
        <f t="shared" si="85"/>
        <v>Microsoft Press</v>
      </c>
      <c r="D757" t="str">
        <f t="shared" si="86"/>
        <v>Charles Petzold</v>
      </c>
      <c r="E757" s="3" t="str">
        <f t="shared" si="87"/>
        <v/>
      </c>
      <c r="F757" t="str">
        <f t="shared" si="88"/>
        <v>.epub</v>
      </c>
      <c r="G757">
        <f t="shared" si="89"/>
        <v>109</v>
      </c>
      <c r="H757" s="3">
        <f>LEN(Table1[[#This Row],[Auteur]])</f>
        <v>15</v>
      </c>
      <c r="I757" s="3" t="str">
        <f t="shared" si="90"/>
        <v>Code, The Hidden Language of Computer Hardware and Software</v>
      </c>
    </row>
    <row r="758" spans="1:9" x14ac:dyDescent="0.45">
      <c r="A758" t="s">
        <v>1986</v>
      </c>
      <c r="B758" t="str">
        <f t="shared" si="84"/>
        <v>2000</v>
      </c>
      <c r="C758" t="str">
        <f t="shared" si="85"/>
        <v>Microsoft Press</v>
      </c>
      <c r="D758" t="str">
        <f t="shared" si="86"/>
        <v>Charles Petzold</v>
      </c>
      <c r="E758" s="3" t="str">
        <f t="shared" si="87"/>
        <v/>
      </c>
      <c r="F758" s="3" t="str">
        <f t="shared" si="88"/>
        <v>.pdf</v>
      </c>
      <c r="G758">
        <f t="shared" si="89"/>
        <v>108</v>
      </c>
      <c r="H758" s="3">
        <f>LEN(Table1[[#This Row],[Auteur]])</f>
        <v>15</v>
      </c>
      <c r="I758" s="3" t="str">
        <f t="shared" si="90"/>
        <v>Code, The Hidden Language of Computer Hardware and Software</v>
      </c>
    </row>
    <row r="759" spans="1:9" x14ac:dyDescent="0.45">
      <c r="A759" t="s">
        <v>1987</v>
      </c>
      <c r="B759" t="str">
        <f t="shared" si="84"/>
        <v>2009</v>
      </c>
      <c r="C759" t="str">
        <f t="shared" si="85"/>
        <v>Pearson</v>
      </c>
      <c r="D759" t="str">
        <f t="shared" si="86"/>
        <v>Robert C Martin</v>
      </c>
      <c r="E759" s="3" t="str">
        <f t="shared" si="87"/>
        <v/>
      </c>
      <c r="F759" s="3" t="str">
        <f t="shared" si="88"/>
        <v>.pdf</v>
      </c>
      <c r="G759">
        <f t="shared" si="89"/>
        <v>57</v>
      </c>
      <c r="H759" s="3">
        <f>LEN(Table1[[#This Row],[Auteur]])</f>
        <v>15</v>
      </c>
      <c r="I759" s="3" t="str">
        <f t="shared" si="90"/>
        <v>Coder proprement</v>
      </c>
    </row>
    <row r="760" spans="1:9" x14ac:dyDescent="0.45">
      <c r="A760" t="s">
        <v>1988</v>
      </c>
      <c r="B760" t="str">
        <f t="shared" si="84"/>
        <v>?</v>
      </c>
      <c r="C760" t="str">
        <f t="shared" si="85"/>
        <v>?</v>
      </c>
      <c r="D760" t="str">
        <f t="shared" si="86"/>
        <v>Ekim Ouye</v>
      </c>
      <c r="E760" s="3" t="str">
        <f t="shared" si="87"/>
        <v/>
      </c>
      <c r="F760" s="3" t="str">
        <f t="shared" si="88"/>
        <v>.epub</v>
      </c>
      <c r="G760" s="3">
        <f t="shared" si="89"/>
        <v>118</v>
      </c>
      <c r="H760" s="3">
        <f>LEN(Table1[[#This Row],[Auteur]])</f>
        <v>9</v>
      </c>
      <c r="I760" s="3" t="str">
        <f t="shared" si="90"/>
        <v>Coding Interview Ninja, 50 coding questions with Java solutions to practice for your coding interview</v>
      </c>
    </row>
    <row r="761" spans="1:9" x14ac:dyDescent="0.45">
      <c r="A761" t="s">
        <v>1989</v>
      </c>
      <c r="B761" t="str">
        <f t="shared" si="84"/>
        <v>2016</v>
      </c>
      <c r="C761" t="str">
        <f t="shared" si="85"/>
        <v>Jones &amp; Bartlett</v>
      </c>
      <c r="D761" t="str">
        <f t="shared" si="86"/>
        <v>Nell Dale, John Lewis</v>
      </c>
      <c r="E761" s="3" t="str">
        <f t="shared" si="87"/>
        <v/>
      </c>
      <c r="F761" s="3" t="str">
        <f t="shared" si="88"/>
        <v>.pdf</v>
      </c>
      <c r="G761">
        <f t="shared" si="89"/>
        <v>92</v>
      </c>
      <c r="H761" s="3">
        <f>LEN(Table1[[#This Row],[Auteur]])</f>
        <v>21</v>
      </c>
      <c r="I761" s="3" t="str">
        <f t="shared" si="90"/>
        <v>Computer Science Illuminated</v>
      </c>
    </row>
    <row r="762" spans="1:9" x14ac:dyDescent="0.45">
      <c r="A762" t="s">
        <v>1990</v>
      </c>
      <c r="B762" t="str">
        <f t="shared" si="84"/>
        <v>2015</v>
      </c>
      <c r="C762" t="str">
        <f t="shared" si="85"/>
        <v>CareerCup</v>
      </c>
      <c r="D762" t="str">
        <f t="shared" si="86"/>
        <v>Gayle L. McDowell</v>
      </c>
      <c r="E762" s="3" t="str">
        <f t="shared" si="87"/>
        <v/>
      </c>
      <c r="F762" s="3" t="str">
        <f t="shared" si="88"/>
        <v>.pdf</v>
      </c>
      <c r="G762">
        <f t="shared" si="89"/>
        <v>123</v>
      </c>
      <c r="H762" s="3">
        <f>LEN(Table1[[#This Row],[Auteur]])</f>
        <v>17</v>
      </c>
      <c r="I762" s="3" t="str">
        <f t="shared" si="90"/>
        <v>Cracking the Coding Interview, 189 Programming Questions and Solutions</v>
      </c>
    </row>
    <row r="763" spans="1:9" x14ac:dyDescent="0.45">
      <c r="A763" t="s">
        <v>1139</v>
      </c>
      <c r="B763" t="str">
        <f t="shared" si="84"/>
        <v>2000</v>
      </c>
      <c r="C763" t="str">
        <f t="shared" si="85"/>
        <v>Multi Mondes</v>
      </c>
      <c r="D763" t="str">
        <f t="shared" si="86"/>
        <v>André Loranger</v>
      </c>
      <c r="E763" t="str">
        <f t="shared" si="87"/>
        <v/>
      </c>
      <c r="F763" t="str">
        <f t="shared" si="88"/>
        <v>.pdf</v>
      </c>
      <c r="G763">
        <f t="shared" si="89"/>
        <v>109</v>
      </c>
      <c r="H763" s="3">
        <f>LEN(Table1[[#This Row],[Auteur]])</f>
        <v>14</v>
      </c>
      <c r="I763" s="3" t="str">
        <f t="shared" si="90"/>
        <v>Dictionnaire biographique et historique de la micro-informatique</v>
      </c>
    </row>
    <row r="764" spans="1:9" x14ac:dyDescent="0.45">
      <c r="A764" t="s">
        <v>1140</v>
      </c>
      <c r="B764" t="str">
        <f t="shared" si="84"/>
        <v>1994</v>
      </c>
      <c r="C764" t="str">
        <f t="shared" si="85"/>
        <v>Dell Publishing</v>
      </c>
      <c r="D764" t="str">
        <f t="shared" si="86"/>
        <v>Steven Levy</v>
      </c>
      <c r="E764" s="3" t="str">
        <f t="shared" si="87"/>
        <v/>
      </c>
      <c r="F764" t="str">
        <f t="shared" si="88"/>
        <v>.pdf</v>
      </c>
      <c r="G764">
        <f t="shared" si="89"/>
        <v>87</v>
      </c>
      <c r="H764" s="3">
        <f>LEN(Table1[[#This Row],[Auteur]])</f>
        <v>11</v>
      </c>
      <c r="I764" s="3" t="str">
        <f t="shared" si="90"/>
        <v>Hackers, Heroes of the Computer Revolution</v>
      </c>
    </row>
    <row r="765" spans="1:9" x14ac:dyDescent="0.45">
      <c r="A765" t="s">
        <v>1141</v>
      </c>
      <c r="B765" t="str">
        <f t="shared" si="84"/>
        <v>1996</v>
      </c>
      <c r="C765" t="str">
        <f t="shared" si="85"/>
        <v>Apress</v>
      </c>
      <c r="D765" t="str">
        <f t="shared" si="86"/>
        <v>Thomas J. Bergin, Richard G. Gibson</v>
      </c>
      <c r="E765" s="3" t="str">
        <f t="shared" si="87"/>
        <v/>
      </c>
      <c r="F765" s="3" t="str">
        <f t="shared" si="88"/>
        <v>.pdf</v>
      </c>
      <c r="G765">
        <f t="shared" si="89"/>
        <v>92</v>
      </c>
      <c r="H765" s="3">
        <f>LEN(Table1[[#This Row],[Auteur]])</f>
        <v>35</v>
      </c>
      <c r="I765" s="3" t="str">
        <f t="shared" si="90"/>
        <v>History of Programming Languages</v>
      </c>
    </row>
    <row r="766" spans="1:9" x14ac:dyDescent="0.45">
      <c r="A766" t="s">
        <v>1142</v>
      </c>
      <c r="B766" t="str">
        <f t="shared" si="84"/>
        <v>2004</v>
      </c>
      <c r="C766" t="str">
        <f t="shared" si="85"/>
        <v>O'Reilly</v>
      </c>
      <c r="D766" t="str">
        <f t="shared" si="86"/>
        <v>?</v>
      </c>
      <c r="E766" t="str">
        <f t="shared" si="87"/>
        <v/>
      </c>
      <c r="F766" t="str">
        <f t="shared" si="88"/>
        <v>.pdf</v>
      </c>
      <c r="G766">
        <f t="shared" si="89"/>
        <v>56</v>
      </c>
      <c r="H766" s="3">
        <f>LEN(Table1[[#This Row],[Auteur]])</f>
        <v>1</v>
      </c>
      <c r="I766" s="3" t="str">
        <f t="shared" si="90"/>
        <v>History of Programming Languages</v>
      </c>
    </row>
    <row r="767" spans="1:9" x14ac:dyDescent="0.45">
      <c r="A767" t="s">
        <v>1143</v>
      </c>
      <c r="B767" t="str">
        <f t="shared" si="84"/>
        <v>2002</v>
      </c>
      <c r="C767" t="str">
        <f t="shared" si="85"/>
        <v>?</v>
      </c>
      <c r="D767" t="str">
        <f t="shared" si="86"/>
        <v>Robert L. Read</v>
      </c>
      <c r="E767" s="3" t="str">
        <f t="shared" si="87"/>
        <v/>
      </c>
      <c r="F767" t="str">
        <f t="shared" si="88"/>
        <v>.pdf</v>
      </c>
      <c r="G767">
        <f t="shared" si="89"/>
        <v>96</v>
      </c>
      <c r="H767" s="3">
        <f>LEN(Table1[[#This Row],[Auteur]])</f>
        <v>14</v>
      </c>
      <c r="I767" s="3" t="str">
        <f t="shared" si="90"/>
        <v>How to be a Programmer, A Short, Comprehensive, and Personal Summary</v>
      </c>
    </row>
    <row r="768" spans="1:9" x14ac:dyDescent="0.45">
      <c r="A768" t="s">
        <v>1144</v>
      </c>
      <c r="B768" t="str">
        <f t="shared" si="84"/>
        <v>2000</v>
      </c>
      <c r="C768" t="str">
        <f t="shared" si="85"/>
        <v>Westview</v>
      </c>
      <c r="D768" t="str">
        <f t="shared" si="86"/>
        <v>Richard Feynman</v>
      </c>
      <c r="E768" s="3" t="str">
        <f t="shared" si="87"/>
        <v/>
      </c>
      <c r="F768" t="str">
        <f t="shared" si="88"/>
        <v>.pdf</v>
      </c>
      <c r="G768">
        <f t="shared" si="89"/>
        <v>65</v>
      </c>
      <c r="H768" s="3">
        <f>LEN(Table1[[#This Row],[Auteur]])</f>
        <v>15</v>
      </c>
      <c r="I768" s="3" t="str">
        <f t="shared" si="90"/>
        <v>Lectures on Computation</v>
      </c>
    </row>
    <row r="769" spans="1:9" x14ac:dyDescent="0.45">
      <c r="A769" t="s">
        <v>1991</v>
      </c>
      <c r="B769" t="str">
        <f t="shared" si="84"/>
        <v>2009</v>
      </c>
      <c r="C769" t="str">
        <f t="shared" si="85"/>
        <v>O'Reilly</v>
      </c>
      <c r="D769" t="str">
        <f t="shared" si="86"/>
        <v>Federico Biancuzzi, Shane Warden</v>
      </c>
      <c r="E769" s="3" t="str">
        <f t="shared" si="87"/>
        <v/>
      </c>
      <c r="F769" t="str">
        <f t="shared" si="88"/>
        <v>.pdf</v>
      </c>
      <c r="G769">
        <f t="shared" si="89"/>
        <v>85</v>
      </c>
      <c r="H769" s="3">
        <f>LEN(Table1[[#This Row],[Auteur]])</f>
        <v>32</v>
      </c>
      <c r="I769" s="3" t="str">
        <f t="shared" si="90"/>
        <v>Masterminds of Programming</v>
      </c>
    </row>
    <row r="770" spans="1:9" x14ac:dyDescent="0.45">
      <c r="A770" t="s">
        <v>1145</v>
      </c>
      <c r="B770" t="str">
        <f t="shared" ref="B770:B833" si="91">DatePub(A770)</f>
        <v>1988</v>
      </c>
      <c r="C770" t="str">
        <f t="shared" ref="C770:C833" si="92">Editeur(A770)</f>
        <v>Addison-Wesley</v>
      </c>
      <c r="D770" t="str">
        <f t="shared" ref="D770:D833" si="93">Auteur(A770)</f>
        <v>Jon Bentley</v>
      </c>
      <c r="E770" s="3" t="str">
        <f t="shared" ref="E770:E833" si="94">ExtraInfo(A770)</f>
        <v/>
      </c>
      <c r="F770" t="str">
        <f t="shared" ref="F770:F833" si="95">Extension(A770)</f>
        <v>.pdf</v>
      </c>
      <c r="G770">
        <f t="shared" ref="G770:G833" si="96">LenFileName(A770)</f>
        <v>91</v>
      </c>
      <c r="H770" s="3">
        <f>LEN(Table1[[#This Row],[Auteur]])</f>
        <v>11</v>
      </c>
      <c r="I770" s="3" t="str">
        <f t="shared" ref="I770:I782" si="97">Title(A770)</f>
        <v>More Programming Pearls, Confessions of a coder</v>
      </c>
    </row>
    <row r="771" spans="1:9" x14ac:dyDescent="0.45">
      <c r="A771" t="s">
        <v>1992</v>
      </c>
      <c r="B771" t="str">
        <f t="shared" si="91"/>
        <v>2012</v>
      </c>
      <c r="C771" t="str">
        <f t="shared" si="92"/>
        <v>Princeton University Press</v>
      </c>
      <c r="D771" t="str">
        <f t="shared" si="93"/>
        <v>John MacCormick</v>
      </c>
      <c r="E771" s="3" t="str">
        <f t="shared" si="94"/>
        <v/>
      </c>
      <c r="F771" s="3" t="str">
        <f t="shared" si="95"/>
        <v>.epub</v>
      </c>
      <c r="G771">
        <f t="shared" si="96"/>
        <v>100</v>
      </c>
      <c r="H771" s="3">
        <f>LEN(Table1[[#This Row],[Auteur]])</f>
        <v>15</v>
      </c>
      <c r="I771" s="3" t="str">
        <f t="shared" si="97"/>
        <v>Nine Algorithms That Changed the Future</v>
      </c>
    </row>
    <row r="772" spans="1:9" x14ac:dyDescent="0.45">
      <c r="A772" t="s">
        <v>1146</v>
      </c>
      <c r="B772" t="str">
        <f t="shared" si="91"/>
        <v>1986</v>
      </c>
      <c r="C772" t="str">
        <f t="shared" si="92"/>
        <v>Addison-Wesley</v>
      </c>
      <c r="D772" t="str">
        <f t="shared" si="93"/>
        <v>Jon Bentley</v>
      </c>
      <c r="E772" s="3" t="str">
        <f t="shared" si="94"/>
        <v/>
      </c>
      <c r="F772" t="str">
        <f t="shared" si="95"/>
        <v>.pdf</v>
      </c>
      <c r="G772">
        <f t="shared" si="96"/>
        <v>62</v>
      </c>
      <c r="H772" s="3">
        <f>LEN(Table1[[#This Row],[Auteur]])</f>
        <v>11</v>
      </c>
      <c r="I772" s="3" t="str">
        <f t="shared" si="97"/>
        <v>Programming Pearls</v>
      </c>
    </row>
    <row r="773" spans="1:9" x14ac:dyDescent="0.45">
      <c r="A773" t="s">
        <v>1147</v>
      </c>
      <c r="B773" t="str">
        <f t="shared" si="91"/>
        <v>1996</v>
      </c>
      <c r="C773" t="str">
        <f t="shared" si="92"/>
        <v>Cambridge</v>
      </c>
      <c r="D773" t="str">
        <f t="shared" si="93"/>
        <v>Donald E. Knuth</v>
      </c>
      <c r="E773" s="3" t="str">
        <f t="shared" si="94"/>
        <v/>
      </c>
      <c r="F773" s="3" t="str">
        <f t="shared" si="95"/>
        <v>.pdf</v>
      </c>
      <c r="G773">
        <f t="shared" si="96"/>
        <v>78</v>
      </c>
      <c r="H773" s="3">
        <f>LEN(Table1[[#This Row],[Auteur]])</f>
        <v>15</v>
      </c>
      <c r="I773" s="3" t="str">
        <f t="shared" si="97"/>
        <v>Selected Papers on Computer Science</v>
      </c>
    </row>
    <row r="774" spans="1:9" x14ac:dyDescent="0.45">
      <c r="A774" t="s">
        <v>1993</v>
      </c>
      <c r="B774" t="str">
        <f t="shared" si="91"/>
        <v>1993</v>
      </c>
      <c r="C774" t="str">
        <f t="shared" si="92"/>
        <v>Prentice Hall</v>
      </c>
      <c r="D774" t="str">
        <f t="shared" si="93"/>
        <v>Alice E. Fischer, Frances S. Grodzinsky</v>
      </c>
      <c r="E774" s="3" t="str">
        <f t="shared" si="94"/>
        <v/>
      </c>
      <c r="F774" s="3" t="str">
        <f t="shared" si="95"/>
        <v>.pdf</v>
      </c>
      <c r="G774">
        <f t="shared" si="96"/>
        <v>107</v>
      </c>
      <c r="H774" s="3">
        <f>LEN(Table1[[#This Row],[Auteur]])</f>
        <v>39</v>
      </c>
      <c r="I774" s="3" t="str">
        <f t="shared" si="97"/>
        <v>The Anatomy of Programming Languages</v>
      </c>
    </row>
    <row r="775" spans="1:9" x14ac:dyDescent="0.45">
      <c r="A775" t="s">
        <v>1148</v>
      </c>
      <c r="B775" t="str">
        <f t="shared" si="91"/>
        <v>2008</v>
      </c>
      <c r="C775" t="str">
        <f t="shared" si="92"/>
        <v>Wiley</v>
      </c>
      <c r="D775" t="str">
        <f t="shared" si="93"/>
        <v>Charles Petzold</v>
      </c>
      <c r="E775" s="3" t="str">
        <f t="shared" si="94"/>
        <v/>
      </c>
      <c r="F775" s="3" t="str">
        <f t="shared" si="95"/>
        <v>.pdf</v>
      </c>
      <c r="G775">
        <f t="shared" si="96"/>
        <v>59</v>
      </c>
      <c r="H775" s="3">
        <f>LEN(Table1[[#This Row],[Auteur]])</f>
        <v>15</v>
      </c>
      <c r="I775" s="3" t="str">
        <f t="shared" si="97"/>
        <v>The Annotated Turing</v>
      </c>
    </row>
    <row r="776" spans="1:9" x14ac:dyDescent="0.45">
      <c r="A776" t="s">
        <v>1994</v>
      </c>
      <c r="B776" t="str">
        <f t="shared" si="91"/>
        <v>2008</v>
      </c>
      <c r="C776" t="str">
        <f t="shared" si="92"/>
        <v>O'Reilly</v>
      </c>
      <c r="D776" t="str">
        <f t="shared" si="93"/>
        <v>James Shore, Shane Warden</v>
      </c>
      <c r="E776" s="3" t="str">
        <f t="shared" si="94"/>
        <v/>
      </c>
      <c r="F776" t="str">
        <f t="shared" si="95"/>
        <v>.pdf</v>
      </c>
      <c r="G776">
        <f t="shared" si="96"/>
        <v>80</v>
      </c>
      <c r="H776" s="3">
        <f>LEN(Table1[[#This Row],[Auteur]])</f>
        <v>25</v>
      </c>
      <c r="I776" s="3" t="str">
        <f t="shared" si="97"/>
        <v>The Art of Agile Development</v>
      </c>
    </row>
    <row r="777" spans="1:9" x14ac:dyDescent="0.45">
      <c r="A777" t="s">
        <v>2006</v>
      </c>
      <c r="B777" t="str">
        <f t="shared" si="91"/>
        <v>2011</v>
      </c>
      <c r="C777" t="str">
        <f t="shared" si="92"/>
        <v>Prentice Hall</v>
      </c>
      <c r="D777" t="str">
        <f t="shared" si="93"/>
        <v>Robert Martin</v>
      </c>
      <c r="E777" s="3" t="str">
        <f t="shared" si="94"/>
        <v/>
      </c>
      <c r="F777" t="str">
        <f t="shared" si="95"/>
        <v>.pdf</v>
      </c>
      <c r="G777">
        <f t="shared" si="96"/>
        <v>108</v>
      </c>
      <c r="H777" s="3">
        <f>LEN(Table1[[#This Row],[Auteur]])</f>
        <v>13</v>
      </c>
      <c r="I777" s="3" t="str">
        <f t="shared" si="97"/>
        <v>The Clean Coder, A Code of Conduct for Professional Programmers</v>
      </c>
    </row>
    <row r="778" spans="1:9" x14ac:dyDescent="0.45">
      <c r="A778" t="s">
        <v>2007</v>
      </c>
      <c r="B778" t="str">
        <f t="shared" si="91"/>
        <v>2001</v>
      </c>
      <c r="C778" t="str">
        <f t="shared" si="92"/>
        <v>Delacorte Press</v>
      </c>
      <c r="D778" t="str">
        <f t="shared" si="93"/>
        <v>Simon Singh</v>
      </c>
      <c r="E778" s="3" t="str">
        <f t="shared" si="94"/>
        <v/>
      </c>
      <c r="F778" t="str">
        <f t="shared" si="95"/>
        <v>.pdf</v>
      </c>
      <c r="G778">
        <f t="shared" si="96"/>
        <v>103</v>
      </c>
      <c r="H778" s="3">
        <f>LEN(Table1[[#This Row],[Auteur]])</f>
        <v>11</v>
      </c>
      <c r="I778" s="3" t="str">
        <f t="shared" si="97"/>
        <v>The Code Book, How to Make It, Break It, Hack It, Crack It</v>
      </c>
    </row>
    <row r="779" spans="1:9" x14ac:dyDescent="0.45">
      <c r="A779" t="s">
        <v>1149</v>
      </c>
      <c r="B779" t="str">
        <f t="shared" si="91"/>
        <v>2010</v>
      </c>
      <c r="C779" t="str">
        <f t="shared" si="92"/>
        <v>Addison-Wesley</v>
      </c>
      <c r="D779" t="str">
        <f t="shared" si="93"/>
        <v>Frederick P. Brooks</v>
      </c>
      <c r="E779" s="3" t="str">
        <f t="shared" si="94"/>
        <v/>
      </c>
      <c r="F779" t="str">
        <f t="shared" si="95"/>
        <v>.pdf</v>
      </c>
      <c r="G779">
        <f t="shared" si="96"/>
        <v>106</v>
      </c>
      <c r="H779" s="3">
        <f>LEN(Table1[[#This Row],[Auteur]])</f>
        <v>19</v>
      </c>
      <c r="I779" s="3" t="str">
        <f t="shared" si="97"/>
        <v>The Design of Design, Essays from a Computer Scientist</v>
      </c>
    </row>
    <row r="780" spans="1:9" x14ac:dyDescent="0.45">
      <c r="A780" t="s">
        <v>1150</v>
      </c>
      <c r="B780" t="str">
        <f t="shared" si="91"/>
        <v>1995</v>
      </c>
      <c r="C780" t="str">
        <f t="shared" si="92"/>
        <v>Addison-Wesley</v>
      </c>
      <c r="D780" t="str">
        <f t="shared" si="93"/>
        <v>Frederick Brooks</v>
      </c>
      <c r="E780" s="3" t="str">
        <f t="shared" si="94"/>
        <v>Scan</v>
      </c>
      <c r="F780" t="str">
        <f t="shared" si="95"/>
        <v>.pdf</v>
      </c>
      <c r="G780">
        <f t="shared" si="96"/>
        <v>99</v>
      </c>
      <c r="H780" s="3">
        <f>LEN(Table1[[#This Row],[Auteur]])</f>
        <v>16</v>
      </c>
      <c r="I780" s="3" t="str">
        <f t="shared" si="97"/>
        <v>The Mythical Man-Month, Anniversary Edition</v>
      </c>
    </row>
    <row r="781" spans="1:9" x14ac:dyDescent="0.45">
      <c r="A781" t="s">
        <v>1151</v>
      </c>
      <c r="B781" t="str">
        <f t="shared" si="91"/>
        <v>2007</v>
      </c>
      <c r="C781" t="str">
        <f t="shared" si="92"/>
        <v>Addison-Wesley</v>
      </c>
      <c r="D781" t="str">
        <f t="shared" si="93"/>
        <v>Raymond Chen</v>
      </c>
      <c r="E781" s="3" t="str">
        <f t="shared" si="94"/>
        <v/>
      </c>
      <c r="F781" s="3" t="str">
        <f t="shared" si="95"/>
        <v>.pdf</v>
      </c>
      <c r="G781">
        <f t="shared" si="96"/>
        <v>121</v>
      </c>
      <c r="H781" s="3">
        <f>LEN(Table1[[#This Row],[Auteur]])</f>
        <v>12</v>
      </c>
      <c r="I781" s="3" t="str">
        <f t="shared" si="97"/>
        <v>The Old New Thing, Practical Development Throughout the Evolution of Windows</v>
      </c>
    </row>
    <row r="782" spans="1:9" x14ac:dyDescent="0.45">
      <c r="A782" t="s">
        <v>1152</v>
      </c>
      <c r="B782" t="str">
        <f t="shared" si="91"/>
        <v>2009</v>
      </c>
      <c r="C782" t="str">
        <f t="shared" si="92"/>
        <v>The Pragmatic Programmers</v>
      </c>
      <c r="D782" t="str">
        <f t="shared" si="93"/>
        <v>Chad Fowler</v>
      </c>
      <c r="E782" s="3" t="str">
        <f t="shared" si="94"/>
        <v/>
      </c>
      <c r="F782" s="3" t="str">
        <f t="shared" si="95"/>
        <v>.pdf</v>
      </c>
      <c r="G782">
        <f t="shared" si="96"/>
        <v>88</v>
      </c>
      <c r="H782" s="3">
        <f>LEN(Table1[[#This Row],[Auteur]])</f>
        <v>11</v>
      </c>
      <c r="I782" s="3" t="str">
        <f t="shared" si="97"/>
        <v>The Passionate Programmer</v>
      </c>
    </row>
    <row r="783" spans="1:9" hidden="1" x14ac:dyDescent="0.45">
      <c r="A783" t="s">
        <v>1153</v>
      </c>
      <c r="B783" t="str">
        <f t="shared" si="91"/>
        <v>2006</v>
      </c>
      <c r="C783" t="str">
        <f t="shared" si="92"/>
        <v>Wiley</v>
      </c>
      <c r="D783" t="str">
        <f t="shared" si="93"/>
        <v>Robert P. Colwell</v>
      </c>
      <c r="E783" s="3" t="str">
        <f t="shared" si="94"/>
        <v/>
      </c>
      <c r="F783" t="str">
        <f t="shared" si="95"/>
        <v>.djvu</v>
      </c>
      <c r="G783">
        <f t="shared" si="96"/>
        <v>128</v>
      </c>
      <c r="H783" s="3">
        <f>LEN(Table1[[#This Row],[Auteur]])</f>
        <v>17</v>
      </c>
      <c r="I783" s="3" t="str">
        <f t="shared" ref="I783:I833" si="98">Title(A783)</f>
        <v>The Pentium Chronicles, The People, Passion and Politics Behind Intel's Landmark Chips</v>
      </c>
    </row>
    <row r="784" spans="1:9" x14ac:dyDescent="0.45">
      <c r="A784" t="s">
        <v>2008</v>
      </c>
      <c r="B784" t="str">
        <f t="shared" si="91"/>
        <v>1999</v>
      </c>
      <c r="C784" t="str">
        <f t="shared" si="92"/>
        <v>Addison-Wesley</v>
      </c>
      <c r="D784" t="str">
        <f t="shared" si="93"/>
        <v>Andrew Hunt, David Thomas</v>
      </c>
      <c r="E784" s="3" t="str">
        <f t="shared" si="94"/>
        <v>Dump</v>
      </c>
      <c r="F784" t="str">
        <f t="shared" si="95"/>
        <v>.pdf</v>
      </c>
      <c r="G784">
        <f t="shared" si="96"/>
        <v>116</v>
      </c>
      <c r="H784" s="3">
        <f>LEN(Table1[[#This Row],[Auteur]])</f>
        <v>25</v>
      </c>
      <c r="I784" s="3" t="str">
        <f>Title(A784)</f>
        <v>The Pragmatic Programmer, From Journeyman to Master</v>
      </c>
    </row>
    <row r="785" spans="1:9" hidden="1" x14ac:dyDescent="0.45">
      <c r="A785" t="s">
        <v>2009</v>
      </c>
      <c r="B785" t="str">
        <f t="shared" si="91"/>
        <v>1993</v>
      </c>
      <c r="C785" t="str">
        <f t="shared" si="92"/>
        <v>Microsoft Press</v>
      </c>
      <c r="D785" t="str">
        <f t="shared" si="93"/>
        <v>Stephen A. Maguire</v>
      </c>
      <c r="E785" s="3" t="str">
        <f t="shared" si="94"/>
        <v>Scan</v>
      </c>
      <c r="F785" s="3" t="str">
        <f t="shared" si="95"/>
        <v>.pdf</v>
      </c>
      <c r="G785" s="3">
        <f t="shared" si="96"/>
        <v>77</v>
      </c>
      <c r="H785" s="3">
        <f>LEN(Table1[[#This Row],[Auteur]])</f>
        <v>18</v>
      </c>
      <c r="I785" s="3" t="str">
        <f t="shared" si="98"/>
        <v>Writing Solid Code</v>
      </c>
    </row>
    <row r="786" spans="1:9" x14ac:dyDescent="0.45">
      <c r="A786" t="s">
        <v>1995</v>
      </c>
      <c r="B786" t="str">
        <f t="shared" si="91"/>
        <v>2004</v>
      </c>
      <c r="C786" t="str">
        <f t="shared" si="92"/>
        <v>Addison-Wesley</v>
      </c>
      <c r="D786" t="str">
        <f t="shared" si="93"/>
        <v>Donald E. Knuth</v>
      </c>
      <c r="E786" s="3" t="str">
        <f t="shared" si="94"/>
        <v/>
      </c>
      <c r="F786" t="str">
        <f t="shared" si="95"/>
        <v>.pdf</v>
      </c>
      <c r="G786">
        <f t="shared" si="96"/>
        <v>107</v>
      </c>
      <c r="H786" s="3">
        <f>LEN(Table1[[#This Row],[Auteur]])</f>
        <v>15</v>
      </c>
      <c r="I786" s="3" t="str">
        <f t="shared" si="98"/>
        <v>The Art of Computer Programming, Volume 1, Fascicle 1, MMIX</v>
      </c>
    </row>
    <row r="787" spans="1:9" x14ac:dyDescent="0.45">
      <c r="A787" t="s">
        <v>1996</v>
      </c>
      <c r="B787" t="str">
        <f t="shared" si="91"/>
        <v>1969</v>
      </c>
      <c r="C787" t="str">
        <f t="shared" si="92"/>
        <v>Addison-Wesley</v>
      </c>
      <c r="D787" t="str">
        <f t="shared" si="93"/>
        <v>Donald E. Knuth</v>
      </c>
      <c r="E787" s="3" t="str">
        <f t="shared" si="94"/>
        <v/>
      </c>
      <c r="F787" t="str">
        <f t="shared" si="95"/>
        <v>.pdf</v>
      </c>
      <c r="G787">
        <f t="shared" si="96"/>
        <v>121</v>
      </c>
      <c r="H787" s="3">
        <f>LEN(Table1[[#This Row],[Auteur]])</f>
        <v>15</v>
      </c>
      <c r="I787" s="3" t="str">
        <f t="shared" si="98"/>
        <v>The Art of Computer Programming, Volume 1, Fundamental Algorithms</v>
      </c>
    </row>
    <row r="788" spans="1:9" x14ac:dyDescent="0.45">
      <c r="A788" t="s">
        <v>1997</v>
      </c>
      <c r="B788" t="str">
        <f t="shared" si="91"/>
        <v>1997</v>
      </c>
      <c r="C788" t="str">
        <f t="shared" si="92"/>
        <v>Addison-Wesley</v>
      </c>
      <c r="D788" t="str">
        <f t="shared" si="93"/>
        <v>Donald E. Knuth</v>
      </c>
      <c r="E788" s="3" t="str">
        <f t="shared" si="94"/>
        <v/>
      </c>
      <c r="F788" t="str">
        <f t="shared" si="95"/>
        <v>.djvu</v>
      </c>
      <c r="G788">
        <f t="shared" si="96"/>
        <v>122</v>
      </c>
      <c r="H788" s="3">
        <f>LEN(Table1[[#This Row],[Auteur]])</f>
        <v>15</v>
      </c>
      <c r="I788" s="3" t="str">
        <f t="shared" si="98"/>
        <v>The Art of Computer Programming, Volume 1, Fundamental Algorithms</v>
      </c>
    </row>
    <row r="789" spans="1:9" x14ac:dyDescent="0.45">
      <c r="A789" t="s">
        <v>1998</v>
      </c>
      <c r="B789" t="str">
        <f t="shared" si="91"/>
        <v>1997</v>
      </c>
      <c r="C789" t="str">
        <f t="shared" si="92"/>
        <v>Addison-Wesley</v>
      </c>
      <c r="D789" t="str">
        <f t="shared" si="93"/>
        <v>Donald E. Knuth</v>
      </c>
      <c r="E789" s="3" t="str">
        <f t="shared" si="94"/>
        <v/>
      </c>
      <c r="F789" t="str">
        <f t="shared" si="95"/>
        <v>.pdf</v>
      </c>
      <c r="G789">
        <f t="shared" si="96"/>
        <v>121</v>
      </c>
      <c r="H789" s="3">
        <f>LEN(Table1[[#This Row],[Auteur]])</f>
        <v>15</v>
      </c>
      <c r="I789" s="3" t="str">
        <f t="shared" si="98"/>
        <v>The Art of Computer Programming, Volume 1, Fundamental Algorithms</v>
      </c>
    </row>
    <row r="790" spans="1:9" x14ac:dyDescent="0.45">
      <c r="A790" t="s">
        <v>1999</v>
      </c>
      <c r="B790" t="str">
        <f t="shared" si="91"/>
        <v>1981</v>
      </c>
      <c r="C790" t="str">
        <f t="shared" si="92"/>
        <v>Addison-Wesley</v>
      </c>
      <c r="D790" t="str">
        <f t="shared" si="93"/>
        <v>Donald E. Knuth</v>
      </c>
      <c r="E790" s="3" t="str">
        <f t="shared" si="94"/>
        <v/>
      </c>
      <c r="F790" t="str">
        <f t="shared" si="95"/>
        <v>.pdf</v>
      </c>
      <c r="G790">
        <f t="shared" si="96"/>
        <v>123</v>
      </c>
      <c r="H790" s="3">
        <f>LEN(Table1[[#This Row],[Auteur]])</f>
        <v>15</v>
      </c>
      <c r="I790" s="3" t="str">
        <f t="shared" si="98"/>
        <v>The Art of Computer Programming, Volume 2, Seminumerical Algorithms</v>
      </c>
    </row>
    <row r="791" spans="1:9" x14ac:dyDescent="0.45">
      <c r="A791" t="s">
        <v>2000</v>
      </c>
      <c r="B791" t="str">
        <f t="shared" si="91"/>
        <v>1998</v>
      </c>
      <c r="C791" t="str">
        <f t="shared" si="92"/>
        <v>Addison-Wesley</v>
      </c>
      <c r="D791" t="str">
        <f t="shared" si="93"/>
        <v>Donald E. Knuth</v>
      </c>
      <c r="E791" s="3" t="str">
        <f t="shared" si="94"/>
        <v/>
      </c>
      <c r="F791" s="3" t="str">
        <f t="shared" si="95"/>
        <v>.djvu</v>
      </c>
      <c r="G791" s="3">
        <f t="shared" si="96"/>
        <v>124</v>
      </c>
      <c r="H791" s="3">
        <f>LEN(Table1[[#This Row],[Auteur]])</f>
        <v>15</v>
      </c>
      <c r="I791" s="3" t="str">
        <f t="shared" si="98"/>
        <v>The Art of Computer Programming, Volume 2, Seminumerical Algorithms</v>
      </c>
    </row>
    <row r="792" spans="1:9" x14ac:dyDescent="0.45">
      <c r="A792" t="s">
        <v>2001</v>
      </c>
      <c r="B792" t="str">
        <f t="shared" si="91"/>
        <v>1973</v>
      </c>
      <c r="C792" t="str">
        <f t="shared" si="92"/>
        <v>Addison-Wesley</v>
      </c>
      <c r="D792" t="str">
        <f t="shared" si="93"/>
        <v>Donald E. Knuth</v>
      </c>
      <c r="E792" s="3" t="str">
        <f t="shared" si="94"/>
        <v/>
      </c>
      <c r="F792" t="str">
        <f t="shared" si="95"/>
        <v>.pdf</v>
      </c>
      <c r="G792">
        <f t="shared" si="96"/>
        <v>120</v>
      </c>
      <c r="H792" s="3">
        <f>LEN(Table1[[#This Row],[Auteur]])</f>
        <v>15</v>
      </c>
      <c r="I792" s="3" t="str">
        <f t="shared" si="98"/>
        <v>The Art of Computer Programming, Volume 3, Sorting and Searching</v>
      </c>
    </row>
    <row r="793" spans="1:9" x14ac:dyDescent="0.45">
      <c r="A793" t="s">
        <v>2002</v>
      </c>
      <c r="B793" t="str">
        <f t="shared" si="91"/>
        <v>1998</v>
      </c>
      <c r="C793" t="str">
        <f t="shared" si="92"/>
        <v>Addison-Wesley</v>
      </c>
      <c r="D793" t="str">
        <f t="shared" si="93"/>
        <v>Donald E. Knuth</v>
      </c>
      <c r="E793" s="3" t="str">
        <f t="shared" si="94"/>
        <v/>
      </c>
      <c r="F793" s="3" t="str">
        <f t="shared" si="95"/>
        <v>.djvu</v>
      </c>
      <c r="G793">
        <f t="shared" si="96"/>
        <v>121</v>
      </c>
      <c r="H793" s="3">
        <f>LEN(Table1[[#This Row],[Auteur]])</f>
        <v>15</v>
      </c>
      <c r="I793" s="3" t="str">
        <f t="shared" si="98"/>
        <v>The Art of Computer Programming, Volume 3, Sorting and Searching</v>
      </c>
    </row>
    <row r="794" spans="1:9" x14ac:dyDescent="0.45">
      <c r="A794" t="s">
        <v>2003</v>
      </c>
      <c r="B794" t="str">
        <f t="shared" si="91"/>
        <v>1998</v>
      </c>
      <c r="C794" t="str">
        <f t="shared" si="92"/>
        <v>Addison-Wesley</v>
      </c>
      <c r="D794" t="str">
        <f t="shared" si="93"/>
        <v>Donald E. Knuth</v>
      </c>
      <c r="E794" s="3" t="str">
        <f t="shared" si="94"/>
        <v/>
      </c>
      <c r="F794" t="str">
        <f t="shared" si="95"/>
        <v>.pdf</v>
      </c>
      <c r="G794">
        <f t="shared" si="96"/>
        <v>120</v>
      </c>
      <c r="H794" s="3">
        <f>LEN(Table1[[#This Row],[Auteur]])</f>
        <v>15</v>
      </c>
      <c r="I794" s="3" t="str">
        <f t="shared" si="98"/>
        <v>The Art of Computer Programming, Volume 3, Sorting and Searching</v>
      </c>
    </row>
    <row r="795" spans="1:9" x14ac:dyDescent="0.45">
      <c r="A795" t="s">
        <v>2004</v>
      </c>
      <c r="B795" t="str">
        <f t="shared" si="91"/>
        <v>2011</v>
      </c>
      <c r="C795" t="str">
        <f t="shared" si="92"/>
        <v>Addison-Wesley</v>
      </c>
      <c r="D795" t="str">
        <f t="shared" si="93"/>
        <v>Donald E Knuth</v>
      </c>
      <c r="E795" s="3" t="str">
        <f t="shared" si="94"/>
        <v/>
      </c>
      <c r="F795" t="str">
        <f t="shared" si="95"/>
        <v>.pdf</v>
      </c>
      <c r="G795">
        <f t="shared" si="96"/>
        <v>123</v>
      </c>
      <c r="H795" s="3">
        <f>LEN(Table1[[#This Row],[Auteur]])</f>
        <v>14</v>
      </c>
      <c r="I795" s="3" t="str">
        <f t="shared" si="98"/>
        <v>The Art of Computer Programming, Volume 4A, Combinatorial Algorithms, Part 1</v>
      </c>
    </row>
    <row r="796" spans="1:9" x14ac:dyDescent="0.45">
      <c r="A796" t="s">
        <v>2005</v>
      </c>
      <c r="B796" t="str">
        <f t="shared" si="91"/>
        <v>?</v>
      </c>
      <c r="C796" t="str">
        <f t="shared" si="92"/>
        <v>Addison-Wesley</v>
      </c>
      <c r="D796" t="str">
        <f t="shared" si="93"/>
        <v>Donald E. Knuth</v>
      </c>
      <c r="E796" s="3" t="str">
        <f t="shared" si="94"/>
        <v/>
      </c>
      <c r="F796" s="3" t="str">
        <f t="shared" si="95"/>
        <v>.pdf</v>
      </c>
      <c r="G796">
        <f t="shared" si="96"/>
        <v>87</v>
      </c>
      <c r="H796" s="3">
        <f>LEN(Table1[[#This Row],[Auteur]])</f>
        <v>15</v>
      </c>
      <c r="I796" s="3" t="str">
        <f t="shared" si="98"/>
        <v>The Art of Computer Programming, Volumes I-IVa</v>
      </c>
    </row>
    <row r="797" spans="1:9" x14ac:dyDescent="0.45">
      <c r="A797" t="s">
        <v>1154</v>
      </c>
      <c r="B797" t="str">
        <f t="shared" si="91"/>
        <v>2008</v>
      </c>
      <c r="C797" t="str">
        <f t="shared" si="92"/>
        <v>Eyrolles</v>
      </c>
      <c r="D797" t="str">
        <f t="shared" si="93"/>
        <v>David Tardiveau</v>
      </c>
      <c r="E797" s="3" t="str">
        <f t="shared" si="94"/>
        <v/>
      </c>
      <c r="F797" t="str">
        <f t="shared" si="95"/>
        <v>.pdf</v>
      </c>
      <c r="G797">
        <f t="shared" si="96"/>
        <v>102</v>
      </c>
      <c r="H797" s="3">
        <f>LEN(Table1[[#This Row],[Auteur]])</f>
        <v>15</v>
      </c>
      <c r="I797" s="3" t="str">
        <f t="shared" si="98"/>
        <v>ActionScript 3, Programmation séquentielle et orientée objet</v>
      </c>
    </row>
    <row r="798" spans="1:9" x14ac:dyDescent="0.45">
      <c r="A798" t="s">
        <v>1378</v>
      </c>
      <c r="B798" t="str">
        <f t="shared" si="91"/>
        <v>2000</v>
      </c>
      <c r="C798" t="str">
        <f t="shared" si="92"/>
        <v>O'Reilly</v>
      </c>
      <c r="D798" t="str">
        <f t="shared" si="93"/>
        <v>Ray Lischner</v>
      </c>
      <c r="E798" s="3" t="str">
        <f t="shared" si="94"/>
        <v/>
      </c>
      <c r="F798" s="3" t="str">
        <f t="shared" si="95"/>
        <v>.pdf</v>
      </c>
      <c r="G798">
        <f t="shared" si="96"/>
        <v>59</v>
      </c>
      <c r="H798" s="3">
        <f>LEN(Table1[[#This Row],[Auteur]])</f>
        <v>12</v>
      </c>
      <c r="I798" s="3" t="str">
        <f t="shared" si="98"/>
        <v>Delphi in a Nutshell</v>
      </c>
    </row>
    <row r="799" spans="1:9" x14ac:dyDescent="0.45">
      <c r="A799" t="s">
        <v>1387</v>
      </c>
      <c r="B799" t="str">
        <f t="shared" si="91"/>
        <v>2009</v>
      </c>
      <c r="C799" t="str">
        <f t="shared" si="92"/>
        <v>Manning</v>
      </c>
      <c r="D799" t="str">
        <f t="shared" si="93"/>
        <v>Thomas Petricek, Jon Skeet</v>
      </c>
      <c r="E799" s="3" t="str">
        <f t="shared" si="94"/>
        <v/>
      </c>
      <c r="F799" t="str">
        <f t="shared" si="95"/>
        <v>.pdf</v>
      </c>
      <c r="G799">
        <f t="shared" si="96"/>
        <v>120</v>
      </c>
      <c r="H799" s="3">
        <f>LEN(Table1[[#This Row],[Auteur]])</f>
        <v>26</v>
      </c>
      <c r="I799" s="3" t="str">
        <f t="shared" si="98"/>
        <v>Functional Programming for the Real World with examples in C# and F#</v>
      </c>
    </row>
    <row r="800" spans="1:9" x14ac:dyDescent="0.45">
      <c r="A800" t="s">
        <v>1398</v>
      </c>
      <c r="B800" t="str">
        <f t="shared" si="91"/>
        <v>2016</v>
      </c>
      <c r="C800" t="str">
        <f t="shared" si="92"/>
        <v>?</v>
      </c>
      <c r="D800" t="str">
        <f t="shared" si="93"/>
        <v>Haxe Foundation</v>
      </c>
      <c r="E800" s="3" t="str">
        <f t="shared" si="94"/>
        <v/>
      </c>
      <c r="F800" t="str">
        <f t="shared" si="95"/>
        <v>.pdf</v>
      </c>
      <c r="G800">
        <f t="shared" si="96"/>
        <v>42</v>
      </c>
      <c r="H800" s="3">
        <f>LEN(Table1[[#This Row],[Auteur]])</f>
        <v>15</v>
      </c>
      <c r="I800" s="3" t="str">
        <f t="shared" si="98"/>
        <v>Haxe 3 Manual</v>
      </c>
    </row>
    <row r="801" spans="1:9" x14ac:dyDescent="0.45">
      <c r="A801" t="s">
        <v>1399</v>
      </c>
      <c r="B801" t="str">
        <f t="shared" si="91"/>
        <v>1997</v>
      </c>
      <c r="C801" t="str">
        <f t="shared" si="92"/>
        <v>?</v>
      </c>
      <c r="D801" t="str">
        <f t="shared" si="93"/>
        <v>John Harrison</v>
      </c>
      <c r="E801" s="3" t="str">
        <f t="shared" si="94"/>
        <v/>
      </c>
      <c r="F801" t="str">
        <f t="shared" si="95"/>
        <v>.pdf</v>
      </c>
      <c r="G801">
        <f t="shared" si="96"/>
        <v>65</v>
      </c>
      <c r="H801" s="3">
        <f>LEN(Table1[[#This Row],[Auteur]])</f>
        <v>13</v>
      </c>
      <c r="I801" s="3" t="str">
        <f t="shared" si="98"/>
        <v>Introduction to Functional Programming</v>
      </c>
    </row>
    <row r="802" spans="1:9" x14ac:dyDescent="0.45">
      <c r="A802" t="s">
        <v>1482</v>
      </c>
      <c r="B802" t="str">
        <f t="shared" si="91"/>
        <v>2016</v>
      </c>
      <c r="C802" t="str">
        <f t="shared" si="92"/>
        <v>Packt</v>
      </c>
      <c r="D802" t="str">
        <f t="shared" si="93"/>
        <v>W. David Jarvis, Rafik Naccache, Allen Rohner</v>
      </c>
      <c r="E802" s="3" t="str">
        <f t="shared" si="94"/>
        <v/>
      </c>
      <c r="F802" t="str">
        <f t="shared" si="95"/>
        <v>.epub</v>
      </c>
      <c r="G802">
        <f t="shared" si="96"/>
        <v>92</v>
      </c>
      <c r="H802" s="3">
        <f>LEN(Table1[[#This Row],[Auteur]])</f>
        <v>45</v>
      </c>
      <c r="I802" s="3" t="str">
        <f t="shared" si="98"/>
        <v>Learning ClojureScript</v>
      </c>
    </row>
    <row r="803" spans="1:9" x14ac:dyDescent="0.45">
      <c r="A803" t="s">
        <v>1483</v>
      </c>
      <c r="B803" t="str">
        <f t="shared" si="91"/>
        <v>2016</v>
      </c>
      <c r="C803" t="str">
        <f t="shared" si="92"/>
        <v>Packt</v>
      </c>
      <c r="D803" t="str">
        <f t="shared" si="93"/>
        <v>W. David Jarvis, Rafik Naccache, Allen Rohner</v>
      </c>
      <c r="E803" s="3" t="str">
        <f t="shared" si="94"/>
        <v/>
      </c>
      <c r="F803" t="str">
        <f t="shared" si="95"/>
        <v>.pdf</v>
      </c>
      <c r="G803">
        <f t="shared" si="96"/>
        <v>91</v>
      </c>
      <c r="H803" s="3">
        <f>LEN(Table1[[#This Row],[Auteur]])</f>
        <v>45</v>
      </c>
      <c r="I803" s="3" t="str">
        <f t="shared" si="98"/>
        <v>Learning ClojureScript</v>
      </c>
    </row>
    <row r="804" spans="1:9" x14ac:dyDescent="0.45">
      <c r="A804" t="s">
        <v>1484</v>
      </c>
      <c r="B804" t="str">
        <f t="shared" si="91"/>
        <v>2016</v>
      </c>
      <c r="C804" t="str">
        <f t="shared" si="92"/>
        <v>Packt</v>
      </c>
      <c r="D804" t="str">
        <f t="shared" si="93"/>
        <v>Ramalingam Ganapathy</v>
      </c>
      <c r="E804" s="3" t="str">
        <f t="shared" si="94"/>
        <v/>
      </c>
      <c r="F804" t="str">
        <f t="shared" si="95"/>
        <v>.pdf</v>
      </c>
      <c r="G804">
        <f t="shared" si="96"/>
        <v>71</v>
      </c>
      <c r="H804" s="3">
        <f>LEN(Table1[[#This Row],[Auteur]])</f>
        <v>20</v>
      </c>
      <c r="I804" s="3" t="str">
        <f t="shared" si="98"/>
        <v>Learning Google Apps Script</v>
      </c>
    </row>
    <row r="805" spans="1:9" x14ac:dyDescent="0.45">
      <c r="A805" t="s">
        <v>1551</v>
      </c>
      <c r="B805" t="str">
        <f t="shared" si="91"/>
        <v>2007</v>
      </c>
      <c r="C805" t="str">
        <f t="shared" si="92"/>
        <v>The Pragmatic Programmers</v>
      </c>
      <c r="D805" t="str">
        <f t="shared" si="93"/>
        <v>Joe Armstrong</v>
      </c>
      <c r="E805" s="3" t="str">
        <f t="shared" si="94"/>
        <v/>
      </c>
      <c r="F805" t="str">
        <f t="shared" si="95"/>
        <v>.pdf</v>
      </c>
      <c r="G805">
        <f t="shared" si="96"/>
        <v>85</v>
      </c>
      <c r="H805" s="3">
        <f>LEN(Table1[[#This Row],[Auteur]])</f>
        <v>13</v>
      </c>
      <c r="I805" s="3" t="str">
        <f t="shared" si="98"/>
        <v>Pragmatic Programming Erlang</v>
      </c>
    </row>
    <row r="806" spans="1:9" x14ac:dyDescent="0.45">
      <c r="A806" t="s">
        <v>1552</v>
      </c>
      <c r="B806" t="str">
        <f t="shared" si="91"/>
        <v>2016</v>
      </c>
      <c r="C806" t="str">
        <f t="shared" si="92"/>
        <v>O'Reilly</v>
      </c>
      <c r="D806" t="str">
        <f t="shared" si="93"/>
        <v>Jim Blandy, Jason Orendorff</v>
      </c>
      <c r="E806" s="3" t="str">
        <f t="shared" si="94"/>
        <v>Prerelease</v>
      </c>
      <c r="F806" t="str">
        <f t="shared" si="95"/>
        <v>.pdf</v>
      </c>
      <c r="G806">
        <f t="shared" si="96"/>
        <v>83</v>
      </c>
      <c r="H806" s="3">
        <f>LEN(Table1[[#This Row],[Auteur]])</f>
        <v>27</v>
      </c>
      <c r="I806" s="3" t="str">
        <f t="shared" si="98"/>
        <v>Programming Rust</v>
      </c>
    </row>
    <row r="807" spans="1:9" x14ac:dyDescent="0.45">
      <c r="A807" t="s">
        <v>1685</v>
      </c>
      <c r="B807" t="str">
        <f t="shared" si="91"/>
        <v>2016</v>
      </c>
      <c r="C807" t="str">
        <f t="shared" si="92"/>
        <v>Addison-Wesley</v>
      </c>
      <c r="D807" t="str">
        <f t="shared" si="93"/>
        <v>Alan Donovan, Brian Kernighan</v>
      </c>
      <c r="E807" s="3" t="str">
        <f t="shared" si="94"/>
        <v/>
      </c>
      <c r="F807" s="3" t="str">
        <f t="shared" si="95"/>
        <v>.epub</v>
      </c>
      <c r="G807">
        <f t="shared" si="96"/>
        <v>90</v>
      </c>
      <c r="H807" s="3">
        <f>LEN(Table1[[#This Row],[Auteur]])</f>
        <v>29</v>
      </c>
      <c r="I807" s="3" t="str">
        <f t="shared" si="98"/>
        <v>The Go Programming Language</v>
      </c>
    </row>
    <row r="808" spans="1:9" hidden="1" x14ac:dyDescent="0.45">
      <c r="A808" t="s">
        <v>1686</v>
      </c>
      <c r="B808" t="str">
        <f t="shared" si="91"/>
        <v>2004</v>
      </c>
      <c r="C808" t="str">
        <f t="shared" si="92"/>
        <v>?</v>
      </c>
      <c r="D808" t="str">
        <f t="shared" si="93"/>
        <v>Leo Brodie</v>
      </c>
      <c r="E808" s="3" t="str">
        <f t="shared" si="94"/>
        <v/>
      </c>
      <c r="F808" s="3" t="str">
        <f t="shared" si="95"/>
        <v>.pdf</v>
      </c>
      <c r="G808">
        <f t="shared" si="96"/>
        <v>38</v>
      </c>
      <c r="H808" s="3">
        <f>LEN(Table1[[#This Row],[Auteur]])</f>
        <v>10</v>
      </c>
      <c r="I808" s="3" t="str">
        <f t="shared" si="98"/>
        <v>Thinking Forth</v>
      </c>
    </row>
    <row r="809" spans="1:9" x14ac:dyDescent="0.45">
      <c r="A809" t="s">
        <v>1155</v>
      </c>
      <c r="B809" t="str">
        <f t="shared" si="91"/>
        <v>2005</v>
      </c>
      <c r="C809" t="str">
        <f t="shared" si="92"/>
        <v>Wiley</v>
      </c>
      <c r="D809" t="str">
        <f t="shared" si="93"/>
        <v>Mordechai Ben-Ari</v>
      </c>
      <c r="E809" s="3" t="str">
        <f t="shared" si="94"/>
        <v/>
      </c>
      <c r="F809" s="3" t="str">
        <f t="shared" si="95"/>
        <v>.pdf</v>
      </c>
      <c r="G809" s="3">
        <f t="shared" si="96"/>
        <v>67</v>
      </c>
      <c r="H809" s="3">
        <f>LEN(Table1[[#This Row],[Auteur]])</f>
        <v>17</v>
      </c>
      <c r="I809" s="3" t="str">
        <f t="shared" si="98"/>
        <v>Ada for Software Engineers</v>
      </c>
    </row>
    <row r="810" spans="1:9" x14ac:dyDescent="0.45">
      <c r="A810" t="s">
        <v>1156</v>
      </c>
      <c r="B810" t="str">
        <f t="shared" si="91"/>
        <v>2013</v>
      </c>
      <c r="C810" t="str">
        <f t="shared" si="92"/>
        <v>Wikibooks</v>
      </c>
      <c r="D810" t="str">
        <f t="shared" si="93"/>
        <v>?</v>
      </c>
      <c r="E810" s="3" t="str">
        <f t="shared" si="94"/>
        <v/>
      </c>
      <c r="F810" t="str">
        <f t="shared" si="95"/>
        <v>.pdf</v>
      </c>
      <c r="G810">
        <f t="shared" si="96"/>
        <v>40</v>
      </c>
      <c r="H810" s="3">
        <f>LEN(Table1[[#This Row],[Auteur]])</f>
        <v>1</v>
      </c>
      <c r="I810" s="3" t="str">
        <f t="shared" si="98"/>
        <v>Ada Programming</v>
      </c>
    </row>
    <row r="811" spans="1:9" x14ac:dyDescent="0.45">
      <c r="A811" t="s">
        <v>1157</v>
      </c>
      <c r="B811" t="str">
        <f t="shared" si="91"/>
        <v>2007</v>
      </c>
      <c r="C811" t="str">
        <f t="shared" si="92"/>
        <v>Cambridge</v>
      </c>
      <c r="D811" t="str">
        <f t="shared" si="93"/>
        <v>Alan Burns</v>
      </c>
      <c r="E811" s="3" t="str">
        <f t="shared" si="94"/>
        <v/>
      </c>
      <c r="F811" t="str">
        <f t="shared" si="95"/>
        <v>.pdf</v>
      </c>
      <c r="G811">
        <f t="shared" si="96"/>
        <v>81</v>
      </c>
      <c r="H811" s="3">
        <f>LEN(Table1[[#This Row],[Auteur]])</f>
        <v>10</v>
      </c>
      <c r="I811" s="3" t="str">
        <f t="shared" si="98"/>
        <v>Concurrent and Real-Time Programming in Ada</v>
      </c>
    </row>
    <row r="812" spans="1:9" x14ac:dyDescent="0.45">
      <c r="A812" t="s">
        <v>1158</v>
      </c>
      <c r="B812" t="str">
        <f t="shared" si="91"/>
        <v>1977</v>
      </c>
      <c r="C812" t="str">
        <f t="shared" si="92"/>
        <v>North-Holland</v>
      </c>
      <c r="D812" t="str">
        <f t="shared" si="93"/>
        <v>Lindsey, Van der Meulen</v>
      </c>
      <c r="E812" s="3" t="str">
        <f t="shared" si="94"/>
        <v/>
      </c>
      <c r="F812" t="str">
        <f t="shared" si="95"/>
        <v>.pdf</v>
      </c>
      <c r="G812">
        <f t="shared" si="96"/>
        <v>104</v>
      </c>
      <c r="H812" s="3">
        <f>LEN(Table1[[#This Row],[Auteur]])</f>
        <v>23</v>
      </c>
      <c r="I812" s="3" t="str">
        <f t="shared" si="98"/>
        <v>Informal Introduction to Algol 68 Revised</v>
      </c>
    </row>
    <row r="813" spans="1:9" x14ac:dyDescent="0.45">
      <c r="A813" t="s">
        <v>1159</v>
      </c>
      <c r="B813" t="str">
        <f t="shared" si="91"/>
        <v>2001</v>
      </c>
      <c r="C813" t="str">
        <f t="shared" si="92"/>
        <v>Phoenix Engineering</v>
      </c>
      <c r="D813" t="str">
        <f t="shared" si="93"/>
        <v>Sian Leitch</v>
      </c>
      <c r="E813" t="str">
        <f t="shared" si="94"/>
        <v/>
      </c>
      <c r="F813" t="str">
        <f t="shared" si="95"/>
        <v>.pdf</v>
      </c>
      <c r="G813">
        <f t="shared" si="96"/>
        <v>79</v>
      </c>
      <c r="H813" s="3">
        <f>LEN(Table1[[#This Row],[Auteur]])</f>
        <v>11</v>
      </c>
      <c r="I813" s="3" t="str">
        <f t="shared" si="98"/>
        <v>Programming Algol 68 Made Easy</v>
      </c>
    </row>
    <row r="814" spans="1:9" x14ac:dyDescent="0.45">
      <c r="A814" t="s">
        <v>1160</v>
      </c>
      <c r="B814" t="str">
        <f t="shared" si="91"/>
        <v>1969</v>
      </c>
      <c r="C814" t="str">
        <f t="shared" si="92"/>
        <v>?</v>
      </c>
      <c r="D814" t="str">
        <f t="shared" si="93"/>
        <v>Van Wijngaarden, Mailloux, Peck, Koster</v>
      </c>
      <c r="E814" s="3" t="str">
        <f t="shared" si="94"/>
        <v/>
      </c>
      <c r="F814" s="3" t="str">
        <f t="shared" si="95"/>
        <v>.pdf</v>
      </c>
      <c r="G814">
        <f t="shared" si="96"/>
        <v>96</v>
      </c>
      <c r="H814" s="3">
        <f>LEN(Table1[[#This Row],[Auteur]])</f>
        <v>39</v>
      </c>
      <c r="I814" s="3" t="str">
        <f t="shared" si="98"/>
        <v>Report on the Algorithmic Language Algol 68</v>
      </c>
    </row>
    <row r="815" spans="1:9" x14ac:dyDescent="0.45">
      <c r="A815" t="s">
        <v>1161</v>
      </c>
      <c r="B815" t="str">
        <f t="shared" si="91"/>
        <v>1972</v>
      </c>
      <c r="C815" t="str">
        <f t="shared" si="92"/>
        <v>?</v>
      </c>
      <c r="D815" t="str">
        <f t="shared" si="93"/>
        <v>Aan Wijngaarden et al</v>
      </c>
      <c r="E815" s="3" t="str">
        <f t="shared" si="94"/>
        <v/>
      </c>
      <c r="F815" t="str">
        <f t="shared" si="95"/>
        <v>.pdf</v>
      </c>
      <c r="G815">
        <f t="shared" si="96"/>
        <v>86</v>
      </c>
      <c r="H815" s="3">
        <f>LEN(Table1[[#This Row],[Auteur]])</f>
        <v>21</v>
      </c>
      <c r="I815" s="3" t="str">
        <f t="shared" si="98"/>
        <v>Revised Report on the Algorithmic Language Algol 68</v>
      </c>
    </row>
    <row r="816" spans="1:9" x14ac:dyDescent="0.45">
      <c r="A816" t="s">
        <v>1168</v>
      </c>
      <c r="B816" t="str">
        <f t="shared" si="91"/>
        <v>2002</v>
      </c>
      <c r="C816" t="str">
        <f t="shared" si="92"/>
        <v>Prentice Hall</v>
      </c>
      <c r="D816" t="str">
        <f t="shared" si="93"/>
        <v>Kip R. Irvine</v>
      </c>
      <c r="E816" s="3" t="str">
        <f t="shared" si="94"/>
        <v/>
      </c>
      <c r="F816" t="str">
        <f t="shared" si="95"/>
        <v>.pdf</v>
      </c>
      <c r="G816">
        <f t="shared" si="96"/>
        <v>96</v>
      </c>
      <c r="H816" s="3">
        <f>LEN(Table1[[#This Row],[Auteur]])</f>
        <v>13</v>
      </c>
      <c r="I816" s="3" t="str">
        <f t="shared" si="98"/>
        <v>Assembly Language for Intel Based Computers</v>
      </c>
    </row>
    <row r="817" spans="1:9" x14ac:dyDescent="0.45">
      <c r="A817" t="s">
        <v>1169</v>
      </c>
      <c r="B817" t="str">
        <f t="shared" si="91"/>
        <v>2002</v>
      </c>
      <c r="C817" t="str">
        <f t="shared" si="92"/>
        <v>?</v>
      </c>
      <c r="D817" t="str">
        <f t="shared" si="93"/>
        <v>?</v>
      </c>
      <c r="E817" s="3" t="str">
        <f t="shared" si="94"/>
        <v/>
      </c>
      <c r="F817" t="str">
        <f t="shared" si="95"/>
        <v>.pdf</v>
      </c>
      <c r="G817">
        <f t="shared" si="96"/>
        <v>72</v>
      </c>
      <c r="H817" s="3">
        <f>LEN(Table1[[#This Row],[Auteur]])</f>
        <v>1</v>
      </c>
      <c r="I817" s="3" t="str">
        <f t="shared" si="98"/>
        <v>Assembly Language for Intel Based Computers</v>
      </c>
    </row>
    <row r="818" spans="1:9" x14ac:dyDescent="0.45">
      <c r="A818" t="s">
        <v>1170</v>
      </c>
      <c r="B818" t="str">
        <f t="shared" si="91"/>
        <v>2011</v>
      </c>
      <c r="C818" t="str">
        <f t="shared" si="92"/>
        <v>Prentice Hall</v>
      </c>
      <c r="D818" t="str">
        <f t="shared" si="93"/>
        <v>Kip R. Irvine</v>
      </c>
      <c r="E818" s="3" t="str">
        <f t="shared" si="94"/>
        <v/>
      </c>
      <c r="F818" t="str">
        <f t="shared" si="95"/>
        <v>.pdf</v>
      </c>
      <c r="G818">
        <f t="shared" si="96"/>
        <v>89</v>
      </c>
      <c r="H818" s="3">
        <f>LEN(Table1[[#This Row],[Auteur]])</f>
        <v>13</v>
      </c>
      <c r="I818" s="3" t="str">
        <f t="shared" si="98"/>
        <v>Assembly Language for x86 Processors</v>
      </c>
    </row>
    <row r="819" spans="1:9" x14ac:dyDescent="0.45">
      <c r="A819" t="s">
        <v>1171</v>
      </c>
      <c r="B819" t="str">
        <f t="shared" si="91"/>
        <v>2014</v>
      </c>
      <c r="C819" t="str">
        <f t="shared" si="92"/>
        <v>Prentice Hall</v>
      </c>
      <c r="D819" t="str">
        <f t="shared" si="93"/>
        <v>Kip R. Irvine</v>
      </c>
      <c r="E819" s="3" t="str">
        <f t="shared" si="94"/>
        <v/>
      </c>
      <c r="F819" s="3" t="str">
        <f t="shared" si="95"/>
        <v>.pdf</v>
      </c>
      <c r="G819" s="3">
        <f t="shared" si="96"/>
        <v>89</v>
      </c>
      <c r="H819" s="3">
        <f>LEN(Table1[[#This Row],[Auteur]])</f>
        <v>13</v>
      </c>
      <c r="I819" s="3" t="str">
        <f t="shared" si="98"/>
        <v>Assembly Language for x86 Processors</v>
      </c>
    </row>
    <row r="820" spans="1:9" x14ac:dyDescent="0.45">
      <c r="A820" t="s">
        <v>1172</v>
      </c>
      <c r="B820" t="str">
        <f t="shared" si="91"/>
        <v>2005</v>
      </c>
      <c r="C820" t="str">
        <f t="shared" si="92"/>
        <v>Springer</v>
      </c>
      <c r="D820" t="str">
        <f t="shared" si="93"/>
        <v>Sivarama P. Dandamudi</v>
      </c>
      <c r="E820" s="3" t="str">
        <f t="shared" si="94"/>
        <v/>
      </c>
      <c r="F820" s="3" t="str">
        <f t="shared" si="95"/>
        <v>.pdf</v>
      </c>
      <c r="G820">
        <f t="shared" si="96"/>
        <v>95</v>
      </c>
      <c r="H820" s="3">
        <f>LEN(Table1[[#This Row],[Auteur]])</f>
        <v>21</v>
      </c>
      <c r="I820" s="3" t="str">
        <f t="shared" si="98"/>
        <v>Guide to Assembly Language Programming in Linux</v>
      </c>
    </row>
    <row r="821" spans="1:9" x14ac:dyDescent="0.45">
      <c r="A821" t="s">
        <v>1173</v>
      </c>
      <c r="B821" t="str">
        <f t="shared" si="91"/>
        <v>2003</v>
      </c>
      <c r="C821" t="str">
        <f t="shared" si="92"/>
        <v>?</v>
      </c>
      <c r="D821" t="str">
        <f t="shared" si="93"/>
        <v>Roger Jegerlehner</v>
      </c>
      <c r="E821" s="3" t="str">
        <f t="shared" si="94"/>
        <v/>
      </c>
      <c r="F821" s="3" t="str">
        <f t="shared" si="95"/>
        <v>.pdf</v>
      </c>
      <c r="G821" s="3">
        <f t="shared" si="96"/>
        <v>47</v>
      </c>
      <c r="H821" s="3">
        <f>LEN(Table1[[#This Row],[Auteur]])</f>
        <v>17</v>
      </c>
      <c r="I821" s="3" t="str">
        <f t="shared" si="98"/>
        <v>Intel Code Table</v>
      </c>
    </row>
    <row r="822" spans="1:9" x14ac:dyDescent="0.45">
      <c r="A822" t="s">
        <v>1183</v>
      </c>
      <c r="B822" t="str">
        <f t="shared" si="91"/>
        <v>2013</v>
      </c>
      <c r="C822" t="str">
        <f t="shared" si="92"/>
        <v>?</v>
      </c>
      <c r="D822" t="str">
        <f t="shared" si="93"/>
        <v>Jean-Michel Gonet</v>
      </c>
      <c r="E822" s="3" t="str">
        <f t="shared" si="94"/>
        <v/>
      </c>
      <c r="F822" t="str">
        <f t="shared" si="95"/>
        <v>.pdf</v>
      </c>
      <c r="G822">
        <f t="shared" si="96"/>
        <v>51</v>
      </c>
      <c r="H822" s="3">
        <f>LEN(Table1[[#This Row],[Auteur]])</f>
        <v>17</v>
      </c>
      <c r="I822" s="3" t="str">
        <f t="shared" si="98"/>
        <v>Introduction au 8051</v>
      </c>
    </row>
    <row r="823" spans="1:9" x14ac:dyDescent="0.45">
      <c r="A823" t="s">
        <v>1184</v>
      </c>
      <c r="B823" t="str">
        <f t="shared" si="91"/>
        <v>2011</v>
      </c>
      <c r="C823" t="str">
        <f t="shared" si="92"/>
        <v>?</v>
      </c>
      <c r="D823" t="str">
        <f t="shared" si="93"/>
        <v>Ray Seyfarth</v>
      </c>
      <c r="E823" s="3" t="str">
        <f t="shared" si="94"/>
        <v/>
      </c>
      <c r="F823" s="3" t="str">
        <f t="shared" si="95"/>
        <v>.pdf</v>
      </c>
      <c r="G823">
        <f t="shared" si="96"/>
        <v>94</v>
      </c>
      <c r="H823" s="3">
        <f>LEN(Table1[[#This Row],[Auteur]])</f>
        <v>12</v>
      </c>
      <c r="I823" s="3" t="str">
        <f t="shared" si="98"/>
        <v>Introduction to 64-bit Intel Assembly Language Programming for Linux</v>
      </c>
    </row>
    <row r="824" spans="1:9" x14ac:dyDescent="0.45">
      <c r="A824" t="s">
        <v>1185</v>
      </c>
      <c r="B824" t="str">
        <f t="shared" si="91"/>
        <v>2000</v>
      </c>
      <c r="C824" t="str">
        <f t="shared" si="92"/>
        <v>Prentice Hall</v>
      </c>
      <c r="D824" t="str">
        <f t="shared" si="93"/>
        <v>Bob Neveln</v>
      </c>
      <c r="E824" s="3" t="str">
        <f t="shared" si="94"/>
        <v/>
      </c>
      <c r="F824" s="3" t="str">
        <f t="shared" si="95"/>
        <v>.pdf</v>
      </c>
      <c r="G824">
        <f t="shared" si="96"/>
        <v>77</v>
      </c>
      <c r="H824" s="3">
        <f>LEN(Table1[[#This Row],[Auteur]])</f>
        <v>10</v>
      </c>
      <c r="I824" s="3" t="str">
        <f t="shared" si="98"/>
        <v>Linux Assembly Language Programming</v>
      </c>
    </row>
    <row r="825" spans="1:9" x14ac:dyDescent="0.45">
      <c r="A825" t="s">
        <v>1186</v>
      </c>
      <c r="B825" t="str">
        <f t="shared" si="91"/>
        <v>2003</v>
      </c>
      <c r="C825" t="str">
        <f t="shared" si="92"/>
        <v>?</v>
      </c>
      <c r="D825" t="str">
        <f t="shared" si="93"/>
        <v>Robert Britton</v>
      </c>
      <c r="E825" s="3" t="str">
        <f t="shared" si="94"/>
        <v/>
      </c>
      <c r="F825" s="3" t="str">
        <f t="shared" si="95"/>
        <v>.pdf</v>
      </c>
      <c r="G825">
        <f t="shared" si="96"/>
        <v>62</v>
      </c>
      <c r="H825" s="3">
        <f>LEN(Table1[[#This Row],[Auteur]])</f>
        <v>14</v>
      </c>
      <c r="I825" s="3" t="str">
        <f t="shared" si="98"/>
        <v>MIPS Assembly Language Programming</v>
      </c>
    </row>
    <row r="826" spans="1:9" x14ac:dyDescent="0.45">
      <c r="A826" t="s">
        <v>1187</v>
      </c>
      <c r="B826" t="str">
        <f t="shared" si="91"/>
        <v>1994</v>
      </c>
      <c r="C826" t="str">
        <f t="shared" si="92"/>
        <v>MIPS Technologies</v>
      </c>
      <c r="D826" t="str">
        <f t="shared" si="93"/>
        <v>Joe Heinrich</v>
      </c>
      <c r="E826" s="3" t="str">
        <f t="shared" si="94"/>
        <v/>
      </c>
      <c r="F826" t="str">
        <f t="shared" si="95"/>
        <v>.pdf</v>
      </c>
      <c r="G826">
        <f t="shared" si="96"/>
        <v>95</v>
      </c>
      <c r="H826" s="3">
        <f>LEN(Table1[[#This Row],[Auteur]])</f>
        <v>12</v>
      </c>
      <c r="I826" s="3" t="str">
        <f t="shared" si="98"/>
        <v>MIPS R4000 Microprocessor User's Manual</v>
      </c>
    </row>
    <row r="827" spans="1:9" x14ac:dyDescent="0.45">
      <c r="A827" t="s">
        <v>1188</v>
      </c>
      <c r="B827" t="str">
        <f t="shared" si="91"/>
        <v>2009</v>
      </c>
      <c r="C827" t="str">
        <f t="shared" si="92"/>
        <v>Elsevier</v>
      </c>
      <c r="D827" t="str">
        <f t="shared" si="93"/>
        <v>?</v>
      </c>
      <c r="E827" s="3" t="str">
        <f t="shared" si="94"/>
        <v/>
      </c>
      <c r="F827" t="str">
        <f t="shared" si="95"/>
        <v>.pdf</v>
      </c>
      <c r="G827">
        <f t="shared" si="96"/>
        <v>38</v>
      </c>
      <c r="H827" s="3">
        <f>LEN(Table1[[#This Row],[Auteur]])</f>
        <v>1</v>
      </c>
      <c r="I827" s="3" t="str">
        <f t="shared" si="98"/>
        <v>MIPS Reference</v>
      </c>
    </row>
    <row r="828" spans="1:9" x14ac:dyDescent="0.45">
      <c r="A828" t="s">
        <v>1189</v>
      </c>
      <c r="B828" t="str">
        <f t="shared" si="91"/>
        <v>2014</v>
      </c>
      <c r="C828" t="str">
        <f t="shared" si="92"/>
        <v>Apress</v>
      </c>
      <c r="D828" t="str">
        <f t="shared" si="93"/>
        <v>Daniel Kusswurm</v>
      </c>
      <c r="E828" s="3" t="str">
        <f t="shared" si="94"/>
        <v/>
      </c>
      <c r="F828" s="3" t="str">
        <f t="shared" si="95"/>
        <v>.pdf</v>
      </c>
      <c r="G828">
        <f t="shared" si="96"/>
        <v>109</v>
      </c>
      <c r="H828" s="3">
        <f>LEN(Table1[[#This Row],[Auteur]])</f>
        <v>15</v>
      </c>
      <c r="I828" s="3" t="str">
        <f t="shared" si="98"/>
        <v>Modern x86 Assembly Language Programming, 32-bit, 64-bit, SSE and AVX</v>
      </c>
    </row>
    <row r="829" spans="1:9" x14ac:dyDescent="0.45">
      <c r="A829" t="s">
        <v>1190</v>
      </c>
      <c r="B829" t="str">
        <f t="shared" si="91"/>
        <v>2006</v>
      </c>
      <c r="C829" t="str">
        <f t="shared" si="92"/>
        <v>?</v>
      </c>
      <c r="D829" t="str">
        <f t="shared" si="93"/>
        <v>Paul Carter</v>
      </c>
      <c r="E829" s="3" t="str">
        <f t="shared" si="94"/>
        <v/>
      </c>
      <c r="F829" t="str">
        <f t="shared" si="95"/>
        <v>.pdf</v>
      </c>
      <c r="G829">
        <f t="shared" si="96"/>
        <v>53</v>
      </c>
      <c r="H829" s="3">
        <f>LEN(Table1[[#This Row],[Auteur]])</f>
        <v>11</v>
      </c>
      <c r="I829" s="3" t="str">
        <f t="shared" si="98"/>
        <v>PC Assembly Language</v>
      </c>
    </row>
    <row r="830" spans="1:9" x14ac:dyDescent="0.45">
      <c r="A830" t="s">
        <v>1191</v>
      </c>
      <c r="B830" t="str">
        <f t="shared" si="91"/>
        <v>2005</v>
      </c>
      <c r="C830" t="str">
        <f t="shared" si="92"/>
        <v>Wiley</v>
      </c>
      <c r="D830" t="str">
        <f t="shared" si="93"/>
        <v>Richard Blum</v>
      </c>
      <c r="E830" s="3" t="str">
        <f t="shared" si="94"/>
        <v/>
      </c>
      <c r="F830" t="str">
        <f t="shared" si="95"/>
        <v>.pdf</v>
      </c>
      <c r="G830">
        <f t="shared" si="96"/>
        <v>66</v>
      </c>
      <c r="H830" s="3">
        <f>LEN(Table1[[#This Row],[Auteur]])</f>
        <v>12</v>
      </c>
      <c r="I830" s="3" t="str">
        <f t="shared" si="98"/>
        <v>Professional Assembly Language</v>
      </c>
    </row>
    <row r="831" spans="1:9" x14ac:dyDescent="0.45">
      <c r="A831" t="s">
        <v>2057</v>
      </c>
      <c r="B831" t="str">
        <f t="shared" si="91"/>
        <v>2005</v>
      </c>
      <c r="C831" t="str">
        <f t="shared" si="92"/>
        <v>?</v>
      </c>
      <c r="D831" t="str">
        <f t="shared" si="93"/>
        <v>?</v>
      </c>
      <c r="E831" s="3" t="str">
        <f t="shared" si="94"/>
        <v/>
      </c>
      <c r="F831" t="str">
        <f t="shared" si="95"/>
        <v>.rar</v>
      </c>
      <c r="G831">
        <f t="shared" si="96"/>
        <v>47</v>
      </c>
      <c r="H831" s="3">
        <f>LEN(Table1[[#This Row],[Auteur]])</f>
        <v>1</v>
      </c>
      <c r="I831" s="3" t="str">
        <f t="shared" si="98"/>
        <v>Professional Assembly Language</v>
      </c>
    </row>
    <row r="832" spans="1:9" x14ac:dyDescent="0.45">
      <c r="A832" t="s">
        <v>1192</v>
      </c>
      <c r="B832" t="str">
        <f t="shared" si="91"/>
        <v>1985</v>
      </c>
      <c r="C832" t="str">
        <f t="shared" si="92"/>
        <v>Éditests</v>
      </c>
      <c r="D832" t="str">
        <f t="shared" si="93"/>
        <v>Frank Brown</v>
      </c>
      <c r="E832" s="3" t="str">
        <f t="shared" si="94"/>
        <v>Scan</v>
      </c>
      <c r="F832" t="str">
        <f t="shared" si="95"/>
        <v>.pdf</v>
      </c>
      <c r="G832">
        <f t="shared" si="96"/>
        <v>81</v>
      </c>
      <c r="H832" s="3">
        <f>LEN(Table1[[#This Row],[Auteur]])</f>
        <v>11</v>
      </c>
      <c r="I832" s="3" t="str">
        <f t="shared" si="98"/>
        <v>Programmation en assembleur du 68000</v>
      </c>
    </row>
    <row r="833" spans="1:9" x14ac:dyDescent="0.45">
      <c r="A833" t="s">
        <v>1193</v>
      </c>
      <c r="B833" t="str">
        <f t="shared" si="91"/>
        <v>1980</v>
      </c>
      <c r="C833" t="str">
        <f t="shared" si="92"/>
        <v>Sybex</v>
      </c>
      <c r="D833" t="str">
        <f t="shared" si="93"/>
        <v>Rodnay Zaks</v>
      </c>
      <c r="E833" s="3" t="str">
        <f t="shared" si="94"/>
        <v/>
      </c>
      <c r="F833" t="str">
        <f t="shared" si="95"/>
        <v>.pdf</v>
      </c>
      <c r="G833">
        <f t="shared" si="96"/>
        <v>63</v>
      </c>
      <c r="H833" s="3">
        <f>LEN(Table1[[#This Row],[Auteur]])</f>
        <v>11</v>
      </c>
      <c r="I833" s="3" t="str">
        <f t="shared" si="98"/>
        <v>Programming the Z-80</v>
      </c>
    </row>
    <row r="834" spans="1:9" x14ac:dyDescent="0.45">
      <c r="A834" t="s">
        <v>1935</v>
      </c>
      <c r="B834" t="str">
        <f t="shared" ref="B834:B897" si="99">DatePub(A834)</f>
        <v>1983</v>
      </c>
      <c r="C834" t="str">
        <f t="shared" ref="C834:C897" si="100">Editeur(A834)</f>
        <v>Pearson</v>
      </c>
      <c r="D834" t="str">
        <f t="shared" ref="D834:D897" si="101">Auteur(A834)</f>
        <v>M.A. Mazidi, J.G. Mazidi</v>
      </c>
      <c r="E834" s="3" t="str">
        <f t="shared" ref="E834:E897" si="102">ExtraInfo(A834)</f>
        <v>Scan</v>
      </c>
      <c r="F834" t="str">
        <f t="shared" ref="F834:F897" si="103">Extension(A834)</f>
        <v>.pdf</v>
      </c>
      <c r="G834">
        <f t="shared" ref="G834:G897" si="104">LenFileName(A834)</f>
        <v>114</v>
      </c>
      <c r="H834" s="3">
        <f>LEN(Table1[[#This Row],[Auteur]])</f>
        <v>24</v>
      </c>
      <c r="I834" s="3" t="str">
        <f t="shared" ref="I834:I840" si="105">Title(A834)</f>
        <v>The 80x86 IBM PC and Compatible Computers Vol 1&amp;2</v>
      </c>
    </row>
    <row r="835" spans="1:9" x14ac:dyDescent="0.45">
      <c r="A835" t="s">
        <v>1194</v>
      </c>
      <c r="B835" t="str">
        <f t="shared" si="99"/>
        <v>2010</v>
      </c>
      <c r="C835" t="str">
        <f t="shared" si="100"/>
        <v>No Starch</v>
      </c>
      <c r="D835" t="str">
        <f t="shared" si="101"/>
        <v>Randall Hyde</v>
      </c>
      <c r="E835" s="3" t="str">
        <f t="shared" si="102"/>
        <v/>
      </c>
      <c r="F835" t="str">
        <f t="shared" si="103"/>
        <v>.pdf</v>
      </c>
      <c r="G835">
        <f t="shared" si="104"/>
        <v>76</v>
      </c>
      <c r="H835" s="3">
        <f>LEN(Table1[[#This Row],[Auteur]])</f>
        <v>12</v>
      </c>
      <c r="I835" s="3" t="str">
        <f t="shared" si="105"/>
        <v>The Art of Assembly Language</v>
      </c>
    </row>
    <row r="836" spans="1:9" x14ac:dyDescent="0.45">
      <c r="A836" t="s">
        <v>1195</v>
      </c>
      <c r="B836" t="str">
        <f t="shared" si="99"/>
        <v>2000</v>
      </c>
      <c r="C836" t="str">
        <f t="shared" si="100"/>
        <v>?</v>
      </c>
      <c r="D836" t="str">
        <f t="shared" si="101"/>
        <v>?</v>
      </c>
      <c r="E836" s="3" t="str">
        <f t="shared" si="102"/>
        <v/>
      </c>
      <c r="F836" t="str">
        <f t="shared" si="103"/>
        <v>.pdf</v>
      </c>
      <c r="G836">
        <f t="shared" si="104"/>
        <v>47</v>
      </c>
      <c r="H836" s="3">
        <f>LEN(Table1[[#This Row],[Auteur]])</f>
        <v>1</v>
      </c>
      <c r="I836" s="3" t="str">
        <f t="shared" si="105"/>
        <v>The Art of Assembly Language</v>
      </c>
    </row>
    <row r="837" spans="1:9" x14ac:dyDescent="0.45">
      <c r="A837" t="s">
        <v>1196</v>
      </c>
      <c r="B837" t="str">
        <f t="shared" si="99"/>
        <v>2008</v>
      </c>
      <c r="C837" t="str">
        <f t="shared" si="100"/>
        <v>No Starch</v>
      </c>
      <c r="D837" t="str">
        <f t="shared" si="101"/>
        <v>Chris Eagle</v>
      </c>
      <c r="E837" s="3" t="str">
        <f t="shared" si="102"/>
        <v>Scan</v>
      </c>
      <c r="F837" t="str">
        <f t="shared" si="103"/>
        <v>.pdf</v>
      </c>
      <c r="G837">
        <f t="shared" si="104"/>
        <v>84</v>
      </c>
      <c r="H837" s="3">
        <f>LEN(Table1[[#This Row],[Auteur]])</f>
        <v>11</v>
      </c>
      <c r="I837" s="3" t="str">
        <f t="shared" si="105"/>
        <v>The IDA Pro Book, The Unofficial Guide</v>
      </c>
    </row>
    <row r="838" spans="1:9" x14ac:dyDescent="0.45">
      <c r="A838" t="s">
        <v>1197</v>
      </c>
      <c r="B838" t="str">
        <f t="shared" si="99"/>
        <v>1982</v>
      </c>
      <c r="C838" t="str">
        <f t="shared" si="100"/>
        <v>Datamost</v>
      </c>
      <c r="D838" t="str">
        <f t="shared" si="101"/>
        <v>Randy Hyde</v>
      </c>
      <c r="E838" s="3" t="str">
        <f t="shared" si="102"/>
        <v/>
      </c>
      <c r="F838" t="str">
        <f t="shared" si="103"/>
        <v>.pdf</v>
      </c>
      <c r="G838">
        <f t="shared" si="104"/>
        <v>73</v>
      </c>
      <c r="H838" s="3">
        <f>LEN(Table1[[#This Row],[Auteur]])</f>
        <v>10</v>
      </c>
      <c r="I838" s="3" t="str">
        <f t="shared" si="105"/>
        <v>Using 6502 Assembly Language</v>
      </c>
    </row>
    <row r="839" spans="1:9" x14ac:dyDescent="0.45">
      <c r="A839" t="s">
        <v>1936</v>
      </c>
      <c r="B839" t="str">
        <f t="shared" si="99"/>
        <v>1997</v>
      </c>
      <c r="C839" t="str">
        <f t="shared" si="100"/>
        <v>R&amp;D Books</v>
      </c>
      <c r="D839" t="str">
        <f t="shared" si="101"/>
        <v>Barry Kauler</v>
      </c>
      <c r="E839" s="3" t="str">
        <f t="shared" si="102"/>
        <v>Scan</v>
      </c>
      <c r="F839" t="str">
        <f t="shared" si="103"/>
        <v>.pdf</v>
      </c>
      <c r="G839">
        <f t="shared" si="104"/>
        <v>104</v>
      </c>
      <c r="H839" s="3">
        <f>LEN(Table1[[#This Row],[Auteur]])</f>
        <v>12</v>
      </c>
      <c r="I839" s="3" t="str">
        <f t="shared" si="105"/>
        <v>Windows Assembly Language and Systems Programming</v>
      </c>
    </row>
    <row r="840" spans="1:9" x14ac:dyDescent="0.45">
      <c r="A840" t="s">
        <v>1198</v>
      </c>
      <c r="B840" t="str">
        <f t="shared" si="99"/>
        <v>2006</v>
      </c>
      <c r="C840" t="str">
        <f t="shared" si="100"/>
        <v>No Starch</v>
      </c>
      <c r="D840" t="str">
        <f t="shared" si="101"/>
        <v>Randall Hyde</v>
      </c>
      <c r="E840" s="3" t="str">
        <f t="shared" si="102"/>
        <v/>
      </c>
      <c r="F840" t="str">
        <f t="shared" si="103"/>
        <v>.pdf</v>
      </c>
      <c r="G840">
        <f t="shared" si="104"/>
        <v>107</v>
      </c>
      <c r="H840" s="3">
        <f>LEN(Table1[[#This Row],[Auteur]])</f>
        <v>12</v>
      </c>
      <c r="I840" s="3" t="str">
        <f t="shared" si="105"/>
        <v>Write Great Code, Volume II, Thinking Low-Level, Writing High-Level</v>
      </c>
    </row>
    <row r="841" spans="1:9" hidden="1" x14ac:dyDescent="0.45">
      <c r="A841" t="s">
        <v>1199</v>
      </c>
      <c r="B841" t="str">
        <f t="shared" si="99"/>
        <v>2013</v>
      </c>
      <c r="C841" t="str">
        <f t="shared" si="100"/>
        <v>CRC Press</v>
      </c>
      <c r="D841" t="str">
        <f t="shared" si="101"/>
        <v>Joseph Cavanagh</v>
      </c>
      <c r="E841" s="3" t="str">
        <f t="shared" si="102"/>
        <v/>
      </c>
      <c r="F841" t="str">
        <f t="shared" si="103"/>
        <v>.pdf</v>
      </c>
      <c r="G841">
        <f t="shared" si="104"/>
        <v>83</v>
      </c>
      <c r="H841" s="3">
        <f>LEN(Table1[[#This Row],[Auteur]])</f>
        <v>15</v>
      </c>
      <c r="I841" s="3" t="str">
        <f t="shared" ref="I841:I897" si="106">Title(A841)</f>
        <v>X86 Assembly Language and C Fundamentals</v>
      </c>
    </row>
    <row r="842" spans="1:9" x14ac:dyDescent="0.45">
      <c r="A842" t="s">
        <v>1162</v>
      </c>
      <c r="B842" t="str">
        <f t="shared" si="99"/>
        <v>?</v>
      </c>
      <c r="C842" t="str">
        <f t="shared" si="100"/>
        <v>?</v>
      </c>
      <c r="D842" t="str">
        <f t="shared" si="101"/>
        <v>ARM University</v>
      </c>
      <c r="E842" s="3" t="str">
        <f t="shared" si="102"/>
        <v>Presentation</v>
      </c>
      <c r="F842" t="str">
        <f t="shared" si="103"/>
        <v>.pdf</v>
      </c>
      <c r="G842">
        <f t="shared" si="104"/>
        <v>55</v>
      </c>
      <c r="H842" s="3">
        <f>LEN(Table1[[#This Row],[Auteur]])</f>
        <v>14</v>
      </c>
      <c r="I842" s="3" t="str">
        <f t="shared" si="106"/>
        <v>ARM instruction set</v>
      </c>
    </row>
    <row r="843" spans="1:9" x14ac:dyDescent="0.45">
      <c r="A843" t="s">
        <v>1163</v>
      </c>
      <c r="B843" t="str">
        <f t="shared" si="99"/>
        <v>2005</v>
      </c>
      <c r="C843" t="str">
        <f t="shared" si="100"/>
        <v>ARM</v>
      </c>
      <c r="D843" t="str">
        <f t="shared" si="101"/>
        <v>?</v>
      </c>
      <c r="E843" s="3" t="str">
        <f t="shared" si="102"/>
        <v/>
      </c>
      <c r="F843" s="3" t="str">
        <f t="shared" si="103"/>
        <v>.pdf</v>
      </c>
      <c r="G843">
        <f t="shared" si="104"/>
        <v>55</v>
      </c>
      <c r="H843" s="3">
        <f>LEN(Table1[[#This Row],[Auteur]])</f>
        <v>1</v>
      </c>
      <c r="I843" s="3" t="str">
        <f t="shared" si="106"/>
        <v>ARM v5 Architecture Reference Manual</v>
      </c>
    </row>
    <row r="844" spans="1:9" x14ac:dyDescent="0.45">
      <c r="A844" t="s">
        <v>1164</v>
      </c>
      <c r="B844" t="str">
        <f t="shared" si="99"/>
        <v>2010</v>
      </c>
      <c r="C844" t="str">
        <f t="shared" si="100"/>
        <v>ARM</v>
      </c>
      <c r="D844" t="str">
        <f t="shared" si="101"/>
        <v>?</v>
      </c>
      <c r="E844" s="3" t="str">
        <f t="shared" si="102"/>
        <v/>
      </c>
      <c r="F844" t="str">
        <f t="shared" si="103"/>
        <v>.pdf</v>
      </c>
      <c r="G844">
        <f t="shared" si="104"/>
        <v>57</v>
      </c>
      <c r="H844" s="3">
        <f>LEN(Table1[[#This Row],[Auteur]])</f>
        <v>1</v>
      </c>
      <c r="I844" s="3" t="str">
        <f t="shared" si="106"/>
        <v>ARM v6-M Architecture Reference Manual</v>
      </c>
    </row>
    <row r="845" spans="1:9" x14ac:dyDescent="0.45">
      <c r="A845" t="s">
        <v>1165</v>
      </c>
      <c r="B845" t="str">
        <f t="shared" si="99"/>
        <v>2014</v>
      </c>
      <c r="C845" t="str">
        <f t="shared" si="100"/>
        <v>ARM</v>
      </c>
      <c r="D845" t="str">
        <f t="shared" si="101"/>
        <v>?</v>
      </c>
      <c r="E845" s="3" t="str">
        <f t="shared" si="102"/>
        <v/>
      </c>
      <c r="F845" t="str">
        <f t="shared" si="103"/>
        <v>.pdf</v>
      </c>
      <c r="G845">
        <f t="shared" si="104"/>
        <v>58</v>
      </c>
      <c r="H845" s="3">
        <f>LEN(Table1[[#This Row],[Auteur]])</f>
        <v>1</v>
      </c>
      <c r="I845" s="3" t="str">
        <f t="shared" si="106"/>
        <v>ARM v7-AR Architecture Reference Manual</v>
      </c>
    </row>
    <row r="846" spans="1:9" x14ac:dyDescent="0.45">
      <c r="A846" t="s">
        <v>1166</v>
      </c>
      <c r="B846" t="str">
        <f t="shared" si="99"/>
        <v>2014</v>
      </c>
      <c r="C846" t="str">
        <f t="shared" si="100"/>
        <v>ARM</v>
      </c>
      <c r="D846" t="str">
        <f t="shared" si="101"/>
        <v>?</v>
      </c>
      <c r="E846" s="3" t="str">
        <f t="shared" si="102"/>
        <v/>
      </c>
      <c r="F846" s="3" t="str">
        <f t="shared" si="103"/>
        <v>.pdf</v>
      </c>
      <c r="G846" s="3">
        <f t="shared" si="104"/>
        <v>57</v>
      </c>
      <c r="H846" s="3">
        <f>LEN(Table1[[#This Row],[Auteur]])</f>
        <v>1</v>
      </c>
      <c r="I846" s="3" t="str">
        <f t="shared" si="106"/>
        <v>ARM v7-M Architecture Reference Manual</v>
      </c>
    </row>
    <row r="847" spans="1:9" x14ac:dyDescent="0.45">
      <c r="A847" t="s">
        <v>1167</v>
      </c>
      <c r="B847" t="str">
        <f t="shared" si="99"/>
        <v>2016</v>
      </c>
      <c r="C847" t="str">
        <f t="shared" si="100"/>
        <v>ARM</v>
      </c>
      <c r="D847" t="str">
        <f t="shared" si="101"/>
        <v>?</v>
      </c>
      <c r="E847" s="3" t="str">
        <f t="shared" si="102"/>
        <v/>
      </c>
      <c r="F847" s="3" t="str">
        <f t="shared" si="103"/>
        <v>.pdf</v>
      </c>
      <c r="G847">
        <f t="shared" si="104"/>
        <v>57</v>
      </c>
      <c r="H847" s="3">
        <f>LEN(Table1[[#This Row],[Auteur]])</f>
        <v>1</v>
      </c>
      <c r="I847" s="3" t="str">
        <f t="shared" si="106"/>
        <v>ARM v8-A Architecture Reference Manual</v>
      </c>
    </row>
    <row r="848" spans="1:9" hidden="1" x14ac:dyDescent="0.45">
      <c r="A848" t="s">
        <v>1174</v>
      </c>
      <c r="B848" t="str">
        <f t="shared" si="99"/>
        <v>2008</v>
      </c>
      <c r="C848" t="str">
        <f t="shared" si="100"/>
        <v>Intel</v>
      </c>
      <c r="D848" t="str">
        <f t="shared" si="101"/>
        <v>?</v>
      </c>
      <c r="E848" s="3" t="str">
        <f t="shared" si="102"/>
        <v/>
      </c>
      <c r="F848" s="3" t="str">
        <f t="shared" si="103"/>
        <v>.pdf</v>
      </c>
      <c r="G848" s="3">
        <f t="shared" si="104"/>
        <v>123</v>
      </c>
      <c r="H848" s="3">
        <f>LEN(Table1[[#This Row],[Auteur]])</f>
        <v>1</v>
      </c>
      <c r="I848" s="3" t="str">
        <f t="shared" si="106"/>
        <v>Intel 64 and IA-32 Architectures Application Note TLBs, Paging structure Caches and their Invalidation</v>
      </c>
    </row>
    <row r="849" spans="1:9" x14ac:dyDescent="0.45">
      <c r="A849" t="s">
        <v>1175</v>
      </c>
      <c r="B849" t="str">
        <f t="shared" si="99"/>
        <v>2007</v>
      </c>
      <c r="C849" t="str">
        <f t="shared" si="100"/>
        <v>Intel</v>
      </c>
      <c r="D849" t="str">
        <f t="shared" si="101"/>
        <v>?</v>
      </c>
      <c r="E849" s="3" t="str">
        <f t="shared" si="102"/>
        <v/>
      </c>
      <c r="F849" t="str">
        <f t="shared" si="103"/>
        <v>.pdf</v>
      </c>
      <c r="G849">
        <f t="shared" si="104"/>
        <v>83</v>
      </c>
      <c r="H849" s="3">
        <f>LEN(Table1[[#This Row],[Auteur]])</f>
        <v>1</v>
      </c>
      <c r="I849" s="3" t="str">
        <f t="shared" si="106"/>
        <v>Intel 64 and IA-32 Architectures Optimization Reference Manual</v>
      </c>
    </row>
    <row r="850" spans="1:9" x14ac:dyDescent="0.45">
      <c r="A850" t="s">
        <v>1176</v>
      </c>
      <c r="B850" t="str">
        <f t="shared" si="99"/>
        <v>2009</v>
      </c>
      <c r="C850" t="str">
        <f t="shared" si="100"/>
        <v>Intel</v>
      </c>
      <c r="D850" t="str">
        <f t="shared" si="101"/>
        <v>?</v>
      </c>
      <c r="E850" s="3" t="str">
        <f t="shared" si="102"/>
        <v/>
      </c>
      <c r="F850" t="str">
        <f t="shared" si="103"/>
        <v>.pdf</v>
      </c>
      <c r="G850">
        <f t="shared" si="104"/>
        <v>110</v>
      </c>
      <c r="H850" s="3">
        <f>LEN(Table1[[#This Row],[Auteur]])</f>
        <v>1</v>
      </c>
      <c r="I850" s="3" t="str">
        <f t="shared" si="106"/>
        <v>Intel 64 and IA-32 Architectures Software Developer's Manual Volume 1, Basic Architecture</v>
      </c>
    </row>
    <row r="851" spans="1:9" x14ac:dyDescent="0.45">
      <c r="A851" t="s">
        <v>1177</v>
      </c>
      <c r="B851" t="str">
        <f t="shared" si="99"/>
        <v>2009</v>
      </c>
      <c r="C851" t="str">
        <f t="shared" si="100"/>
        <v>Intel</v>
      </c>
      <c r="D851" t="str">
        <f t="shared" si="101"/>
        <v>?</v>
      </c>
      <c r="E851" s="3" t="str">
        <f t="shared" si="102"/>
        <v/>
      </c>
      <c r="F851" s="3" t="str">
        <f t="shared" si="103"/>
        <v>.pdf</v>
      </c>
      <c r="G851">
        <f t="shared" si="104"/>
        <v>123</v>
      </c>
      <c r="H851" s="3">
        <f>LEN(Table1[[#This Row],[Auteur]])</f>
        <v>1</v>
      </c>
      <c r="I851" s="3" t="str">
        <f t="shared" si="106"/>
        <v>Intel 64 and IA-32 Architectures Software Developer's Manual Volume 2A, Instruction Set Reference, A-M</v>
      </c>
    </row>
    <row r="852" spans="1:9" x14ac:dyDescent="0.45">
      <c r="A852" t="s">
        <v>1178</v>
      </c>
      <c r="B852" t="str">
        <f t="shared" si="99"/>
        <v>2009</v>
      </c>
      <c r="C852" t="str">
        <f t="shared" si="100"/>
        <v>Intel</v>
      </c>
      <c r="D852" t="str">
        <f t="shared" si="101"/>
        <v>?</v>
      </c>
      <c r="E852" s="3" t="str">
        <f t="shared" si="102"/>
        <v/>
      </c>
      <c r="F852" t="str">
        <f t="shared" si="103"/>
        <v>.pdf</v>
      </c>
      <c r="G852">
        <f t="shared" si="104"/>
        <v>123</v>
      </c>
      <c r="H852" s="3">
        <f>LEN(Table1[[#This Row],[Auteur]])</f>
        <v>1</v>
      </c>
      <c r="I852" s="3" t="str">
        <f t="shared" si="106"/>
        <v>Intel 64 and IA-32 Architectures Software Developer's Manual Volume 2B, Instruction Set Reference, N-Z</v>
      </c>
    </row>
    <row r="853" spans="1:9" x14ac:dyDescent="0.45">
      <c r="A853" t="s">
        <v>1179</v>
      </c>
      <c r="B853" t="str">
        <f t="shared" si="99"/>
        <v>2009</v>
      </c>
      <c r="C853" t="str">
        <f t="shared" si="100"/>
        <v>Intel</v>
      </c>
      <c r="D853" t="str">
        <f t="shared" si="101"/>
        <v>?</v>
      </c>
      <c r="E853" s="3" t="str">
        <f t="shared" si="102"/>
        <v/>
      </c>
      <c r="F853" t="str">
        <f t="shared" si="103"/>
        <v>.pdf</v>
      </c>
      <c r="G853">
        <f t="shared" si="104"/>
        <v>125</v>
      </c>
      <c r="H853" s="3">
        <f>LEN(Table1[[#This Row],[Auteur]])</f>
        <v>1</v>
      </c>
      <c r="I853" s="3" t="str">
        <f t="shared" si="106"/>
        <v>Intel 64 and IA-32 Architectures Software Developer's Manual Volume 3A, System Programming Guide, Part 1</v>
      </c>
    </row>
    <row r="854" spans="1:9" x14ac:dyDescent="0.45">
      <c r="A854" t="s">
        <v>1180</v>
      </c>
      <c r="B854" t="str">
        <f t="shared" si="99"/>
        <v>2009</v>
      </c>
      <c r="C854" t="str">
        <f t="shared" si="100"/>
        <v>Intel</v>
      </c>
      <c r="D854" t="str">
        <f t="shared" si="101"/>
        <v>?</v>
      </c>
      <c r="E854" s="3" t="str">
        <f t="shared" si="102"/>
        <v/>
      </c>
      <c r="F854" s="3" t="str">
        <f t="shared" si="103"/>
        <v>.pdf</v>
      </c>
      <c r="G854">
        <f t="shared" si="104"/>
        <v>125</v>
      </c>
      <c r="H854" s="3">
        <f>LEN(Table1[[#This Row],[Auteur]])</f>
        <v>1</v>
      </c>
      <c r="I854" s="3" t="str">
        <f t="shared" si="106"/>
        <v>Intel 64 and IA-32 Architectures Software Developer's Manual Volume 3B, System Programming Guide, Part 2</v>
      </c>
    </row>
    <row r="855" spans="1:9" x14ac:dyDescent="0.45">
      <c r="A855" t="s">
        <v>1181</v>
      </c>
      <c r="B855" t="str">
        <f t="shared" si="99"/>
        <v>2008</v>
      </c>
      <c r="C855" t="str">
        <f t="shared" si="100"/>
        <v>Intel</v>
      </c>
      <c r="D855" t="str">
        <f t="shared" si="101"/>
        <v>?</v>
      </c>
      <c r="E855" s="3" t="str">
        <f t="shared" si="102"/>
        <v/>
      </c>
      <c r="F855" t="str">
        <f t="shared" si="103"/>
        <v>.pdf</v>
      </c>
      <c r="G855">
        <f t="shared" si="104"/>
        <v>63</v>
      </c>
      <c r="H855" s="3">
        <f>LEN(Table1[[#This Row],[Auteur]])</f>
        <v>1</v>
      </c>
      <c r="I855" s="3" t="str">
        <f t="shared" si="106"/>
        <v>Intel 64 Architecture x2APIC Specification</v>
      </c>
    </row>
    <row r="856" spans="1:9" x14ac:dyDescent="0.45">
      <c r="A856" t="s">
        <v>1182</v>
      </c>
      <c r="B856" t="str">
        <f t="shared" si="99"/>
        <v>2007</v>
      </c>
      <c r="C856" t="str">
        <f t="shared" si="100"/>
        <v>Intel</v>
      </c>
      <c r="D856" t="str">
        <f t="shared" si="101"/>
        <v>?</v>
      </c>
      <c r="E856" s="3" t="str">
        <f t="shared" si="102"/>
        <v/>
      </c>
      <c r="F856" t="str">
        <f t="shared" si="103"/>
        <v>.pdf</v>
      </c>
      <c r="G856">
        <f t="shared" si="104"/>
        <v>53</v>
      </c>
      <c r="H856" s="3">
        <f>LEN(Table1[[#This Row],[Auteur]])</f>
        <v>1</v>
      </c>
      <c r="I856" s="3" t="str">
        <f t="shared" si="106"/>
        <v>Intel SSE4 Programming Reference</v>
      </c>
    </row>
    <row r="857" spans="1:9" x14ac:dyDescent="0.45">
      <c r="A857" t="s">
        <v>1960</v>
      </c>
      <c r="B857" t="str">
        <f t="shared" si="99"/>
        <v>2010</v>
      </c>
      <c r="C857" t="str">
        <f t="shared" si="100"/>
        <v>Simple Talk</v>
      </c>
      <c r="D857" t="str">
        <f t="shared" si="101"/>
        <v>Glavich, Farrell</v>
      </c>
      <c r="E857" s="3" t="str">
        <f t="shared" si="102"/>
        <v/>
      </c>
      <c r="F857" t="str">
        <f t="shared" si="103"/>
        <v>.pdf</v>
      </c>
      <c r="G857">
        <f t="shared" si="104"/>
        <v>107</v>
      </c>
      <c r="H857" s="3">
        <f>LEN(Table1[[#This Row],[Auteur]])</f>
        <v>16</v>
      </c>
      <c r="I857" s="3" t="str">
        <f t="shared" si="106"/>
        <v>.NET Performance Testing and Optimization, The Complete Guide</v>
      </c>
    </row>
    <row r="858" spans="1:9" hidden="1" x14ac:dyDescent="0.45">
      <c r="A858" t="s">
        <v>1200</v>
      </c>
      <c r="B858" t="str">
        <f t="shared" si="99"/>
        <v>2012</v>
      </c>
      <c r="C858" t="str">
        <f t="shared" si="100"/>
        <v>Apress</v>
      </c>
      <c r="D858" t="str">
        <f t="shared" si="101"/>
        <v>Eric Gunnerson, Nick Wienholt</v>
      </c>
      <c r="E858" s="3" t="str">
        <f t="shared" si="102"/>
        <v/>
      </c>
      <c r="F858" t="str">
        <f t="shared" si="103"/>
        <v>.pdf</v>
      </c>
      <c r="G858">
        <f t="shared" si="104"/>
        <v>92</v>
      </c>
      <c r="H858" s="3">
        <f>LEN(Table1[[#This Row],[Auteur]])</f>
        <v>29</v>
      </c>
      <c r="I858" s="3" t="str">
        <f t="shared" si="106"/>
        <v>A Programmer's Guide to C# 5.0</v>
      </c>
    </row>
    <row r="859" spans="1:9" x14ac:dyDescent="0.45">
      <c r="A859" t="s">
        <v>1201</v>
      </c>
      <c r="B859" t="str">
        <f t="shared" si="99"/>
        <v>2010</v>
      </c>
      <c r="C859" t="str">
        <f t="shared" si="100"/>
        <v>Apress</v>
      </c>
      <c r="D859" t="str">
        <f t="shared" si="101"/>
        <v>Trey Nash</v>
      </c>
      <c r="E859" s="3" t="str">
        <f t="shared" si="102"/>
        <v/>
      </c>
      <c r="F859" t="str">
        <f t="shared" si="103"/>
        <v>.pdf</v>
      </c>
      <c r="G859">
        <f t="shared" si="104"/>
        <v>53</v>
      </c>
      <c r="H859" s="3">
        <f>LEN(Table1[[#This Row],[Auteur]])</f>
        <v>9</v>
      </c>
      <c r="I859" s="3" t="str">
        <f>Title(A859)</f>
        <v>Accelerated C# 2010</v>
      </c>
    </row>
    <row r="860" spans="1:9" hidden="1" x14ac:dyDescent="0.45">
      <c r="A860" t="s">
        <v>1202</v>
      </c>
      <c r="B860" t="str">
        <f t="shared" si="99"/>
        <v>2014</v>
      </c>
      <c r="C860" t="str">
        <f t="shared" si="100"/>
        <v>Microsoft Press</v>
      </c>
      <c r="D860" t="str">
        <f t="shared" si="101"/>
        <v>Gary McLean Hall</v>
      </c>
      <c r="E860" s="3" t="str">
        <f t="shared" si="102"/>
        <v/>
      </c>
      <c r="F860" s="3" t="str">
        <f t="shared" si="103"/>
        <v>.epub</v>
      </c>
      <c r="G860">
        <f t="shared" si="104"/>
        <v>71</v>
      </c>
      <c r="H860" s="3">
        <f>LEN(Table1[[#This Row],[Auteur]])</f>
        <v>16</v>
      </c>
      <c r="I860" s="3" t="str">
        <f t="shared" si="106"/>
        <v>Adaptive Code via C#</v>
      </c>
    </row>
    <row r="861" spans="1:9" x14ac:dyDescent="0.45">
      <c r="A861" t="s">
        <v>1203</v>
      </c>
      <c r="B861" t="str">
        <f t="shared" si="99"/>
        <v>2002</v>
      </c>
      <c r="C861" t="str">
        <f t="shared" si="100"/>
        <v>Microsoft Press</v>
      </c>
      <c r="D861" t="str">
        <f t="shared" si="101"/>
        <v>Jeffrey Richter</v>
      </c>
      <c r="E861" s="3" t="str">
        <f t="shared" si="102"/>
        <v/>
      </c>
      <c r="F861" s="3" t="str">
        <f t="shared" si="103"/>
        <v>.pdf</v>
      </c>
      <c r="G861">
        <f t="shared" si="104"/>
        <v>93</v>
      </c>
      <c r="H861" s="3">
        <f>LEN(Table1[[#This Row],[Auteur]])</f>
        <v>15</v>
      </c>
      <c r="I861" s="3" t="str">
        <f t="shared" si="106"/>
        <v>Applied Microsoft .NET Framework Programming</v>
      </c>
    </row>
    <row r="862" spans="1:9" x14ac:dyDescent="0.45">
      <c r="A862" t="s">
        <v>1961</v>
      </c>
      <c r="B862" t="str">
        <f t="shared" si="99"/>
        <v>2016</v>
      </c>
      <c r="C862" t="str">
        <f t="shared" si="100"/>
        <v>Wrox</v>
      </c>
      <c r="D862" t="str">
        <f t="shared" si="101"/>
        <v>Perkins, Vibe Hammer, Reid</v>
      </c>
      <c r="E862" s="3" t="str">
        <f t="shared" si="102"/>
        <v/>
      </c>
      <c r="F862" s="3" t="str">
        <f t="shared" si="103"/>
        <v>.pdf</v>
      </c>
      <c r="G862">
        <f t="shared" si="104"/>
        <v>101</v>
      </c>
      <c r="H862" s="3">
        <f>LEN(Table1[[#This Row],[Auteur]])</f>
        <v>26</v>
      </c>
      <c r="I862" s="3" t="str">
        <f t="shared" si="106"/>
        <v>Beginning C# 6.0 Programming with Visual Studio 2015</v>
      </c>
    </row>
    <row r="863" spans="1:9" x14ac:dyDescent="0.45">
      <c r="A863" t="s">
        <v>1204</v>
      </c>
      <c r="B863" t="str">
        <f t="shared" si="99"/>
        <v>2010</v>
      </c>
      <c r="C863" t="str">
        <f t="shared" si="100"/>
        <v>Wrox</v>
      </c>
      <c r="D863" t="str">
        <f t="shared" si="101"/>
        <v>Watson, Nagel, Pedersen, Reid, Skinner</v>
      </c>
      <c r="E863" s="3" t="str">
        <f t="shared" si="102"/>
        <v/>
      </c>
      <c r="F863" t="str">
        <f t="shared" si="103"/>
        <v>.pdf</v>
      </c>
      <c r="G863">
        <f t="shared" si="104"/>
        <v>85</v>
      </c>
      <c r="H863" s="3">
        <f>LEN(Table1[[#This Row],[Auteur]])</f>
        <v>38</v>
      </c>
      <c r="I863" s="3" t="str">
        <f t="shared" si="106"/>
        <v>Beginning Visual C# 2010</v>
      </c>
    </row>
    <row r="864" spans="1:9" x14ac:dyDescent="0.45">
      <c r="A864" t="s">
        <v>1205</v>
      </c>
      <c r="B864" t="str">
        <f t="shared" si="99"/>
        <v>2011</v>
      </c>
      <c r="C864" t="str">
        <f t="shared" si="100"/>
        <v>Sams</v>
      </c>
      <c r="D864" t="str">
        <f t="shared" si="101"/>
        <v>Bart De Smet</v>
      </c>
      <c r="E864" s="3" t="str">
        <f t="shared" si="102"/>
        <v/>
      </c>
      <c r="F864" t="str">
        <f t="shared" si="103"/>
        <v>.pdf</v>
      </c>
      <c r="G864">
        <f t="shared" si="104"/>
        <v>51</v>
      </c>
      <c r="H864" s="3">
        <f>LEN(Table1[[#This Row],[Auteur]])</f>
        <v>12</v>
      </c>
      <c r="I864" s="3" t="str">
        <f t="shared" si="106"/>
        <v>C# 4.0 Unleashed</v>
      </c>
    </row>
    <row r="865" spans="1:9" x14ac:dyDescent="0.45">
      <c r="A865" t="s">
        <v>1206</v>
      </c>
      <c r="B865" t="str">
        <f t="shared" si="99"/>
        <v>2012</v>
      </c>
      <c r="C865" t="str">
        <f t="shared" si="100"/>
        <v>Packt</v>
      </c>
      <c r="D865" t="str">
        <f t="shared" si="101"/>
        <v>Joel Martinez</v>
      </c>
      <c r="E865" s="3" t="str">
        <f t="shared" si="102"/>
        <v/>
      </c>
      <c r="F865" t="str">
        <f t="shared" si="103"/>
        <v>.pdf</v>
      </c>
      <c r="G865">
        <f t="shared" si="104"/>
        <v>52</v>
      </c>
      <c r="H865" s="3">
        <f>LEN(Table1[[#This Row],[Auteur]])</f>
        <v>13</v>
      </c>
      <c r="I865" s="3" t="str">
        <f t="shared" si="106"/>
        <v>C# 5 First Look</v>
      </c>
    </row>
    <row r="866" spans="1:9" x14ac:dyDescent="0.45">
      <c r="A866" t="s">
        <v>1207</v>
      </c>
      <c r="B866" t="str">
        <f t="shared" si="99"/>
        <v>2013</v>
      </c>
      <c r="C866" t="str">
        <f t="shared" si="100"/>
        <v>Sams</v>
      </c>
      <c r="D866" t="str">
        <f t="shared" si="101"/>
        <v>Bart De Smet</v>
      </c>
      <c r="E866" s="3" t="str">
        <f t="shared" si="102"/>
        <v/>
      </c>
      <c r="F866" t="str">
        <f t="shared" si="103"/>
        <v>.pdf</v>
      </c>
      <c r="G866">
        <f t="shared" si="104"/>
        <v>51</v>
      </c>
      <c r="H866" s="3">
        <f>LEN(Table1[[#This Row],[Auteur]])</f>
        <v>12</v>
      </c>
      <c r="I866" s="3" t="str">
        <f t="shared" si="106"/>
        <v>C# 5.0 Unleashed</v>
      </c>
    </row>
    <row r="867" spans="1:9" x14ac:dyDescent="0.45">
      <c r="A867" t="s">
        <v>1208</v>
      </c>
      <c r="B867" t="str">
        <f t="shared" si="99"/>
        <v>2015</v>
      </c>
      <c r="C867" t="str">
        <f t="shared" si="100"/>
        <v>Apress</v>
      </c>
      <c r="D867" t="str">
        <f t="shared" si="101"/>
        <v>Andrew Troelsen, Philip Japikse</v>
      </c>
      <c r="E867" s="3" t="str">
        <f t="shared" si="102"/>
        <v/>
      </c>
      <c r="F867" t="str">
        <f t="shared" si="103"/>
        <v>.epub</v>
      </c>
      <c r="G867">
        <f t="shared" si="104"/>
        <v>98</v>
      </c>
      <c r="H867" s="3">
        <f>LEN(Table1[[#This Row],[Auteur]])</f>
        <v>31</v>
      </c>
      <c r="I867" s="3" t="str">
        <f t="shared" si="106"/>
        <v>C# 6.0 and the .Net 4.6 Framework</v>
      </c>
    </row>
    <row r="868" spans="1:9" x14ac:dyDescent="0.45">
      <c r="A868" t="s">
        <v>1209</v>
      </c>
      <c r="B868" t="str">
        <f t="shared" si="99"/>
        <v>2015</v>
      </c>
      <c r="C868" t="str">
        <f t="shared" si="100"/>
        <v>Apress</v>
      </c>
      <c r="D868" t="str">
        <f t="shared" si="101"/>
        <v>Andrew Troelsen, Philip Japikse</v>
      </c>
      <c r="E868" s="3" t="str">
        <f t="shared" si="102"/>
        <v>Dump</v>
      </c>
      <c r="F868" t="str">
        <f t="shared" si="103"/>
        <v>.pdf</v>
      </c>
      <c r="G868">
        <f t="shared" si="104"/>
        <v>104</v>
      </c>
      <c r="H868" s="3">
        <f>LEN(Table1[[#This Row],[Auteur]])</f>
        <v>31</v>
      </c>
      <c r="I868" s="3" t="str">
        <f t="shared" si="106"/>
        <v>C# 6.0 and the .Net 4.6 Framework</v>
      </c>
    </row>
    <row r="869" spans="1:9" x14ac:dyDescent="0.45">
      <c r="A869" t="s">
        <v>1969</v>
      </c>
      <c r="B869" t="str">
        <f t="shared" si="99"/>
        <v>2002</v>
      </c>
      <c r="C869" t="str">
        <f t="shared" si="100"/>
        <v>Wiley</v>
      </c>
      <c r="D869" t="str">
        <f t="shared" si="101"/>
        <v>Ferguson, Patterson, Beres, Boutquin, Gupta</v>
      </c>
      <c r="E869" s="3" t="str">
        <f t="shared" si="102"/>
        <v/>
      </c>
      <c r="F869" s="3" t="str">
        <f t="shared" si="103"/>
        <v>.pdf</v>
      </c>
      <c r="G869" s="3">
        <f t="shared" si="104"/>
        <v>75</v>
      </c>
      <c r="H869" s="3">
        <f>LEN(Table1[[#This Row],[Auteur]])</f>
        <v>43</v>
      </c>
      <c r="I869" s="3" t="str">
        <f t="shared" si="106"/>
        <v>C# Bible</v>
      </c>
    </row>
    <row r="870" spans="1:9" x14ac:dyDescent="0.45">
      <c r="A870" t="s">
        <v>1210</v>
      </c>
      <c r="B870" t="str">
        <f t="shared" si="99"/>
        <v>2006</v>
      </c>
      <c r="C870" t="str">
        <f t="shared" si="100"/>
        <v>Eyrolles</v>
      </c>
      <c r="D870" t="str">
        <f t="shared" si="101"/>
        <v>Gérard Leblanc</v>
      </c>
      <c r="E870" s="3" t="str">
        <f t="shared" si="102"/>
        <v/>
      </c>
      <c r="F870" s="3" t="str">
        <f t="shared" si="103"/>
        <v>.pdf</v>
      </c>
      <c r="G870">
        <f t="shared" si="104"/>
        <v>68</v>
      </c>
      <c r="H870" s="3">
        <f>LEN(Table1[[#This Row],[Auteur]])</f>
        <v>14</v>
      </c>
      <c r="I870" s="3" t="str">
        <f t="shared" si="106"/>
        <v>C# et .Net version 2</v>
      </c>
    </row>
    <row r="871" spans="1:9" x14ac:dyDescent="0.45">
      <c r="A871" t="s">
        <v>1211</v>
      </c>
      <c r="B871" t="str">
        <f t="shared" si="99"/>
        <v>2011</v>
      </c>
      <c r="C871" t="str">
        <f t="shared" si="100"/>
        <v>Manning</v>
      </c>
      <c r="D871" t="str">
        <f t="shared" si="101"/>
        <v>Jon Skeet</v>
      </c>
      <c r="E871" s="3" t="str">
        <f t="shared" si="102"/>
        <v/>
      </c>
      <c r="F871" t="str">
        <f t="shared" si="103"/>
        <v>.pdf</v>
      </c>
      <c r="G871">
        <f t="shared" si="104"/>
        <v>54</v>
      </c>
      <c r="H871" s="3">
        <f>LEN(Table1[[#This Row],[Auteur]])</f>
        <v>9</v>
      </c>
      <c r="I871" s="3" t="str">
        <f t="shared" si="106"/>
        <v>C# in Depth</v>
      </c>
    </row>
    <row r="872" spans="1:9" x14ac:dyDescent="0.45">
      <c r="A872" t="s">
        <v>1212</v>
      </c>
      <c r="B872" t="str">
        <f t="shared" si="99"/>
        <v>2014</v>
      </c>
      <c r="C872" t="str">
        <f t="shared" si="100"/>
        <v>Manning</v>
      </c>
      <c r="D872" t="str">
        <f t="shared" si="101"/>
        <v>Jon Skeet</v>
      </c>
      <c r="E872" s="3" t="str">
        <f t="shared" si="102"/>
        <v/>
      </c>
      <c r="F872" t="str">
        <f t="shared" si="103"/>
        <v>.epub</v>
      </c>
      <c r="G872">
        <f t="shared" si="104"/>
        <v>55</v>
      </c>
      <c r="H872" s="3">
        <f>LEN(Table1[[#This Row],[Auteur]])</f>
        <v>9</v>
      </c>
      <c r="I872" s="3" t="str">
        <f t="shared" si="106"/>
        <v>C# in Depth</v>
      </c>
    </row>
    <row r="873" spans="1:9" x14ac:dyDescent="0.45">
      <c r="A873" t="s">
        <v>1213</v>
      </c>
      <c r="B873" t="str">
        <f t="shared" si="99"/>
        <v>2014</v>
      </c>
      <c r="C873" t="str">
        <f t="shared" si="100"/>
        <v>Manning</v>
      </c>
      <c r="D873" t="str">
        <f t="shared" si="101"/>
        <v>Jon Skeet</v>
      </c>
      <c r="E873" s="3" t="str">
        <f t="shared" si="102"/>
        <v/>
      </c>
      <c r="F873" t="str">
        <f t="shared" si="103"/>
        <v>.pdf</v>
      </c>
      <c r="G873">
        <f t="shared" si="104"/>
        <v>54</v>
      </c>
      <c r="H873" s="3">
        <f>LEN(Table1[[#This Row],[Auteur]])</f>
        <v>9</v>
      </c>
      <c r="I873" s="3" t="str">
        <f t="shared" si="106"/>
        <v>C# in Depth</v>
      </c>
    </row>
    <row r="874" spans="1:9" x14ac:dyDescent="0.45">
      <c r="A874" t="s">
        <v>1214</v>
      </c>
      <c r="B874" t="str">
        <f t="shared" si="99"/>
        <v>2001</v>
      </c>
      <c r="C874" t="str">
        <f t="shared" si="100"/>
        <v>First</v>
      </c>
      <c r="D874" t="str">
        <f t="shared" si="101"/>
        <v>Stephen Randy Davis</v>
      </c>
      <c r="E874" s="3" t="str">
        <f t="shared" si="102"/>
        <v/>
      </c>
      <c r="F874" t="str">
        <f t="shared" si="103"/>
        <v>.pdf</v>
      </c>
      <c r="G874">
        <f t="shared" si="104"/>
        <v>59</v>
      </c>
      <c r="H874" s="3">
        <f>LEN(Table1[[#This Row],[Auteur]])</f>
        <v>19</v>
      </c>
      <c r="I874" s="3" t="str">
        <f t="shared" si="106"/>
        <v>C# pour les nuls</v>
      </c>
    </row>
    <row r="875" spans="1:9" x14ac:dyDescent="0.45">
      <c r="A875" t="s">
        <v>1215</v>
      </c>
      <c r="B875" t="str">
        <f t="shared" si="99"/>
        <v>2002</v>
      </c>
      <c r="C875" t="str">
        <f t="shared" si="100"/>
        <v>?</v>
      </c>
      <c r="D875" t="str">
        <f t="shared" si="101"/>
        <v>Stanley B. Lippman</v>
      </c>
      <c r="E875" s="3" t="str">
        <f t="shared" si="102"/>
        <v/>
      </c>
      <c r="F875" s="3" t="str">
        <f t="shared" si="103"/>
        <v>.pdf</v>
      </c>
      <c r="G875">
        <f t="shared" si="104"/>
        <v>63</v>
      </c>
      <c r="H875" s="3">
        <f>LEN(Table1[[#This Row],[Auteur]])</f>
        <v>18</v>
      </c>
      <c r="I875" s="3" t="str">
        <f t="shared" si="106"/>
        <v>C# Primer, A Practical Approach</v>
      </c>
    </row>
    <row r="876" spans="1:9" x14ac:dyDescent="0.45">
      <c r="A876" t="s">
        <v>1216</v>
      </c>
      <c r="B876" t="str">
        <f t="shared" si="99"/>
        <v>2010</v>
      </c>
      <c r="C876" t="str">
        <f t="shared" si="100"/>
        <v>University of Hull</v>
      </c>
      <c r="D876" t="str">
        <f t="shared" si="101"/>
        <v>Rob Miles</v>
      </c>
      <c r="E876" s="3" t="str">
        <f t="shared" si="102"/>
        <v/>
      </c>
      <c r="F876" s="3" t="str">
        <f t="shared" si="103"/>
        <v>.pdf</v>
      </c>
      <c r="G876">
        <f t="shared" si="104"/>
        <v>68</v>
      </c>
      <c r="H876" s="3">
        <f>LEN(Table1[[#This Row],[Auteur]])</f>
        <v>9</v>
      </c>
      <c r="I876" s="3" t="str">
        <f t="shared" si="106"/>
        <v>C# Programming</v>
      </c>
    </row>
    <row r="877" spans="1:9" x14ac:dyDescent="0.45">
      <c r="A877" t="s">
        <v>1217</v>
      </c>
      <c r="B877" t="str">
        <f t="shared" si="99"/>
        <v>2002</v>
      </c>
      <c r="C877" t="str">
        <f t="shared" si="100"/>
        <v>Hungry Minds</v>
      </c>
      <c r="D877" t="str">
        <f t="shared" si="101"/>
        <v>Eric Butow, Tommy Ryan</v>
      </c>
      <c r="E877" s="3" t="str">
        <f t="shared" si="102"/>
        <v/>
      </c>
      <c r="F877" s="3" t="str">
        <f t="shared" si="103"/>
        <v>.pdf</v>
      </c>
      <c r="G877">
        <f t="shared" si="104"/>
        <v>108</v>
      </c>
      <c r="H877" s="3">
        <f>LEN(Table1[[#This Row],[Auteur]])</f>
        <v>22</v>
      </c>
      <c r="I877" s="3" t="str">
        <f t="shared" si="106"/>
        <v>C# Your Visual Blueprint for Building .NET Applications</v>
      </c>
    </row>
    <row r="878" spans="1:9" x14ac:dyDescent="0.45">
      <c r="A878" t="s">
        <v>1218</v>
      </c>
      <c r="B878" t="str">
        <f t="shared" si="99"/>
        <v>2010</v>
      </c>
      <c r="C878" t="str">
        <f t="shared" si="100"/>
        <v>Microsoft Press</v>
      </c>
      <c r="D878" t="str">
        <f t="shared" si="101"/>
        <v>Jeffrey Richter</v>
      </c>
      <c r="E878" s="3" t="str">
        <f t="shared" si="102"/>
        <v/>
      </c>
      <c r="F878" t="str">
        <f t="shared" si="103"/>
        <v>.pdf</v>
      </c>
      <c r="G878">
        <f t="shared" si="104"/>
        <v>67</v>
      </c>
      <c r="H878" s="3">
        <f>LEN(Table1[[#This Row],[Auteur]])</f>
        <v>15</v>
      </c>
      <c r="I878" s="3" t="str">
        <f t="shared" si="106"/>
        <v>CLR via C#</v>
      </c>
    </row>
    <row r="879" spans="1:9" x14ac:dyDescent="0.45">
      <c r="A879" t="s">
        <v>1219</v>
      </c>
      <c r="B879" t="str">
        <f t="shared" si="99"/>
        <v>2010</v>
      </c>
      <c r="C879" t="str">
        <f t="shared" si="100"/>
        <v>?</v>
      </c>
      <c r="D879" t="str">
        <f t="shared" si="101"/>
        <v>?</v>
      </c>
      <c r="E879" s="3" t="str">
        <f t="shared" si="102"/>
        <v/>
      </c>
      <c r="F879" t="str">
        <f t="shared" si="103"/>
        <v>.rar</v>
      </c>
      <c r="G879">
        <f t="shared" si="104"/>
        <v>43</v>
      </c>
      <c r="H879" s="3">
        <f>LEN(Table1[[#This Row],[Auteur]])</f>
        <v>1</v>
      </c>
      <c r="I879" s="3" t="str">
        <f t="shared" si="106"/>
        <v>CLR via C#</v>
      </c>
    </row>
    <row r="880" spans="1:9" x14ac:dyDescent="0.45">
      <c r="A880" t="s">
        <v>1220</v>
      </c>
      <c r="B880" t="str">
        <f t="shared" si="99"/>
        <v>2014</v>
      </c>
      <c r="C880" t="str">
        <f t="shared" si="100"/>
        <v>O'Reilly</v>
      </c>
      <c r="D880" t="str">
        <f t="shared" si="101"/>
        <v>Stephen Cleary</v>
      </c>
      <c r="E880" s="3" t="str">
        <f t="shared" si="102"/>
        <v/>
      </c>
      <c r="F880" t="str">
        <f t="shared" si="103"/>
        <v>.pdf</v>
      </c>
      <c r="G880">
        <f t="shared" si="104"/>
        <v>67</v>
      </c>
      <c r="H880" s="3">
        <f>LEN(Table1[[#This Row],[Auteur]])</f>
        <v>14</v>
      </c>
      <c r="I880" s="3" t="str">
        <f t="shared" si="106"/>
        <v>Concurrency in C# Cookbook</v>
      </c>
    </row>
    <row r="881" spans="1:9" x14ac:dyDescent="0.45">
      <c r="A881" t="s">
        <v>1221</v>
      </c>
      <c r="B881" t="str">
        <f t="shared" si="99"/>
        <v>2006</v>
      </c>
      <c r="C881" t="str">
        <f t="shared" si="100"/>
        <v>ECMA</v>
      </c>
      <c r="D881" t="str">
        <f t="shared" si="101"/>
        <v>?</v>
      </c>
      <c r="E881" s="3" t="str">
        <f t="shared" si="102"/>
        <v/>
      </c>
      <c r="F881" s="3" t="str">
        <f t="shared" si="103"/>
        <v>.pdf</v>
      </c>
      <c r="G881">
        <f t="shared" si="104"/>
        <v>102</v>
      </c>
      <c r="H881" s="3">
        <f>LEN(Table1[[#This Row],[Auteur]])</f>
        <v>1</v>
      </c>
      <c r="I881" s="3" t="str">
        <f t="shared" si="106"/>
        <v>ECMA Intl Standard 335, Common Language Infrastructure, Partitions I to VI</v>
      </c>
    </row>
    <row r="882" spans="1:9" x14ac:dyDescent="0.45">
      <c r="A882" t="s">
        <v>1222</v>
      </c>
      <c r="B882" t="str">
        <f t="shared" si="99"/>
        <v>2010</v>
      </c>
      <c r="C882" t="str">
        <f t="shared" si="100"/>
        <v>Addison-Wesley</v>
      </c>
      <c r="D882" t="str">
        <f t="shared" si="101"/>
        <v>Bill Wagner</v>
      </c>
      <c r="E882" s="3" t="str">
        <f t="shared" si="102"/>
        <v/>
      </c>
      <c r="F882" t="str">
        <f t="shared" si="103"/>
        <v>.pdf</v>
      </c>
      <c r="G882">
        <f t="shared" si="104"/>
        <v>101</v>
      </c>
      <c r="H882" s="3">
        <f>LEN(Table1[[#This Row],[Auteur]])</f>
        <v>11</v>
      </c>
      <c r="I882" s="3" t="str">
        <f t="shared" si="106"/>
        <v>Effective C#, 50 Specific Ways to Improve your C#</v>
      </c>
    </row>
    <row r="883" spans="1:9" x14ac:dyDescent="0.45">
      <c r="A883" t="s">
        <v>1223</v>
      </c>
      <c r="B883" t="str">
        <f t="shared" si="99"/>
        <v>2010</v>
      </c>
      <c r="C883" t="str">
        <f t="shared" si="100"/>
        <v>Addison-Wesley</v>
      </c>
      <c r="D883" t="str">
        <f t="shared" si="101"/>
        <v>Mark Michaelis</v>
      </c>
      <c r="E883" s="3" t="str">
        <f t="shared" si="102"/>
        <v/>
      </c>
      <c r="F883" t="str">
        <f t="shared" si="103"/>
        <v>.pdf</v>
      </c>
      <c r="G883">
        <f t="shared" si="104"/>
        <v>63</v>
      </c>
      <c r="H883" s="3">
        <f>LEN(Table1[[#This Row],[Auteur]])</f>
        <v>14</v>
      </c>
      <c r="I883" s="3" t="str">
        <f t="shared" si="106"/>
        <v>Essential C# 4.0</v>
      </c>
    </row>
    <row r="884" spans="1:9" x14ac:dyDescent="0.45">
      <c r="A884" t="s">
        <v>1224</v>
      </c>
      <c r="B884" t="str">
        <f t="shared" si="99"/>
        <v>2011</v>
      </c>
      <c r="C884" t="str">
        <f t="shared" si="100"/>
        <v>Wrox</v>
      </c>
      <c r="D884" t="str">
        <f t="shared" si="101"/>
        <v>Olivier Sturm</v>
      </c>
      <c r="E884" s="3" t="str">
        <f t="shared" si="102"/>
        <v/>
      </c>
      <c r="F884" t="str">
        <f t="shared" si="103"/>
        <v>.pdf</v>
      </c>
      <c r="G884">
        <f t="shared" si="104"/>
        <v>72</v>
      </c>
      <c r="H884" s="3">
        <f>LEN(Table1[[#This Row],[Auteur]])</f>
        <v>13</v>
      </c>
      <c r="I884" s="3" t="str">
        <f t="shared" si="106"/>
        <v>Functional Programming in C#</v>
      </c>
    </row>
    <row r="885" spans="1:9" x14ac:dyDescent="0.45">
      <c r="A885" t="s">
        <v>1225</v>
      </c>
      <c r="B885" t="str">
        <f t="shared" si="99"/>
        <v>2010</v>
      </c>
      <c r="C885" t="str">
        <f t="shared" si="100"/>
        <v>O'Reilly</v>
      </c>
      <c r="D885" t="str">
        <f t="shared" si="101"/>
        <v>Andrew Stellman, Jennifer Greene</v>
      </c>
      <c r="E885" s="3" t="str">
        <f t="shared" si="102"/>
        <v/>
      </c>
      <c r="F885" t="str">
        <f t="shared" si="103"/>
        <v>.pdf</v>
      </c>
      <c r="G885">
        <f t="shared" si="104"/>
        <v>80</v>
      </c>
      <c r="H885" s="3">
        <f>LEN(Table1[[#This Row],[Auteur]])</f>
        <v>32</v>
      </c>
      <c r="I885" s="3" t="str">
        <f t="shared" si="106"/>
        <v>Head First C#</v>
      </c>
    </row>
    <row r="886" spans="1:9" x14ac:dyDescent="0.45">
      <c r="A886" t="s">
        <v>1226</v>
      </c>
      <c r="B886" t="str">
        <f t="shared" si="99"/>
        <v>2010</v>
      </c>
      <c r="C886" t="str">
        <f t="shared" si="100"/>
        <v>?</v>
      </c>
      <c r="D886" t="str">
        <f t="shared" si="101"/>
        <v>?</v>
      </c>
      <c r="E886" s="3" t="str">
        <f t="shared" si="102"/>
        <v/>
      </c>
      <c r="F886" t="str">
        <f t="shared" si="103"/>
        <v>.zip</v>
      </c>
      <c r="G886">
        <f t="shared" si="104"/>
        <v>39</v>
      </c>
      <c r="H886" s="3">
        <f>LEN(Table1[[#This Row],[Auteur]])</f>
        <v>1</v>
      </c>
      <c r="I886" s="3" t="str">
        <f t="shared" si="106"/>
        <v>Head First C#</v>
      </c>
    </row>
    <row r="887" spans="1:9" x14ac:dyDescent="0.45">
      <c r="A887" t="s">
        <v>1227</v>
      </c>
      <c r="B887" t="str">
        <f t="shared" si="99"/>
        <v>?</v>
      </c>
      <c r="C887" t="str">
        <f t="shared" si="100"/>
        <v>?</v>
      </c>
      <c r="D887" t="str">
        <f t="shared" si="101"/>
        <v>Hanchinmani</v>
      </c>
      <c r="E887" s="3" t="str">
        <f t="shared" si="102"/>
        <v/>
      </c>
      <c r="F887" s="3" t="str">
        <f t="shared" si="103"/>
        <v>.pdf</v>
      </c>
      <c r="G887">
        <f t="shared" si="104"/>
        <v>62</v>
      </c>
      <c r="H887" s="3">
        <f>LEN(Table1[[#This Row],[Auteur]])</f>
        <v>11</v>
      </c>
      <c r="I887" s="3" t="str">
        <f t="shared" si="106"/>
        <v>Improving .Net Performance, Intel Whitepaper</v>
      </c>
    </row>
    <row r="888" spans="1:9" x14ac:dyDescent="0.45">
      <c r="A888" t="s">
        <v>1228</v>
      </c>
      <c r="B888" t="str">
        <f t="shared" si="99"/>
        <v>2010</v>
      </c>
      <c r="C888" t="str">
        <f t="shared" si="100"/>
        <v>Apress</v>
      </c>
      <c r="D888" t="str">
        <f t="shared" si="101"/>
        <v>Alex Mackey</v>
      </c>
      <c r="E888" s="3" t="str">
        <f t="shared" si="102"/>
        <v/>
      </c>
      <c r="F888" t="str">
        <f t="shared" si="103"/>
        <v>.pdf</v>
      </c>
      <c r="G888">
        <f t="shared" si="104"/>
        <v>80</v>
      </c>
      <c r="H888" s="3">
        <f>LEN(Table1[[#This Row],[Auteur]])</f>
        <v>11</v>
      </c>
      <c r="I888" s="3" t="str">
        <f t="shared" si="106"/>
        <v>Introducing .NET 4.0 with Visual Studio 2010</v>
      </c>
    </row>
    <row r="889" spans="1:9" x14ac:dyDescent="0.45">
      <c r="A889" t="s">
        <v>1229</v>
      </c>
      <c r="B889" t="str">
        <f t="shared" si="99"/>
        <v>2012</v>
      </c>
      <c r="C889" t="str">
        <f t="shared" si="100"/>
        <v>Apress</v>
      </c>
      <c r="D889" t="str">
        <f t="shared" si="101"/>
        <v>Alex Mackey, William Tulloch, Mahesh Krishnan</v>
      </c>
      <c r="E889" s="3" t="str">
        <f t="shared" si="102"/>
        <v/>
      </c>
      <c r="F889" s="3" t="str">
        <f t="shared" si="103"/>
        <v>.pdf</v>
      </c>
      <c r="G889" s="3">
        <f t="shared" si="104"/>
        <v>98</v>
      </c>
      <c r="H889" s="3">
        <f>LEN(Table1[[#This Row],[Auteur]])</f>
        <v>45</v>
      </c>
      <c r="I889" s="3" t="str">
        <f t="shared" si="106"/>
        <v>Introducing .Net 4.5</v>
      </c>
    </row>
    <row r="890" spans="1:9" x14ac:dyDescent="0.45">
      <c r="A890" t="s">
        <v>1962</v>
      </c>
      <c r="B890" t="str">
        <f t="shared" si="99"/>
        <v>2015</v>
      </c>
      <c r="C890" t="str">
        <f t="shared" si="100"/>
        <v>Microsoft Press</v>
      </c>
      <c r="D890" t="str">
        <f t="shared" si="101"/>
        <v>Esposito, Saltarello</v>
      </c>
      <c r="E890" s="3" t="str">
        <f t="shared" si="102"/>
        <v/>
      </c>
      <c r="F890" t="str">
        <f t="shared" si="103"/>
        <v>.pdf</v>
      </c>
      <c r="G890">
        <f t="shared" si="104"/>
        <v>122</v>
      </c>
      <c r="H890" s="3">
        <f>LEN(Table1[[#This Row],[Auteur]])</f>
        <v>20</v>
      </c>
      <c r="I890" s="3" t="str">
        <f t="shared" si="106"/>
        <v>Microsoft .Net, Architecting Applications for the Enterprise</v>
      </c>
    </row>
    <row r="891" spans="1:9" x14ac:dyDescent="0.45">
      <c r="A891" t="s">
        <v>1230</v>
      </c>
      <c r="B891" t="str">
        <f t="shared" si="99"/>
        <v>?</v>
      </c>
      <c r="C891" t="str">
        <f t="shared" si="100"/>
        <v>Microsoft</v>
      </c>
      <c r="D891" t="str">
        <f t="shared" si="101"/>
        <v>?</v>
      </c>
      <c r="E891" s="3" t="str">
        <f t="shared" si="102"/>
        <v/>
      </c>
      <c r="F891" s="3" t="str">
        <f t="shared" si="103"/>
        <v>.pdf</v>
      </c>
      <c r="G891">
        <f t="shared" si="104"/>
        <v>89</v>
      </c>
      <c r="H891" s="3">
        <f>LEN(Table1[[#This Row],[Auteur]])</f>
        <v>1</v>
      </c>
      <c r="I891" s="3" t="str">
        <f t="shared" si="106"/>
        <v>Microsoft 10226A, Programming in C# with Visual Studio 2010, Lab Manual</v>
      </c>
    </row>
    <row r="892" spans="1:9" x14ac:dyDescent="0.45">
      <c r="A892" t="s">
        <v>1231</v>
      </c>
      <c r="B892" t="str">
        <f t="shared" si="99"/>
        <v>?</v>
      </c>
      <c r="C892" t="str">
        <f t="shared" si="100"/>
        <v>Microsoft</v>
      </c>
      <c r="D892" t="str">
        <f t="shared" si="101"/>
        <v>?</v>
      </c>
      <c r="E892" s="3" t="str">
        <f t="shared" si="102"/>
        <v/>
      </c>
      <c r="F892" t="str">
        <f t="shared" si="103"/>
        <v>.pdf</v>
      </c>
      <c r="G892">
        <f t="shared" si="104"/>
        <v>101</v>
      </c>
      <c r="H892" s="3">
        <f>LEN(Table1[[#This Row],[Auteur]])</f>
        <v>1</v>
      </c>
      <c r="I892" s="3" t="str">
        <f t="shared" si="106"/>
        <v>Microsoft 10226A, Programming in C# with Visual Studio 2010, Trainer Handbook Vol 1</v>
      </c>
    </row>
    <row r="893" spans="1:9" x14ac:dyDescent="0.45">
      <c r="A893" t="s">
        <v>1232</v>
      </c>
      <c r="B893" t="str">
        <f t="shared" si="99"/>
        <v>?</v>
      </c>
      <c r="C893" t="str">
        <f t="shared" si="100"/>
        <v>Microsoft</v>
      </c>
      <c r="D893" t="str">
        <f t="shared" si="101"/>
        <v>?</v>
      </c>
      <c r="E893" s="3" t="str">
        <f t="shared" si="102"/>
        <v/>
      </c>
      <c r="F893" t="str">
        <f t="shared" si="103"/>
        <v>.pdf</v>
      </c>
      <c r="G893">
        <f t="shared" si="104"/>
        <v>101</v>
      </c>
      <c r="H893" s="3">
        <f>LEN(Table1[[#This Row],[Auteur]])</f>
        <v>1</v>
      </c>
      <c r="I893" s="3" t="str">
        <f t="shared" si="106"/>
        <v>Microsoft 10226A, Programming in C# with Visual Studio 2010, Trainer Handbook Vol 2</v>
      </c>
    </row>
    <row r="894" spans="1:9" x14ac:dyDescent="0.45">
      <c r="A894" t="s">
        <v>1233</v>
      </c>
      <c r="B894" t="str">
        <f t="shared" si="99"/>
        <v>2010</v>
      </c>
      <c r="C894" t="str">
        <f t="shared" si="100"/>
        <v>Apress</v>
      </c>
      <c r="D894" t="str">
        <f t="shared" si="101"/>
        <v>Adam Freeman</v>
      </c>
      <c r="E894" s="3" t="str">
        <f t="shared" si="102"/>
        <v/>
      </c>
      <c r="F894" s="3" t="str">
        <f t="shared" si="103"/>
        <v>.pdf</v>
      </c>
      <c r="G894" s="3">
        <f t="shared" si="104"/>
        <v>74</v>
      </c>
      <c r="H894" s="3">
        <f>LEN(Table1[[#This Row],[Auteur]])</f>
        <v>12</v>
      </c>
      <c r="I894" s="3" t="str">
        <f t="shared" si="106"/>
        <v>Pro .NET 4 Parallel Programming in C#</v>
      </c>
    </row>
    <row r="895" spans="1:9" x14ac:dyDescent="0.45">
      <c r="A895" t="s">
        <v>1234</v>
      </c>
      <c r="B895" t="str">
        <f t="shared" si="99"/>
        <v>2010</v>
      </c>
      <c r="C895" t="str">
        <f t="shared" si="100"/>
        <v>Apress</v>
      </c>
      <c r="D895" t="str">
        <f t="shared" si="101"/>
        <v>Andrew Troelsen</v>
      </c>
      <c r="E895" s="3" t="str">
        <f t="shared" si="102"/>
        <v/>
      </c>
      <c r="F895" s="3" t="str">
        <f t="shared" si="103"/>
        <v>.pdf</v>
      </c>
      <c r="G895">
        <f t="shared" si="104"/>
        <v>83</v>
      </c>
      <c r="H895" s="3">
        <f>LEN(Table1[[#This Row],[Auteur]])</f>
        <v>15</v>
      </c>
      <c r="I895" s="3" t="str">
        <f t="shared" si="106"/>
        <v>Pro C# 2010 and the .Net 4 Platform</v>
      </c>
    </row>
    <row r="896" spans="1:9" x14ac:dyDescent="0.45">
      <c r="A896" t="s">
        <v>1235</v>
      </c>
      <c r="B896" t="str">
        <f t="shared" si="99"/>
        <v>2010</v>
      </c>
      <c r="C896" t="str">
        <f t="shared" si="100"/>
        <v>?</v>
      </c>
      <c r="D896" t="str">
        <f t="shared" si="101"/>
        <v>?</v>
      </c>
      <c r="E896" s="3" t="str">
        <f t="shared" si="102"/>
        <v/>
      </c>
      <c r="F896" s="3" t="str">
        <f t="shared" si="103"/>
        <v>.zip</v>
      </c>
      <c r="G896">
        <f t="shared" si="104"/>
        <v>60</v>
      </c>
      <c r="H896" s="3">
        <f>LEN(Table1[[#This Row],[Auteur]])</f>
        <v>1</v>
      </c>
      <c r="I896" s="3" t="str">
        <f t="shared" si="106"/>
        <v>Pro C# 2010 and the .Net 4 Platform</v>
      </c>
    </row>
    <row r="897" spans="1:9" x14ac:dyDescent="0.45">
      <c r="A897" t="s">
        <v>1963</v>
      </c>
      <c r="B897" t="str">
        <f t="shared" si="99"/>
        <v>2010</v>
      </c>
      <c r="C897" t="str">
        <f t="shared" si="100"/>
        <v>Wiley</v>
      </c>
      <c r="D897" t="str">
        <f t="shared" si="101"/>
        <v>Nagel, Evjen, Glynn, Watson, Skinner</v>
      </c>
      <c r="E897" s="3" t="str">
        <f t="shared" si="102"/>
        <v/>
      </c>
      <c r="F897" t="str">
        <f t="shared" si="103"/>
        <v>.pdf</v>
      </c>
      <c r="G897">
        <f t="shared" si="104"/>
        <v>88</v>
      </c>
      <c r="H897" s="3">
        <f>LEN(Table1[[#This Row],[Auteur]])</f>
        <v>36</v>
      </c>
      <c r="I897" s="3" t="str">
        <f t="shared" si="106"/>
        <v>Professional C# 4 and .Net 4</v>
      </c>
    </row>
    <row r="898" spans="1:9" x14ac:dyDescent="0.45">
      <c r="A898" t="s">
        <v>2058</v>
      </c>
      <c r="B898" t="str">
        <f t="shared" ref="B898:B961" si="107">DatePub(A898)</f>
        <v>2010</v>
      </c>
      <c r="C898" t="str">
        <f t="shared" ref="C898:C961" si="108">Editeur(A898)</f>
        <v>?</v>
      </c>
      <c r="D898" t="str">
        <f t="shared" ref="D898:D961" si="109">Auteur(A898)</f>
        <v>?</v>
      </c>
      <c r="E898" s="3" t="str">
        <f t="shared" ref="E898:E961" si="110">ExtraInfo(A898)</f>
        <v/>
      </c>
      <c r="F898" s="3" t="str">
        <f t="shared" ref="F898:F961" si="111">Extension(A898)</f>
        <v>.rar</v>
      </c>
      <c r="G898" s="3">
        <f t="shared" ref="G898:G961" si="112">LenFileName(A898)</f>
        <v>64</v>
      </c>
      <c r="H898" s="3">
        <f>LEN(Table1[[#This Row],[Auteur]])</f>
        <v>1</v>
      </c>
      <c r="I898" s="3" t="str">
        <f t="shared" ref="I898:I961" si="113">Title(A898)</f>
        <v>Professional C# 4 and .Net 4</v>
      </c>
    </row>
    <row r="899" spans="1:9" x14ac:dyDescent="0.45">
      <c r="A899" t="s">
        <v>1236</v>
      </c>
      <c r="B899" t="str">
        <f t="shared" si="107"/>
        <v>2016</v>
      </c>
      <c r="C899" t="str">
        <f t="shared" si="108"/>
        <v>Wiley</v>
      </c>
      <c r="D899" t="str">
        <f t="shared" si="109"/>
        <v>Christian Nagel</v>
      </c>
      <c r="E899" s="3" t="str">
        <f t="shared" si="110"/>
        <v>Webdump</v>
      </c>
      <c r="F899" t="str">
        <f t="shared" si="111"/>
        <v>.pdf</v>
      </c>
      <c r="G899">
        <f t="shared" si="112"/>
        <v>84</v>
      </c>
      <c r="H899" s="3">
        <f>LEN(Table1[[#This Row],[Auteur]])</f>
        <v>15</v>
      </c>
      <c r="I899" s="3" t="str">
        <f t="shared" si="113"/>
        <v>Professional C# 6 and .Net Core 1.0</v>
      </c>
    </row>
    <row r="900" spans="1:9" x14ac:dyDescent="0.45">
      <c r="A900" t="s">
        <v>1964</v>
      </c>
      <c r="B900" t="str">
        <f t="shared" si="107"/>
        <v>2013</v>
      </c>
      <c r="C900" t="str">
        <f t="shared" si="108"/>
        <v>Wiley</v>
      </c>
      <c r="D900" t="str">
        <f t="shared" si="109"/>
        <v>Nagel, Evjen, Glynn, Watson, Skinner</v>
      </c>
      <c r="E900" s="3" t="str">
        <f t="shared" si="110"/>
        <v/>
      </c>
      <c r="F900" s="3" t="str">
        <f t="shared" si="111"/>
        <v>.pdf</v>
      </c>
      <c r="G900">
        <f t="shared" si="112"/>
        <v>93</v>
      </c>
      <c r="H900" s="3">
        <f>LEN(Table1[[#This Row],[Auteur]])</f>
        <v>36</v>
      </c>
      <c r="I900" s="3" t="str">
        <f t="shared" si="113"/>
        <v>Professional C# 2012 and .Net 4.5</v>
      </c>
    </row>
    <row r="901" spans="1:9" x14ac:dyDescent="0.45">
      <c r="A901" t="s">
        <v>1237</v>
      </c>
      <c r="B901" t="str">
        <f t="shared" si="107"/>
        <v>2010</v>
      </c>
      <c r="C901" t="str">
        <f t="shared" si="108"/>
        <v>O'Reilly</v>
      </c>
      <c r="D901" t="str">
        <f t="shared" si="109"/>
        <v>Griffiths, Adams, Liberty</v>
      </c>
      <c r="E901" s="3" t="str">
        <f t="shared" si="110"/>
        <v/>
      </c>
      <c r="F901" t="str">
        <f t="shared" si="111"/>
        <v>.pdf</v>
      </c>
      <c r="G901">
        <f t="shared" si="112"/>
        <v>78</v>
      </c>
      <c r="H901" s="3">
        <f>LEN(Table1[[#This Row],[Auteur]])</f>
        <v>25</v>
      </c>
      <c r="I901" s="3" t="str">
        <f t="shared" si="113"/>
        <v>Programming C# 4.0</v>
      </c>
    </row>
    <row r="902" spans="1:9" x14ac:dyDescent="0.45">
      <c r="A902" t="s">
        <v>1238</v>
      </c>
      <c r="B902" t="str">
        <f t="shared" si="107"/>
        <v>2014</v>
      </c>
      <c r="C902" t="str">
        <f t="shared" si="108"/>
        <v>?</v>
      </c>
      <c r="D902" t="str">
        <f t="shared" si="109"/>
        <v>Ben Watson</v>
      </c>
      <c r="E902" s="3" t="str">
        <f t="shared" si="110"/>
        <v/>
      </c>
      <c r="F902" t="str">
        <f t="shared" si="111"/>
        <v>.pdf</v>
      </c>
      <c r="G902">
        <f t="shared" si="112"/>
        <v>58</v>
      </c>
      <c r="H902" s="3">
        <f>LEN(Table1[[#This Row],[Auteur]])</f>
        <v>10</v>
      </c>
      <c r="I902" s="3" t="str">
        <f t="shared" si="113"/>
        <v>Writing High-Performance .Net Code</v>
      </c>
    </row>
    <row r="903" spans="1:9" x14ac:dyDescent="0.45">
      <c r="A903" t="s">
        <v>1239</v>
      </c>
      <c r="B903" t="str">
        <f t="shared" si="107"/>
        <v>2012</v>
      </c>
      <c r="C903" t="str">
        <f t="shared" si="108"/>
        <v>O'Reilly</v>
      </c>
      <c r="D903" t="str">
        <f t="shared" si="109"/>
        <v>Ben Klemens</v>
      </c>
      <c r="E903" s="3" t="str">
        <f t="shared" si="110"/>
        <v/>
      </c>
      <c r="F903" t="str">
        <f t="shared" si="111"/>
        <v>.pdf</v>
      </c>
      <c r="G903">
        <f t="shared" si="112"/>
        <v>64</v>
      </c>
      <c r="H903" s="3">
        <f>LEN(Table1[[#This Row],[Auteur]])</f>
        <v>11</v>
      </c>
      <c r="I903" s="3" t="str">
        <f t="shared" si="113"/>
        <v>21st Century C Programming</v>
      </c>
    </row>
    <row r="904" spans="1:9" x14ac:dyDescent="0.45">
      <c r="A904" t="s">
        <v>1240</v>
      </c>
      <c r="B904" t="str">
        <f t="shared" si="107"/>
        <v>2002</v>
      </c>
      <c r="C904" t="str">
        <f t="shared" si="108"/>
        <v>Jones &amp; Bartlett</v>
      </c>
      <c r="D904" t="str">
        <f t="shared" si="109"/>
        <v>Ulla Kirch-Prinz, Peter Prinz</v>
      </c>
      <c r="E904" s="3" t="str">
        <f t="shared" si="110"/>
        <v/>
      </c>
      <c r="F904" s="3" t="str">
        <f t="shared" si="111"/>
        <v>.pdf</v>
      </c>
      <c r="G904">
        <f t="shared" si="112"/>
        <v>102</v>
      </c>
      <c r="H904" s="3">
        <f>LEN(Table1[[#This Row],[Auteur]])</f>
        <v>29</v>
      </c>
      <c r="I904" s="3" t="str">
        <f t="shared" si="113"/>
        <v>A Complete Guide to Programming in C++</v>
      </c>
    </row>
    <row r="905" spans="1:9" x14ac:dyDescent="0.45">
      <c r="A905" t="s">
        <v>1241</v>
      </c>
      <c r="B905" t="str">
        <f t="shared" si="107"/>
        <v>2014</v>
      </c>
      <c r="C905" t="str">
        <f t="shared" si="108"/>
        <v>Addison-Wesley</v>
      </c>
      <c r="D905" t="str">
        <f t="shared" si="109"/>
        <v>Bjarne Stroustrup</v>
      </c>
      <c r="E905" s="3" t="str">
        <f t="shared" si="110"/>
        <v/>
      </c>
      <c r="F905" s="3" t="str">
        <f t="shared" si="111"/>
        <v>.pdf</v>
      </c>
      <c r="G905">
        <f t="shared" si="112"/>
        <v>63</v>
      </c>
      <c r="H905" s="3">
        <f>LEN(Table1[[#This Row],[Auteur]])</f>
        <v>17</v>
      </c>
      <c r="I905" s="3" t="str">
        <f t="shared" si="113"/>
        <v>A Tour of C++</v>
      </c>
    </row>
    <row r="906" spans="1:9" x14ac:dyDescent="0.45">
      <c r="A906" t="s">
        <v>1242</v>
      </c>
      <c r="B906" t="str">
        <f t="shared" si="107"/>
        <v>2001</v>
      </c>
      <c r="C906" t="str">
        <f t="shared" si="108"/>
        <v>Addison-Wesley</v>
      </c>
      <c r="D906" t="str">
        <f t="shared" si="109"/>
        <v>Walter Savitch</v>
      </c>
      <c r="E906" s="3" t="str">
        <f t="shared" si="110"/>
        <v/>
      </c>
      <c r="F906" t="str">
        <f t="shared" si="111"/>
        <v>.pdf</v>
      </c>
      <c r="G906">
        <f t="shared" si="112"/>
        <v>67</v>
      </c>
      <c r="H906" s="3">
        <f>LEN(Table1[[#This Row],[Auteur]])</f>
        <v>14</v>
      </c>
      <c r="I906" s="3" t="str">
        <f t="shared" si="113"/>
        <v>Absolute C++</v>
      </c>
    </row>
    <row r="907" spans="1:9" x14ac:dyDescent="0.45">
      <c r="A907" t="s">
        <v>1243</v>
      </c>
      <c r="B907" t="str">
        <f t="shared" si="107"/>
        <v>2013</v>
      </c>
      <c r="C907" t="str">
        <f t="shared" si="108"/>
        <v>Pearson</v>
      </c>
      <c r="D907" t="str">
        <f t="shared" si="109"/>
        <v>Walter Savitch</v>
      </c>
      <c r="E907" s="3" t="str">
        <f t="shared" si="110"/>
        <v/>
      </c>
      <c r="F907" t="str">
        <f t="shared" si="111"/>
        <v>.pdf</v>
      </c>
      <c r="G907">
        <f t="shared" si="112"/>
        <v>60</v>
      </c>
      <c r="H907" s="3">
        <f>LEN(Table1[[#This Row],[Auteur]])</f>
        <v>14</v>
      </c>
      <c r="I907" s="3" t="str">
        <f t="shared" si="113"/>
        <v>Absolute C++</v>
      </c>
    </row>
    <row r="908" spans="1:9" x14ac:dyDescent="0.45">
      <c r="A908" t="s">
        <v>1244</v>
      </c>
      <c r="B908" t="str">
        <f t="shared" si="107"/>
        <v>2000</v>
      </c>
      <c r="C908" t="str">
        <f t="shared" si="108"/>
        <v>Addison-Wesley</v>
      </c>
      <c r="D908" t="str">
        <f t="shared" si="109"/>
        <v>Andrew Koenig, Barbara E. Moo</v>
      </c>
      <c r="E908" s="3" t="str">
        <f t="shared" si="110"/>
        <v>Webdump</v>
      </c>
      <c r="F908" t="str">
        <f t="shared" si="111"/>
        <v>.pdf</v>
      </c>
      <c r="G908">
        <f t="shared" si="112"/>
        <v>87</v>
      </c>
      <c r="H908" s="3">
        <f>LEN(Table1[[#This Row],[Auteur]])</f>
        <v>29</v>
      </c>
      <c r="I908" s="3" t="str">
        <f t="shared" si="113"/>
        <v>Accelerated C++</v>
      </c>
    </row>
    <row r="909" spans="1:9" x14ac:dyDescent="0.45">
      <c r="A909" t="s">
        <v>1245</v>
      </c>
      <c r="B909" t="str">
        <f t="shared" si="107"/>
        <v>2015</v>
      </c>
      <c r="C909" t="str">
        <f t="shared" si="108"/>
        <v>?</v>
      </c>
      <c r="D909" t="str">
        <f t="shared" si="109"/>
        <v>Sanderson</v>
      </c>
      <c r="E909" s="3" t="str">
        <f t="shared" si="110"/>
        <v>Presentation</v>
      </c>
      <c r="F909" s="3" t="str">
        <f t="shared" si="111"/>
        <v>.pdf</v>
      </c>
      <c r="G909">
        <f t="shared" si="112"/>
        <v>70</v>
      </c>
      <c r="H909" s="3">
        <f>LEN(Table1[[#This Row],[Auteur]])</f>
        <v>9</v>
      </c>
      <c r="I909" s="3" t="str">
        <f t="shared" si="113"/>
        <v>Advanced C++ Template Techniques</v>
      </c>
    </row>
    <row r="910" spans="1:9" x14ac:dyDescent="0.45">
      <c r="A910" t="s">
        <v>1246</v>
      </c>
      <c r="B910" t="str">
        <f t="shared" si="107"/>
        <v>2015</v>
      </c>
      <c r="C910" t="str">
        <f t="shared" si="108"/>
        <v>Apress</v>
      </c>
      <c r="D910" t="str">
        <f t="shared" si="109"/>
        <v>Davide Di Gennaro</v>
      </c>
      <c r="E910" s="3" t="str">
        <f t="shared" si="110"/>
        <v/>
      </c>
      <c r="F910" s="3" t="str">
        <f t="shared" si="111"/>
        <v>.pdf</v>
      </c>
      <c r="G910">
        <f t="shared" si="112"/>
        <v>81</v>
      </c>
      <c r="H910" s="3">
        <f>LEN(Table1[[#This Row],[Auteur]])</f>
        <v>17</v>
      </c>
      <c r="I910" s="3" t="str">
        <f t="shared" si="113"/>
        <v>Advanced Metaprogramming in Classic C++</v>
      </c>
    </row>
    <row r="911" spans="1:9" x14ac:dyDescent="0.45">
      <c r="A911" t="s">
        <v>1247</v>
      </c>
      <c r="B911" t="str">
        <f t="shared" si="107"/>
        <v>?</v>
      </c>
      <c r="C911" t="str">
        <f t="shared" si="108"/>
        <v>?</v>
      </c>
      <c r="D911" t="str">
        <f t="shared" si="109"/>
        <v>American National Standard</v>
      </c>
      <c r="E911" s="3" t="str">
        <f t="shared" si="110"/>
        <v/>
      </c>
      <c r="F911" t="str">
        <f t="shared" si="111"/>
        <v>.txt</v>
      </c>
      <c r="G911">
        <f t="shared" si="112"/>
        <v>41</v>
      </c>
      <c r="H911" s="3">
        <f>LEN(Table1[[#This Row],[Auteur]])</f>
        <v>26</v>
      </c>
      <c r="I911" s="3" t="str">
        <f t="shared" si="113"/>
        <v>ANSI C89</v>
      </c>
    </row>
    <row r="912" spans="1:9" x14ac:dyDescent="0.45">
      <c r="A912" t="s">
        <v>1248</v>
      </c>
      <c r="B912" t="str">
        <f t="shared" si="107"/>
        <v>1999</v>
      </c>
      <c r="C912" t="str">
        <f t="shared" si="108"/>
        <v>Que</v>
      </c>
      <c r="D912" t="str">
        <f t="shared" si="109"/>
        <v>Danny Kale</v>
      </c>
      <c r="E912" s="3" t="str">
        <f t="shared" si="110"/>
        <v>Dump</v>
      </c>
      <c r="F912" s="3" t="str">
        <f t="shared" si="111"/>
        <v>.pdf</v>
      </c>
      <c r="G912">
        <f t="shared" si="112"/>
        <v>86</v>
      </c>
      <c r="H912" s="3">
        <f>LEN(Table1[[#This Row],[Auteur]])</f>
        <v>10</v>
      </c>
      <c r="I912" s="3" t="str">
        <f t="shared" si="113"/>
        <v>ANSI-ISO C++ Professional Programmer's Handbook</v>
      </c>
    </row>
    <row r="913" spans="1:9" x14ac:dyDescent="0.45">
      <c r="A913" t="s">
        <v>1249</v>
      </c>
      <c r="B913" t="str">
        <f t="shared" si="107"/>
        <v>2007</v>
      </c>
      <c r="C913" t="str">
        <f t="shared" si="108"/>
        <v>Eyrolles</v>
      </c>
      <c r="D913" t="str">
        <f t="shared" si="109"/>
        <v>Claude Delannoy</v>
      </c>
      <c r="E913" s="3" t="str">
        <f t="shared" si="110"/>
        <v/>
      </c>
      <c r="F913" s="3" t="str">
        <f t="shared" si="111"/>
        <v>.pdf</v>
      </c>
      <c r="G913" s="3">
        <f t="shared" si="112"/>
        <v>58</v>
      </c>
      <c r="H913" s="3">
        <f>LEN(Table1[[#This Row],[Auteur]])</f>
        <v>15</v>
      </c>
      <c r="I913" s="3" t="str">
        <f t="shared" si="113"/>
        <v>Apprendre le C++</v>
      </c>
    </row>
    <row r="914" spans="1:9" x14ac:dyDescent="0.45">
      <c r="A914" t="s">
        <v>1250</v>
      </c>
      <c r="B914" t="str">
        <f t="shared" si="107"/>
        <v>2010</v>
      </c>
      <c r="C914" t="str">
        <f t="shared" si="108"/>
        <v>Le site du zéro</v>
      </c>
      <c r="D914" t="str">
        <f t="shared" si="109"/>
        <v>Mathieu Nebra</v>
      </c>
      <c r="E914" s="3" t="str">
        <f t="shared" si="110"/>
        <v/>
      </c>
      <c r="F914" s="3" t="str">
        <f t="shared" si="111"/>
        <v>.pdf</v>
      </c>
      <c r="G914">
        <f t="shared" si="112"/>
        <v>73</v>
      </c>
      <c r="H914" s="3">
        <f>LEN(Table1[[#This Row],[Auteur]])</f>
        <v>13</v>
      </c>
      <c r="I914" s="3" t="str">
        <f t="shared" si="113"/>
        <v>Apprenez à programmer en C</v>
      </c>
    </row>
    <row r="915" spans="1:9" x14ac:dyDescent="0.45">
      <c r="A915" t="s">
        <v>1251</v>
      </c>
      <c r="B915" t="str">
        <f t="shared" si="107"/>
        <v>2012</v>
      </c>
      <c r="C915" t="str">
        <f t="shared" si="108"/>
        <v>Le site du zéro</v>
      </c>
      <c r="D915" t="str">
        <f t="shared" si="109"/>
        <v>Mathieu Nebra</v>
      </c>
      <c r="E915" s="3" t="str">
        <f t="shared" si="110"/>
        <v/>
      </c>
      <c r="F915" s="3" t="str">
        <f t="shared" si="111"/>
        <v>.pdf</v>
      </c>
      <c r="G915" s="3">
        <f t="shared" si="112"/>
        <v>73</v>
      </c>
      <c r="H915" s="3">
        <f>LEN(Table1[[#This Row],[Auteur]])</f>
        <v>13</v>
      </c>
      <c r="I915" s="3" t="str">
        <f t="shared" si="113"/>
        <v>Apprenez à programmer en C</v>
      </c>
    </row>
    <row r="916" spans="1:9" x14ac:dyDescent="0.45">
      <c r="A916" t="s">
        <v>1252</v>
      </c>
      <c r="B916" t="str">
        <f t="shared" si="107"/>
        <v>2010</v>
      </c>
      <c r="C916" t="str">
        <f t="shared" si="108"/>
        <v>Wiley</v>
      </c>
      <c r="D916" t="str">
        <f t="shared" si="109"/>
        <v>Stephen Davis</v>
      </c>
      <c r="E916" s="3" t="str">
        <f t="shared" si="110"/>
        <v/>
      </c>
      <c r="F916" t="str">
        <f t="shared" si="111"/>
        <v>.pdf</v>
      </c>
      <c r="G916">
        <f t="shared" si="112"/>
        <v>80</v>
      </c>
      <c r="H916" s="3">
        <f>LEN(Table1[[#This Row],[Auteur]])</f>
        <v>13</v>
      </c>
      <c r="I916" s="3" t="str">
        <f t="shared" si="113"/>
        <v>Beginning Programming C with ++ for Dummies</v>
      </c>
    </row>
    <row r="917" spans="1:9" x14ac:dyDescent="0.45">
      <c r="A917" t="s">
        <v>1253</v>
      </c>
      <c r="B917" t="str">
        <f t="shared" si="107"/>
        <v>2010</v>
      </c>
      <c r="C917" t="str">
        <f t="shared" si="108"/>
        <v>Wiley</v>
      </c>
      <c r="D917" t="str">
        <f t="shared" si="109"/>
        <v>Ivor Horton</v>
      </c>
      <c r="E917" s="3" t="str">
        <f t="shared" si="110"/>
        <v/>
      </c>
      <c r="F917" t="str">
        <f t="shared" si="111"/>
        <v>.pdf</v>
      </c>
      <c r="G917">
        <f t="shared" si="112"/>
        <v>60</v>
      </c>
      <c r="H917" s="3">
        <f>LEN(Table1[[#This Row],[Auteur]])</f>
        <v>11</v>
      </c>
      <c r="I917" s="3" t="str">
        <f t="shared" si="113"/>
        <v>Beginning Visual C++ 2010</v>
      </c>
    </row>
    <row r="918" spans="1:9" x14ac:dyDescent="0.45">
      <c r="A918" t="s">
        <v>1254</v>
      </c>
      <c r="B918" t="str">
        <f t="shared" si="107"/>
        <v>2013</v>
      </c>
      <c r="C918" t="str">
        <f t="shared" si="108"/>
        <v>Packt</v>
      </c>
      <c r="D918" t="str">
        <f t="shared" si="109"/>
        <v>Antony Polukhin</v>
      </c>
      <c r="E918" s="3" t="str">
        <f t="shared" si="110"/>
        <v/>
      </c>
      <c r="F918" s="3" t="str">
        <f t="shared" si="111"/>
        <v>.pdf</v>
      </c>
      <c r="G918" s="3">
        <f t="shared" si="112"/>
        <v>81</v>
      </c>
      <c r="H918" s="3">
        <f>LEN(Table1[[#This Row],[Auteur]])</f>
        <v>15</v>
      </c>
      <c r="I918" s="3" t="str">
        <f t="shared" si="113"/>
        <v>Boost C++ Application Development Cookbook</v>
      </c>
    </row>
    <row r="919" spans="1:9" x14ac:dyDescent="0.45">
      <c r="A919" t="s">
        <v>1255</v>
      </c>
      <c r="B919" t="str">
        <f t="shared" si="107"/>
        <v>2004</v>
      </c>
      <c r="C919" t="str">
        <f t="shared" si="108"/>
        <v>Wiley</v>
      </c>
      <c r="D919" t="str">
        <f t="shared" si="109"/>
        <v>Dan Gookin</v>
      </c>
      <c r="E919" s="3" t="str">
        <f t="shared" si="110"/>
        <v/>
      </c>
      <c r="F919" t="str">
        <f t="shared" si="111"/>
        <v>.pdf</v>
      </c>
      <c r="G919">
        <f t="shared" si="112"/>
        <v>55</v>
      </c>
      <c r="H919" s="3">
        <f>LEN(Table1[[#This Row],[Auteur]])</f>
        <v>10</v>
      </c>
      <c r="I919" s="3" t="str">
        <f t="shared" si="113"/>
        <v>C for Dummies</v>
      </c>
    </row>
    <row r="920" spans="1:9" x14ac:dyDescent="0.45">
      <c r="A920" t="s">
        <v>1256</v>
      </c>
      <c r="B920" t="str">
        <f t="shared" si="107"/>
        <v>2016</v>
      </c>
      <c r="C920" t="str">
        <f t="shared" si="108"/>
        <v>?</v>
      </c>
      <c r="D920" t="str">
        <f t="shared" si="109"/>
        <v>Darell Graham</v>
      </c>
      <c r="E920" s="3" t="str">
        <f t="shared" si="110"/>
        <v/>
      </c>
      <c r="F920" t="str">
        <f t="shared" si="111"/>
        <v>.epub</v>
      </c>
      <c r="G920">
        <f t="shared" si="112"/>
        <v>84</v>
      </c>
      <c r="H920" s="3">
        <f>LEN(Table1[[#This Row],[Auteur]])</f>
        <v>13</v>
      </c>
      <c r="I920" s="3" t="str">
        <f t="shared" si="113"/>
        <v>C Programming Language, The Ultimate Guide for Beginners</v>
      </c>
    </row>
    <row r="921" spans="1:9" x14ac:dyDescent="0.45">
      <c r="A921" t="s">
        <v>1257</v>
      </c>
      <c r="B921" t="str">
        <f t="shared" si="107"/>
        <v>2016</v>
      </c>
      <c r="C921" t="str">
        <f t="shared" si="108"/>
        <v>?</v>
      </c>
      <c r="D921" t="str">
        <f t="shared" si="109"/>
        <v>Darell Graham</v>
      </c>
      <c r="E921" s="3" t="str">
        <f t="shared" si="110"/>
        <v/>
      </c>
      <c r="F921" s="3" t="str">
        <f t="shared" si="111"/>
        <v>.pdf</v>
      </c>
      <c r="G921">
        <f t="shared" si="112"/>
        <v>83</v>
      </c>
      <c r="H921" s="3">
        <f>LEN(Table1[[#This Row],[Auteur]])</f>
        <v>13</v>
      </c>
      <c r="I921" s="3" t="str">
        <f t="shared" si="113"/>
        <v>C Programming Language, The Ultimate Guide for Beginners</v>
      </c>
    </row>
    <row r="922" spans="1:9" x14ac:dyDescent="0.45">
      <c r="A922" t="s">
        <v>1258</v>
      </c>
      <c r="B922" t="str">
        <f t="shared" si="107"/>
        <v>?</v>
      </c>
      <c r="C922" t="str">
        <f t="shared" si="108"/>
        <v>?</v>
      </c>
      <c r="D922" t="str">
        <f t="shared" si="109"/>
        <v>Gian Lorenzo Meocci</v>
      </c>
      <c r="E922" s="3" t="str">
        <f t="shared" si="110"/>
        <v>Presentation</v>
      </c>
      <c r="F922" t="str">
        <f t="shared" si="111"/>
        <v>.pdf</v>
      </c>
      <c r="G922">
        <f t="shared" si="112"/>
        <v>59</v>
      </c>
      <c r="H922" s="3">
        <f>LEN(Table1[[#This Row],[Auteur]])</f>
        <v>19</v>
      </c>
      <c r="I922" s="3" t="str">
        <f t="shared" si="113"/>
        <v>C++ 11 14 Overview</v>
      </c>
    </row>
    <row r="923" spans="1:9" x14ac:dyDescent="0.45">
      <c r="A923" t="s">
        <v>1259</v>
      </c>
      <c r="B923" t="str">
        <f t="shared" si="107"/>
        <v>2014</v>
      </c>
      <c r="C923" t="str">
        <f t="shared" si="108"/>
        <v>Prentice Hall</v>
      </c>
      <c r="D923" t="str">
        <f t="shared" si="109"/>
        <v>Paul J. Deitel, Harvey M. Deitel</v>
      </c>
      <c r="E923" s="3" t="str">
        <f t="shared" si="110"/>
        <v/>
      </c>
      <c r="F923" t="str">
        <f t="shared" si="111"/>
        <v>.epub</v>
      </c>
      <c r="G923">
        <f t="shared" si="112"/>
        <v>95</v>
      </c>
      <c r="H923" s="3">
        <f>LEN(Table1[[#This Row],[Auteur]])</f>
        <v>32</v>
      </c>
      <c r="I923" s="3" t="str">
        <f t="shared" si="113"/>
        <v>C++ 11 for Programmers</v>
      </c>
    </row>
    <row r="924" spans="1:9" x14ac:dyDescent="0.45">
      <c r="A924" t="s">
        <v>1260</v>
      </c>
      <c r="B924" t="str">
        <f t="shared" si="107"/>
        <v>2005</v>
      </c>
      <c r="C924" t="str">
        <f t="shared" si="108"/>
        <v>Pearson</v>
      </c>
      <c r="D924" t="str">
        <f t="shared" si="109"/>
        <v>Herb Sutter, Andrei Alexandrescu</v>
      </c>
      <c r="E924" s="3" t="str">
        <f t="shared" si="110"/>
        <v/>
      </c>
      <c r="F924" s="3" t="str">
        <f t="shared" si="111"/>
        <v>.pdf</v>
      </c>
      <c r="G924">
        <f t="shared" si="112"/>
        <v>78</v>
      </c>
      <c r="H924" s="3">
        <f>LEN(Table1[[#This Row],[Auteur]])</f>
        <v>32</v>
      </c>
      <c r="I924" s="3" t="str">
        <f t="shared" si="113"/>
        <v>C++ Coding Standards</v>
      </c>
    </row>
    <row r="925" spans="1:9" x14ac:dyDescent="0.45">
      <c r="A925" t="s">
        <v>1261</v>
      </c>
      <c r="B925" t="str">
        <f t="shared" si="107"/>
        <v>2012</v>
      </c>
      <c r="C925" t="str">
        <f t="shared" si="108"/>
        <v>Manning</v>
      </c>
      <c r="D925" t="str">
        <f t="shared" si="109"/>
        <v>Anthony Williams</v>
      </c>
      <c r="E925" s="3" t="str">
        <f t="shared" si="110"/>
        <v/>
      </c>
      <c r="F925" t="str">
        <f t="shared" si="111"/>
        <v>.pdf</v>
      </c>
      <c r="G925">
        <f t="shared" si="112"/>
        <v>67</v>
      </c>
      <c r="H925" s="3">
        <f>LEN(Table1[[#This Row],[Auteur]])</f>
        <v>16</v>
      </c>
      <c r="I925" s="3" t="str">
        <f t="shared" si="113"/>
        <v>C++ Concurrency in Action</v>
      </c>
    </row>
    <row r="926" spans="1:9" x14ac:dyDescent="0.45">
      <c r="A926" t="s">
        <v>1262</v>
      </c>
      <c r="B926" t="str">
        <f t="shared" si="107"/>
        <v>1994</v>
      </c>
      <c r="C926" t="str">
        <f t="shared" si="108"/>
        <v>?</v>
      </c>
      <c r="D926" t="str">
        <f t="shared" si="109"/>
        <v>JT Kalnay</v>
      </c>
      <c r="E926" s="3" t="str">
        <f t="shared" si="110"/>
        <v/>
      </c>
      <c r="F926" s="3" t="str">
        <f t="shared" si="111"/>
        <v>.pdf</v>
      </c>
      <c r="G926">
        <f t="shared" si="112"/>
        <v>44</v>
      </c>
      <c r="H926" s="3">
        <f>LEN(Table1[[#This Row],[Auteur]])</f>
        <v>9</v>
      </c>
      <c r="I926" s="3" t="str">
        <f t="shared" si="113"/>
        <v>C++ for C Programmers</v>
      </c>
    </row>
    <row r="927" spans="1:9" x14ac:dyDescent="0.45">
      <c r="A927" t="s">
        <v>1263</v>
      </c>
      <c r="B927" t="str">
        <f t="shared" si="107"/>
        <v>2006</v>
      </c>
      <c r="C927" t="str">
        <f t="shared" si="108"/>
        <v>Broquard eBooks</v>
      </c>
      <c r="D927" t="str">
        <f t="shared" si="109"/>
        <v>Vic Broquard</v>
      </c>
      <c r="E927" s="3" t="str">
        <f t="shared" si="110"/>
        <v/>
      </c>
      <c r="F927" s="3" t="str">
        <f t="shared" si="111"/>
        <v>.pdf</v>
      </c>
      <c r="G927">
        <f t="shared" si="112"/>
        <v>89</v>
      </c>
      <c r="H927" s="3">
        <f>LEN(Table1[[#This Row],[Auteur]])</f>
        <v>12</v>
      </c>
      <c r="I927" s="3" t="str">
        <f t="shared" si="113"/>
        <v>C++ for Computer Science and Engine</v>
      </c>
    </row>
    <row r="928" spans="1:9" x14ac:dyDescent="0.45">
      <c r="A928" t="s">
        <v>1264</v>
      </c>
      <c r="B928" t="str">
        <f t="shared" si="107"/>
        <v>2004</v>
      </c>
      <c r="C928" t="str">
        <f t="shared" si="108"/>
        <v>Wiley</v>
      </c>
      <c r="D928" t="str">
        <f t="shared" si="109"/>
        <v>?</v>
      </c>
      <c r="E928" s="3" t="str">
        <f t="shared" si="110"/>
        <v/>
      </c>
      <c r="F928" t="str">
        <f t="shared" si="111"/>
        <v>.pdf</v>
      </c>
      <c r="G928">
        <f t="shared" si="112"/>
        <v>44</v>
      </c>
      <c r="H928" s="3">
        <f>LEN(Table1[[#This Row],[Auteur]])</f>
        <v>1</v>
      </c>
      <c r="I928" s="3" t="str">
        <f t="shared" si="113"/>
        <v>C++ for Dummies</v>
      </c>
    </row>
    <row r="929" spans="1:9" x14ac:dyDescent="0.45">
      <c r="A929" t="s">
        <v>1265</v>
      </c>
      <c r="B929" t="str">
        <f t="shared" si="107"/>
        <v>2012</v>
      </c>
      <c r="C929" t="str">
        <f t="shared" si="108"/>
        <v>Wiley</v>
      </c>
      <c r="D929" t="str">
        <f t="shared" si="109"/>
        <v>Cay Horstmann</v>
      </c>
      <c r="E929" s="3" t="str">
        <f t="shared" si="110"/>
        <v/>
      </c>
      <c r="F929" t="str">
        <f t="shared" si="111"/>
        <v>.pdf</v>
      </c>
      <c r="G929">
        <f t="shared" si="112"/>
        <v>61</v>
      </c>
      <c r="H929" s="3">
        <f>LEN(Table1[[#This Row],[Auteur]])</f>
        <v>13</v>
      </c>
      <c r="I929" s="3" t="str">
        <f t="shared" si="113"/>
        <v>C++ for Everyone</v>
      </c>
    </row>
    <row r="930" spans="1:9" x14ac:dyDescent="0.45">
      <c r="A930" t="s">
        <v>1266</v>
      </c>
      <c r="B930" t="str">
        <f t="shared" si="107"/>
        <v>2010</v>
      </c>
      <c r="C930" t="str">
        <f t="shared" si="108"/>
        <v>Pearson</v>
      </c>
      <c r="D930" t="str">
        <f t="shared" si="109"/>
        <v>Paul Dietel, Harvey Deitel</v>
      </c>
      <c r="E930" s="3" t="str">
        <f t="shared" si="110"/>
        <v/>
      </c>
      <c r="F930" t="str">
        <f t="shared" si="111"/>
        <v>.pdf</v>
      </c>
      <c r="G930">
        <f t="shared" si="112"/>
        <v>78</v>
      </c>
      <c r="H930" s="3">
        <f>LEN(Table1[[#This Row],[Auteur]])</f>
        <v>26</v>
      </c>
      <c r="I930" s="3" t="str">
        <f t="shared" si="113"/>
        <v>C++ How to Program</v>
      </c>
    </row>
    <row r="931" spans="1:9" x14ac:dyDescent="0.45">
      <c r="A931" t="s">
        <v>1267</v>
      </c>
      <c r="B931" t="str">
        <f t="shared" si="107"/>
        <v>2012</v>
      </c>
      <c r="C931" t="str">
        <f t="shared" si="108"/>
        <v>Pearson</v>
      </c>
      <c r="D931" t="str">
        <f t="shared" si="109"/>
        <v>Paul Dietel, Harvey Deitel</v>
      </c>
      <c r="E931" s="3" t="str">
        <f t="shared" si="110"/>
        <v/>
      </c>
      <c r="F931" t="str">
        <f t="shared" si="111"/>
        <v>.pdf</v>
      </c>
      <c r="G931">
        <f t="shared" si="112"/>
        <v>78</v>
      </c>
      <c r="H931" s="3">
        <f>LEN(Table1[[#This Row],[Auteur]])</f>
        <v>26</v>
      </c>
      <c r="I931" s="3" t="str">
        <f t="shared" si="113"/>
        <v>C++ How to Program</v>
      </c>
    </row>
    <row r="932" spans="1:9" x14ac:dyDescent="0.45">
      <c r="A932" t="s">
        <v>1268</v>
      </c>
      <c r="B932" t="str">
        <f t="shared" si="107"/>
        <v>2003</v>
      </c>
      <c r="C932" t="str">
        <f t="shared" si="108"/>
        <v>O'Reilly</v>
      </c>
      <c r="D932" t="str">
        <f t="shared" si="109"/>
        <v>Ray Lischner</v>
      </c>
      <c r="E932" s="3" t="str">
        <f t="shared" si="110"/>
        <v/>
      </c>
      <c r="F932" s="3" t="str">
        <f t="shared" si="111"/>
        <v>.pdf</v>
      </c>
      <c r="G932">
        <f t="shared" si="112"/>
        <v>56</v>
      </c>
      <c r="H932" s="3">
        <f>LEN(Table1[[#This Row],[Auteur]])</f>
        <v>12</v>
      </c>
      <c r="I932" s="3" t="str">
        <f t="shared" si="113"/>
        <v>C++ in a Nutshell</v>
      </c>
    </row>
    <row r="933" spans="1:9" x14ac:dyDescent="0.45">
      <c r="A933" t="s">
        <v>1269</v>
      </c>
      <c r="B933" t="str">
        <f t="shared" si="107"/>
        <v>2007</v>
      </c>
      <c r="C933" t="str">
        <f t="shared" si="108"/>
        <v>?</v>
      </c>
      <c r="D933" t="str">
        <f t="shared" si="109"/>
        <v>Juan Soulié</v>
      </c>
      <c r="E933" s="3" t="str">
        <f t="shared" si="110"/>
        <v/>
      </c>
      <c r="F933" s="3" t="str">
        <f t="shared" si="111"/>
        <v>.pdf</v>
      </c>
      <c r="G933">
        <f t="shared" si="112"/>
        <v>46</v>
      </c>
      <c r="H933" s="3">
        <f>LEN(Table1[[#This Row],[Auteur]])</f>
        <v>11</v>
      </c>
      <c r="I933" s="3" t="str">
        <f t="shared" si="113"/>
        <v>C++ Language Tutorial</v>
      </c>
    </row>
    <row r="934" spans="1:9" x14ac:dyDescent="0.45">
      <c r="A934" t="s">
        <v>1270</v>
      </c>
      <c r="B934" t="str">
        <f t="shared" si="107"/>
        <v>2009</v>
      </c>
      <c r="C934" t="str">
        <f t="shared" si="108"/>
        <v>Pearson</v>
      </c>
      <c r="D934" t="str">
        <f t="shared" si="109"/>
        <v>Vincent Gouvernelle</v>
      </c>
      <c r="E934" s="3" t="str">
        <f t="shared" si="110"/>
        <v/>
      </c>
      <c r="F934" t="str">
        <f t="shared" si="111"/>
        <v>.pdf</v>
      </c>
      <c r="G934">
        <f t="shared" si="112"/>
        <v>85</v>
      </c>
      <c r="H934" s="3">
        <f>LEN(Table1[[#This Row],[Auteur]])</f>
        <v>19</v>
      </c>
      <c r="I934" s="3" t="str">
        <f t="shared" si="113"/>
        <v>C++ L'essentiel du code et des commandes</v>
      </c>
    </row>
    <row r="935" spans="1:9" x14ac:dyDescent="0.45">
      <c r="A935" t="s">
        <v>1271</v>
      </c>
      <c r="B935" t="str">
        <f t="shared" si="107"/>
        <v>2007</v>
      </c>
      <c r="C935" t="str">
        <f t="shared" si="108"/>
        <v>Eyrolles</v>
      </c>
      <c r="D935" t="str">
        <f t="shared" si="109"/>
        <v>Claude Delannoy</v>
      </c>
      <c r="E935" s="3" t="str">
        <f t="shared" si="110"/>
        <v/>
      </c>
      <c r="F935" t="str">
        <f t="shared" si="111"/>
        <v>.pdf</v>
      </c>
      <c r="G935">
        <f t="shared" si="112"/>
        <v>69</v>
      </c>
      <c r="H935" s="3">
        <f>LEN(Table1[[#This Row],[Auteur]])</f>
        <v>15</v>
      </c>
      <c r="I935" s="3" t="str">
        <f t="shared" si="113"/>
        <v>C++ pour les programmeurs C</v>
      </c>
    </row>
    <row r="936" spans="1:9" x14ac:dyDescent="0.45">
      <c r="A936" t="s">
        <v>1272</v>
      </c>
      <c r="B936" t="str">
        <f t="shared" si="107"/>
        <v>2013</v>
      </c>
      <c r="C936" t="str">
        <f t="shared" si="108"/>
        <v>Addison-Wesley</v>
      </c>
      <c r="D936" t="str">
        <f t="shared" si="109"/>
        <v>Stanley B. Lippman, Josée Lajoie, Barbara E. Moo</v>
      </c>
      <c r="E936" s="3" t="str">
        <f t="shared" si="110"/>
        <v>Dump</v>
      </c>
      <c r="F936" t="str">
        <f t="shared" si="111"/>
        <v>.pdf</v>
      </c>
      <c r="G936">
        <f t="shared" si="112"/>
        <v>106</v>
      </c>
      <c r="H936" s="3">
        <f>LEN(Table1[[#This Row],[Auteur]])</f>
        <v>48</v>
      </c>
      <c r="I936" s="3" t="str">
        <f t="shared" si="113"/>
        <v>C++ Primer</v>
      </c>
    </row>
    <row r="937" spans="1:9" x14ac:dyDescent="0.45">
      <c r="A937" t="s">
        <v>1273</v>
      </c>
      <c r="B937" t="str">
        <f t="shared" si="107"/>
        <v>2012</v>
      </c>
      <c r="C937" t="str">
        <f t="shared" si="108"/>
        <v>Addison-Wesley</v>
      </c>
      <c r="D937" t="str">
        <f t="shared" si="109"/>
        <v>Stephen Prata</v>
      </c>
      <c r="E937" s="3" t="str">
        <f t="shared" si="110"/>
        <v/>
      </c>
      <c r="F937" t="str">
        <f t="shared" si="111"/>
        <v>.pdf</v>
      </c>
      <c r="G937">
        <f t="shared" si="112"/>
        <v>69</v>
      </c>
      <c r="H937" s="3">
        <f>LEN(Table1[[#This Row],[Auteur]])</f>
        <v>13</v>
      </c>
      <c r="I937" s="3" t="str">
        <f t="shared" si="113"/>
        <v>C++ Primer Plus</v>
      </c>
    </row>
    <row r="938" spans="1:9" x14ac:dyDescent="0.45">
      <c r="A938" t="s">
        <v>1274</v>
      </c>
      <c r="B938" t="str">
        <f t="shared" si="107"/>
        <v>2015</v>
      </c>
      <c r="C938" t="str">
        <f t="shared" si="108"/>
        <v>Cengage Learning</v>
      </c>
      <c r="D938" t="str">
        <f t="shared" si="109"/>
        <v>DS Malik</v>
      </c>
      <c r="E938" s="3" t="str">
        <f t="shared" si="110"/>
        <v/>
      </c>
      <c r="F938" t="str">
        <f t="shared" si="111"/>
        <v>.pdf</v>
      </c>
      <c r="G938">
        <f t="shared" si="112"/>
        <v>66</v>
      </c>
      <c r="H938" s="3">
        <f>LEN(Table1[[#This Row],[Auteur]])</f>
        <v>8</v>
      </c>
      <c r="I938" s="3" t="str">
        <f t="shared" si="113"/>
        <v>C++ Programming</v>
      </c>
    </row>
    <row r="939" spans="1:9" x14ac:dyDescent="0.45">
      <c r="A939" t="s">
        <v>1275</v>
      </c>
      <c r="B939" t="str">
        <f t="shared" si="107"/>
        <v>2009</v>
      </c>
      <c r="C939" t="str">
        <f t="shared" si="108"/>
        <v>Cengage Learning</v>
      </c>
      <c r="D939" t="str">
        <f t="shared" si="109"/>
        <v>Mark Lee</v>
      </c>
      <c r="E939" s="3" t="str">
        <f t="shared" si="110"/>
        <v/>
      </c>
      <c r="F939" t="str">
        <f t="shared" si="111"/>
        <v>.pdf</v>
      </c>
      <c r="G939">
        <f t="shared" si="112"/>
        <v>92</v>
      </c>
      <c r="H939" s="3">
        <f>LEN(Table1[[#This Row],[Auteur]])</f>
        <v>8</v>
      </c>
      <c r="I939" s="3" t="str">
        <f t="shared" si="113"/>
        <v>C++ Programming for the Absolute Beginner</v>
      </c>
    </row>
    <row r="940" spans="1:9" x14ac:dyDescent="0.45">
      <c r="A940" t="s">
        <v>1276</v>
      </c>
      <c r="B940" t="str">
        <f t="shared" si="107"/>
        <v>?</v>
      </c>
      <c r="C940" t="str">
        <f t="shared" si="108"/>
        <v>?</v>
      </c>
      <c r="D940" t="str">
        <f t="shared" si="109"/>
        <v>?</v>
      </c>
      <c r="E940" s="3" t="str">
        <f t="shared" si="110"/>
        <v/>
      </c>
      <c r="F940" t="str">
        <f t="shared" si="111"/>
        <v>.pdf</v>
      </c>
      <c r="G940">
        <f t="shared" si="112"/>
        <v>23</v>
      </c>
      <c r="H940" s="3">
        <f>LEN(Table1[[#This Row],[Auteur]])</f>
        <v>1</v>
      </c>
      <c r="I940" s="3" t="str">
        <f t="shared" si="113"/>
        <v>C++ Quick Reference</v>
      </c>
    </row>
    <row r="941" spans="1:9" x14ac:dyDescent="0.45">
      <c r="A941" t="s">
        <v>1277</v>
      </c>
      <c r="B941" t="str">
        <f t="shared" si="107"/>
        <v>1998</v>
      </c>
      <c r="C941" t="str">
        <f t="shared" si="108"/>
        <v>Addison-Wesley</v>
      </c>
      <c r="D941" t="str">
        <f t="shared" si="109"/>
        <v>David Vandevoorde</v>
      </c>
      <c r="E941" s="3" t="str">
        <f t="shared" si="110"/>
        <v/>
      </c>
      <c r="F941" t="str">
        <f t="shared" si="111"/>
        <v>.djvu</v>
      </c>
      <c r="G941">
        <f t="shared" si="112"/>
        <v>110</v>
      </c>
      <c r="H941" s="3">
        <f>LEN(Table1[[#This Row],[Auteur]])</f>
        <v>17</v>
      </c>
      <c r="I941" s="3" t="str">
        <f t="shared" si="113"/>
        <v>C++ Solutions, Companion to C++ Programming Language 3rd ed</v>
      </c>
    </row>
    <row r="942" spans="1:9" x14ac:dyDescent="0.45">
      <c r="A942" t="s">
        <v>1278</v>
      </c>
      <c r="B942" t="str">
        <f t="shared" si="107"/>
        <v>2016</v>
      </c>
      <c r="C942" t="str">
        <f t="shared" si="108"/>
        <v>Apress</v>
      </c>
      <c r="D942" t="str">
        <f t="shared" si="109"/>
        <v>Peter Van Weert, Marc Gregoire</v>
      </c>
      <c r="E942" s="3" t="str">
        <f t="shared" si="110"/>
        <v/>
      </c>
      <c r="F942" s="3" t="str">
        <f t="shared" si="111"/>
        <v>.pdf</v>
      </c>
      <c r="G942">
        <f t="shared" si="112"/>
        <v>91</v>
      </c>
      <c r="H942" s="3">
        <f>LEN(Table1[[#This Row],[Auteur]])</f>
        <v>30</v>
      </c>
      <c r="I942" s="3" t="str">
        <f t="shared" si="113"/>
        <v>C++ Standard Library Quick Reference</v>
      </c>
    </row>
    <row r="943" spans="1:9" x14ac:dyDescent="0.45">
      <c r="A943" t="s">
        <v>1279</v>
      </c>
      <c r="B943" t="str">
        <f t="shared" si="107"/>
        <v>2011</v>
      </c>
      <c r="C943" t="str">
        <f t="shared" si="108"/>
        <v>Prentice Hall</v>
      </c>
      <c r="D943" t="str">
        <f t="shared" si="109"/>
        <v>Brian Overland</v>
      </c>
      <c r="E943" s="3" t="str">
        <f t="shared" si="110"/>
        <v/>
      </c>
      <c r="F943" s="3" t="str">
        <f t="shared" si="111"/>
        <v>.pdf</v>
      </c>
      <c r="G943">
        <f t="shared" si="112"/>
        <v>70</v>
      </c>
      <c r="H943" s="3">
        <f>LEN(Table1[[#This Row],[Auteur]])</f>
        <v>14</v>
      </c>
      <c r="I943" s="3" t="str">
        <f t="shared" si="113"/>
        <v>C++ Without Fear</v>
      </c>
    </row>
    <row r="944" spans="1:9" x14ac:dyDescent="0.45">
      <c r="A944" t="s">
        <v>1280</v>
      </c>
      <c r="B944" t="str">
        <f t="shared" si="107"/>
        <v>1998</v>
      </c>
      <c r="C944" t="str">
        <f t="shared" si="108"/>
        <v>McGraw-Hill</v>
      </c>
      <c r="D944" t="str">
        <f t="shared" si="109"/>
        <v>Herbert Schildt</v>
      </c>
      <c r="E944" s="3" t="str">
        <f t="shared" si="110"/>
        <v/>
      </c>
      <c r="F944" t="str">
        <f t="shared" si="111"/>
        <v>.pdf</v>
      </c>
      <c r="G944">
        <f t="shared" si="112"/>
        <v>80</v>
      </c>
      <c r="H944" s="3">
        <f>LEN(Table1[[#This Row],[Auteur]])</f>
        <v>15</v>
      </c>
      <c r="I944" s="3" t="str">
        <f t="shared" si="113"/>
        <v>C++, The Complete Reference</v>
      </c>
    </row>
    <row r="945" spans="1:9" x14ac:dyDescent="0.45">
      <c r="A945" t="s">
        <v>1281</v>
      </c>
      <c r="B945" t="str">
        <f t="shared" si="107"/>
        <v>2013</v>
      </c>
      <c r="C945" t="str">
        <f t="shared" si="108"/>
        <v>?</v>
      </c>
      <c r="D945" t="str">
        <f t="shared" si="109"/>
        <v>Bjarne Stroustrup</v>
      </c>
      <c r="E945" s="3" t="str">
        <f t="shared" si="110"/>
        <v>presentation</v>
      </c>
      <c r="F945" t="str">
        <f t="shared" si="111"/>
        <v>.pdf</v>
      </c>
      <c r="G945">
        <f t="shared" si="112"/>
        <v>83</v>
      </c>
      <c r="H945" s="3">
        <f>LEN(Table1[[#This Row],[Auteur]])</f>
        <v>17</v>
      </c>
      <c r="I945" s="3" t="str">
        <f t="shared" si="113"/>
        <v>C++14 and early thoughts about C++ 17</v>
      </c>
    </row>
    <row r="946" spans="1:9" x14ac:dyDescent="0.45">
      <c r="A946" t="s">
        <v>1282</v>
      </c>
      <c r="B946" t="str">
        <f t="shared" si="107"/>
        <v>2000</v>
      </c>
      <c r="C946" t="str">
        <f t="shared" si="108"/>
        <v>Prentice Hall</v>
      </c>
      <c r="D946" t="str">
        <f t="shared" si="109"/>
        <v>Victor Shtern</v>
      </c>
      <c r="E946" s="3" t="str">
        <f t="shared" si="110"/>
        <v>Dump</v>
      </c>
      <c r="F946" t="str">
        <f t="shared" si="111"/>
        <v>.pdf</v>
      </c>
      <c r="G946">
        <f t="shared" si="112"/>
        <v>93</v>
      </c>
      <c r="H946" s="3">
        <f>LEN(Table1[[#This Row],[Auteur]])</f>
        <v>13</v>
      </c>
      <c r="I946" s="3" t="str">
        <f t="shared" si="113"/>
        <v>Core C++, A Software Engineering Approach</v>
      </c>
    </row>
    <row r="947" spans="1:9" x14ac:dyDescent="0.45">
      <c r="A947" t="s">
        <v>1283</v>
      </c>
      <c r="B947" t="str">
        <f t="shared" si="107"/>
        <v>2002</v>
      </c>
      <c r="C947" t="str">
        <f t="shared" si="108"/>
        <v>?</v>
      </c>
      <c r="D947" t="str">
        <f t="shared" si="109"/>
        <v>C. Casteyde</v>
      </c>
      <c r="E947" s="3" t="str">
        <f t="shared" si="110"/>
        <v/>
      </c>
      <c r="F947" t="str">
        <f t="shared" si="111"/>
        <v>.pdf</v>
      </c>
      <c r="G947">
        <f t="shared" si="112"/>
        <v>42</v>
      </c>
      <c r="H947" s="3">
        <f>LEN(Table1[[#This Row],[Auteur]])</f>
        <v>11</v>
      </c>
      <c r="I947" s="3" t="str">
        <f t="shared" si="113"/>
        <v>Cours de C et C++</v>
      </c>
    </row>
    <row r="948" spans="1:9" x14ac:dyDescent="0.45">
      <c r="A948" t="s">
        <v>1284</v>
      </c>
      <c r="B948" t="str">
        <f t="shared" si="107"/>
        <v>2005</v>
      </c>
      <c r="C948" t="str">
        <f t="shared" si="108"/>
        <v>?</v>
      </c>
      <c r="D948" t="str">
        <f t="shared" si="109"/>
        <v>C. Casteyde</v>
      </c>
      <c r="E948" s="3" t="str">
        <f t="shared" si="110"/>
        <v/>
      </c>
      <c r="F948" s="3" t="str">
        <f t="shared" si="111"/>
        <v>.pdf</v>
      </c>
      <c r="G948" s="3">
        <f t="shared" si="112"/>
        <v>42</v>
      </c>
      <c r="H948" s="3">
        <f>LEN(Table1[[#This Row],[Auteur]])</f>
        <v>11</v>
      </c>
      <c r="I948" s="3" t="str">
        <f t="shared" si="113"/>
        <v>Cours de C et C++</v>
      </c>
    </row>
    <row r="949" spans="1:9" x14ac:dyDescent="0.45">
      <c r="A949" t="s">
        <v>1285</v>
      </c>
      <c r="B949" t="str">
        <f t="shared" si="107"/>
        <v>2012</v>
      </c>
      <c r="C949" t="str">
        <f t="shared" si="108"/>
        <v>?</v>
      </c>
      <c r="D949" t="str">
        <f t="shared" si="109"/>
        <v>Jamila Sam Haroud</v>
      </c>
      <c r="E949" s="3" t="str">
        <f t="shared" si="110"/>
        <v/>
      </c>
      <c r="F949" s="3" t="str">
        <f t="shared" si="111"/>
        <v>.pdf</v>
      </c>
      <c r="G949">
        <f t="shared" si="112"/>
        <v>86</v>
      </c>
      <c r="H949" s="3">
        <f>LEN(Table1[[#This Row],[Auteur]])</f>
        <v>17</v>
      </c>
      <c r="I949" s="3" t="str">
        <f t="shared" si="113"/>
        <v>Cours programmation C++ et programmation orientée objet</v>
      </c>
    </row>
    <row r="950" spans="1:9" x14ac:dyDescent="0.45">
      <c r="A950" t="s">
        <v>1286</v>
      </c>
      <c r="B950" t="str">
        <f t="shared" si="107"/>
        <v>2013</v>
      </c>
      <c r="C950" t="str">
        <f t="shared" si="108"/>
        <v>Apress</v>
      </c>
      <c r="D950" t="str">
        <f t="shared" si="109"/>
        <v>Michael Welschenbach</v>
      </c>
      <c r="E950" s="3" t="str">
        <f t="shared" si="110"/>
        <v/>
      </c>
      <c r="F950" s="3" t="str">
        <f t="shared" si="111"/>
        <v>.pdf</v>
      </c>
      <c r="G950" s="3">
        <f t="shared" si="112"/>
        <v>76</v>
      </c>
      <c r="H950" s="3">
        <f>LEN(Table1[[#This Row],[Auteur]])</f>
        <v>20</v>
      </c>
      <c r="I950" s="3" t="str">
        <f t="shared" si="113"/>
        <v>Cryptography in C &amp; C++</v>
      </c>
    </row>
    <row r="951" spans="1:9" x14ac:dyDescent="0.45">
      <c r="A951" t="s">
        <v>1287</v>
      </c>
      <c r="B951" t="str">
        <f t="shared" si="107"/>
        <v>2010</v>
      </c>
      <c r="C951" t="str">
        <f t="shared" si="108"/>
        <v>CareerMonk</v>
      </c>
      <c r="D951" t="str">
        <f t="shared" si="109"/>
        <v>Narashima Karumanchi</v>
      </c>
      <c r="E951" s="3" t="str">
        <f t="shared" si="110"/>
        <v/>
      </c>
      <c r="F951" t="str">
        <f t="shared" si="111"/>
        <v>.pdf</v>
      </c>
      <c r="G951">
        <f t="shared" si="112"/>
        <v>89</v>
      </c>
      <c r="H951" s="3">
        <f>LEN(Table1[[#This Row],[Auteur]])</f>
        <v>20</v>
      </c>
      <c r="I951" s="3" t="str">
        <f t="shared" si="113"/>
        <v>Data Structures and Algorithms Made Easy</v>
      </c>
    </row>
    <row r="952" spans="1:9" x14ac:dyDescent="0.45">
      <c r="A952" t="s">
        <v>1288</v>
      </c>
      <c r="B952" t="str">
        <f t="shared" si="107"/>
        <v>2010</v>
      </c>
      <c r="C952" t="str">
        <f t="shared" si="108"/>
        <v>Cengage Learning</v>
      </c>
      <c r="D952" t="str">
        <f t="shared" si="109"/>
        <v>DS Malik</v>
      </c>
      <c r="E952" s="3" t="str">
        <f t="shared" si="110"/>
        <v/>
      </c>
      <c r="F952" t="str">
        <f t="shared" si="111"/>
        <v>.pdf</v>
      </c>
      <c r="G952">
        <f t="shared" si="112"/>
        <v>76</v>
      </c>
      <c r="H952" s="3">
        <f>LEN(Table1[[#This Row],[Auteur]])</f>
        <v>8</v>
      </c>
      <c r="I952" s="3" t="str">
        <f t="shared" si="113"/>
        <v>Data Structures Using C++</v>
      </c>
    </row>
    <row r="953" spans="1:9" x14ac:dyDescent="0.45">
      <c r="A953" t="s">
        <v>1289</v>
      </c>
      <c r="B953" t="str">
        <f t="shared" si="107"/>
        <v>2002</v>
      </c>
      <c r="C953" t="str">
        <f t="shared" si="108"/>
        <v>Addison-Wesley</v>
      </c>
      <c r="D953" t="str">
        <f t="shared" si="109"/>
        <v>Ulrich Breymann</v>
      </c>
      <c r="E953" s="3" t="str">
        <f t="shared" si="110"/>
        <v/>
      </c>
      <c r="F953" t="str">
        <f t="shared" si="111"/>
        <v>.pdf</v>
      </c>
      <c r="G953">
        <f t="shared" si="112"/>
        <v>93</v>
      </c>
      <c r="H953" s="3">
        <f>LEN(Table1[[#This Row],[Auteur]])</f>
        <v>15</v>
      </c>
      <c r="I953" s="3" t="str">
        <f t="shared" si="113"/>
        <v>Designing Components with the C++ STL</v>
      </c>
    </row>
    <row r="954" spans="1:9" x14ac:dyDescent="0.45">
      <c r="A954" t="s">
        <v>1290</v>
      </c>
      <c r="B954" t="str">
        <f t="shared" si="107"/>
        <v>2008</v>
      </c>
      <c r="C954" t="str">
        <f t="shared" si="108"/>
        <v>Addison-Wesley</v>
      </c>
      <c r="D954" t="str">
        <f t="shared" si="109"/>
        <v>Scott Meyers</v>
      </c>
      <c r="E954" s="3" t="str">
        <f t="shared" si="110"/>
        <v/>
      </c>
      <c r="F954" t="str">
        <f t="shared" si="111"/>
        <v>.pdf</v>
      </c>
      <c r="G954">
        <f t="shared" si="112"/>
        <v>121</v>
      </c>
      <c r="H954" s="3">
        <f>LEN(Table1[[#This Row],[Auteur]])</f>
        <v>12</v>
      </c>
      <c r="I954" s="3" t="str">
        <f t="shared" si="113"/>
        <v>Effective C++, 55 Specific Ways to Improve Your Programs and Designs</v>
      </c>
    </row>
    <row r="955" spans="1:9" x14ac:dyDescent="0.45">
      <c r="A955" t="s">
        <v>1291</v>
      </c>
      <c r="B955" t="str">
        <f t="shared" si="107"/>
        <v>2015</v>
      </c>
      <c r="C955" t="str">
        <f t="shared" si="108"/>
        <v>O'Reilly</v>
      </c>
      <c r="D955" t="str">
        <f t="shared" si="109"/>
        <v>Scott Meyers</v>
      </c>
      <c r="E955" s="3" t="str">
        <f t="shared" si="110"/>
        <v/>
      </c>
      <c r="F955" t="str">
        <f t="shared" si="111"/>
        <v>.epub</v>
      </c>
      <c r="G955">
        <f t="shared" si="112"/>
        <v>119</v>
      </c>
      <c r="H955" s="3">
        <f>LEN(Table1[[#This Row],[Auteur]])</f>
        <v>12</v>
      </c>
      <c r="I955" s="3" t="str">
        <f t="shared" si="113"/>
        <v>Effective Modern C++, 42 Specific Ways to Improve Your Use of C++ 11 And C++ 14</v>
      </c>
    </row>
    <row r="956" spans="1:9" x14ac:dyDescent="0.45">
      <c r="A956" t="s">
        <v>1292</v>
      </c>
      <c r="B956" t="str">
        <f t="shared" si="107"/>
        <v>2015</v>
      </c>
      <c r="C956" t="str">
        <f t="shared" si="108"/>
        <v>O'Reilly</v>
      </c>
      <c r="D956" t="str">
        <f t="shared" si="109"/>
        <v>Scott Meyers</v>
      </c>
      <c r="E956" s="3" t="str">
        <f t="shared" si="110"/>
        <v/>
      </c>
      <c r="F956" s="3" t="str">
        <f t="shared" si="111"/>
        <v>.pdf</v>
      </c>
      <c r="G956" s="3">
        <f t="shared" si="112"/>
        <v>118</v>
      </c>
      <c r="H956" s="3">
        <f>LEN(Table1[[#This Row],[Auteur]])</f>
        <v>12</v>
      </c>
      <c r="I956" s="3" t="str">
        <f t="shared" si="113"/>
        <v>Effective Modern C++, 42 Specific Ways to Improve Your Use of C++ 11 And C++ 14</v>
      </c>
    </row>
    <row r="957" spans="1:9" x14ac:dyDescent="0.45">
      <c r="A957" t="s">
        <v>1293</v>
      </c>
      <c r="B957" t="str">
        <f t="shared" si="107"/>
        <v>2001</v>
      </c>
      <c r="C957" t="str">
        <f t="shared" si="108"/>
        <v>Addison-Wesley</v>
      </c>
      <c r="D957" t="str">
        <f t="shared" si="109"/>
        <v>Scott Meyers</v>
      </c>
      <c r="E957" s="3" t="str">
        <f t="shared" si="110"/>
        <v/>
      </c>
      <c r="F957" t="str">
        <f t="shared" si="111"/>
        <v>.pdf</v>
      </c>
      <c r="G957">
        <f t="shared" si="112"/>
        <v>58</v>
      </c>
      <c r="H957" s="3">
        <f>LEN(Table1[[#This Row],[Auteur]])</f>
        <v>12</v>
      </c>
      <c r="I957" s="3" t="str">
        <f t="shared" si="113"/>
        <v>Effective STL</v>
      </c>
    </row>
    <row r="958" spans="1:9" x14ac:dyDescent="0.45">
      <c r="A958" t="s">
        <v>1294</v>
      </c>
      <c r="B958" t="str">
        <f t="shared" si="107"/>
        <v>?</v>
      </c>
      <c r="C958" t="str">
        <f t="shared" si="108"/>
        <v>?</v>
      </c>
      <c r="D958" t="str">
        <f t="shared" si="109"/>
        <v>Peter Sommerlad</v>
      </c>
      <c r="E958" s="3" t="str">
        <f t="shared" si="110"/>
        <v>Presentation</v>
      </c>
      <c r="F958" t="str">
        <f t="shared" si="111"/>
        <v>.pdf</v>
      </c>
      <c r="G958">
        <f t="shared" si="112"/>
        <v>64</v>
      </c>
      <c r="H958" s="3">
        <f>LEN(Table1[[#This Row],[Auteur]])</f>
        <v>15</v>
      </c>
      <c r="I958" s="3" t="str">
        <f t="shared" si="113"/>
        <v>Even Simpler C++ with C++14</v>
      </c>
    </row>
    <row r="959" spans="1:9" x14ac:dyDescent="0.45">
      <c r="A959" t="s">
        <v>1295</v>
      </c>
      <c r="B959" t="str">
        <f t="shared" si="107"/>
        <v>2012</v>
      </c>
      <c r="C959" t="str">
        <f t="shared" si="108"/>
        <v>?</v>
      </c>
      <c r="D959" t="str">
        <f t="shared" si="109"/>
        <v>Torsten Sehy</v>
      </c>
      <c r="E959" s="3" t="str">
        <f t="shared" si="110"/>
        <v>Presentation</v>
      </c>
      <c r="F959" t="str">
        <f t="shared" si="111"/>
        <v>.pdf</v>
      </c>
      <c r="G959">
        <f t="shared" si="112"/>
        <v>57</v>
      </c>
      <c r="H959" s="3">
        <f>LEN(Table1[[#This Row],[Auteur]])</f>
        <v>12</v>
      </c>
      <c r="I959" s="3" t="str">
        <f t="shared" si="113"/>
        <v>Evolution of C++</v>
      </c>
    </row>
    <row r="960" spans="1:9" x14ac:dyDescent="0.45">
      <c r="A960" t="s">
        <v>1296</v>
      </c>
      <c r="B960" t="str">
        <f t="shared" si="107"/>
        <v>2007</v>
      </c>
      <c r="C960" t="str">
        <f t="shared" si="108"/>
        <v>Eyrolles</v>
      </c>
      <c r="D960" t="str">
        <f t="shared" si="109"/>
        <v>Claude Delannoy</v>
      </c>
      <c r="E960" s="3" t="str">
        <f t="shared" si="110"/>
        <v/>
      </c>
      <c r="F960" t="str">
        <f t="shared" si="111"/>
        <v>.pdf</v>
      </c>
      <c r="G960">
        <f t="shared" si="112"/>
        <v>65</v>
      </c>
      <c r="H960" s="3">
        <f>LEN(Table1[[#This Row],[Auteur]])</f>
        <v>15</v>
      </c>
      <c r="I960" s="3" t="str">
        <f t="shared" si="113"/>
        <v>Exercices en C++</v>
      </c>
    </row>
    <row r="961" spans="1:9" x14ac:dyDescent="0.45">
      <c r="A961" t="s">
        <v>1297</v>
      </c>
      <c r="B961" t="str">
        <f t="shared" si="107"/>
        <v>1994</v>
      </c>
      <c r="C961" t="str">
        <f t="shared" si="108"/>
        <v>Prentice Hall</v>
      </c>
      <c r="D961" t="str">
        <f t="shared" si="109"/>
        <v>Peter van der Linden</v>
      </c>
      <c r="E961" s="3" t="str">
        <f t="shared" si="110"/>
        <v/>
      </c>
      <c r="F961" s="3" t="str">
        <f t="shared" si="111"/>
        <v>.pdf</v>
      </c>
      <c r="G961">
        <f t="shared" si="112"/>
        <v>87</v>
      </c>
      <c r="H961" s="3">
        <f>LEN(Table1[[#This Row],[Auteur]])</f>
        <v>20</v>
      </c>
      <c r="I961" s="3" t="str">
        <f t="shared" si="113"/>
        <v>Expert C Programming Deep C Secrets</v>
      </c>
    </row>
    <row r="962" spans="1:9" x14ac:dyDescent="0.45">
      <c r="A962" t="s">
        <v>1298</v>
      </c>
      <c r="B962" t="str">
        <f t="shared" ref="B962:B1025" si="114">DatePub(A962)</f>
        <v>1994</v>
      </c>
      <c r="C962" t="str">
        <f t="shared" ref="C962:C1025" si="115">Editeur(A962)</f>
        <v>Prentice Hall</v>
      </c>
      <c r="D962" t="str">
        <f t="shared" ref="D962:D1025" si="116">Auteur(A962)</f>
        <v>Peter van der Linden</v>
      </c>
      <c r="E962" s="3" t="str">
        <f t="shared" ref="E962:E1025" si="117">ExtraInfo(A962)</f>
        <v>Cropped</v>
      </c>
      <c r="F962" t="str">
        <f t="shared" ref="F962:F1025" si="118">Extension(A962)</f>
        <v>.pdf</v>
      </c>
      <c r="G962">
        <f t="shared" ref="G962:G1025" si="119">LenFileName(A962)</f>
        <v>97</v>
      </c>
      <c r="H962" s="3">
        <f>LEN(Table1[[#This Row],[Auteur]])</f>
        <v>20</v>
      </c>
      <c r="I962" s="3" t="str">
        <f t="shared" ref="I962:I1005" si="120">Title(A962)</f>
        <v>Expert C Programming Deep C Secrets</v>
      </c>
    </row>
    <row r="963" spans="1:9" x14ac:dyDescent="0.45">
      <c r="A963" t="s">
        <v>1299</v>
      </c>
      <c r="B963" t="str">
        <f t="shared" si="114"/>
        <v>2016</v>
      </c>
      <c r="C963" t="str">
        <f t="shared" si="115"/>
        <v>?</v>
      </c>
      <c r="D963" t="str">
        <f t="shared" si="116"/>
        <v>Richard L. Halterman</v>
      </c>
      <c r="E963" s="3" t="str">
        <f t="shared" si="117"/>
        <v>Draft Cropped</v>
      </c>
      <c r="F963" t="str">
        <f t="shared" si="118"/>
        <v>.pdf</v>
      </c>
      <c r="G963">
        <f t="shared" si="119"/>
        <v>81</v>
      </c>
      <c r="H963" s="3">
        <f>LEN(Table1[[#This Row],[Auteur]])</f>
        <v>20</v>
      </c>
      <c r="I963" s="3" t="str">
        <f t="shared" si="120"/>
        <v>Fundamentals of Programming C++</v>
      </c>
    </row>
    <row r="964" spans="1:9" x14ac:dyDescent="0.45">
      <c r="A964" t="s">
        <v>1300</v>
      </c>
      <c r="B964" t="str">
        <f t="shared" si="114"/>
        <v>2016</v>
      </c>
      <c r="C964" t="str">
        <f t="shared" si="115"/>
        <v>?</v>
      </c>
      <c r="D964" t="str">
        <f t="shared" si="116"/>
        <v>Richard L. Halterman</v>
      </c>
      <c r="E964" s="3" t="str">
        <f t="shared" si="117"/>
        <v>Draft</v>
      </c>
      <c r="F964" s="3" t="str">
        <f t="shared" si="118"/>
        <v>.pdf</v>
      </c>
      <c r="G964">
        <f t="shared" si="119"/>
        <v>73</v>
      </c>
      <c r="H964" s="3">
        <f>LEN(Table1[[#This Row],[Auteur]])</f>
        <v>20</v>
      </c>
      <c r="I964" s="3" t="str">
        <f t="shared" si="120"/>
        <v>Fundamentals of Programming C++</v>
      </c>
    </row>
    <row r="965" spans="1:9" x14ac:dyDescent="0.45">
      <c r="A965" t="s">
        <v>1301</v>
      </c>
      <c r="B965" t="str">
        <f t="shared" si="114"/>
        <v>2005</v>
      </c>
      <c r="C965" t="str">
        <f t="shared" si="115"/>
        <v>GNU Press</v>
      </c>
      <c r="D965" t="str">
        <f t="shared" si="116"/>
        <v>Richard M. Stallman</v>
      </c>
      <c r="E965" s="3" t="str">
        <f t="shared" si="117"/>
        <v/>
      </c>
      <c r="F965" s="3" t="str">
        <f t="shared" si="118"/>
        <v>.pdf</v>
      </c>
      <c r="G965">
        <f t="shared" si="119"/>
        <v>56</v>
      </c>
      <c r="H965" s="3">
        <f>LEN(Table1[[#This Row],[Auteur]])</f>
        <v>19</v>
      </c>
      <c r="I965" s="3" t="str">
        <f t="shared" si="120"/>
        <v>GCC 4.1.2</v>
      </c>
    </row>
    <row r="966" spans="1:9" x14ac:dyDescent="0.45">
      <c r="A966" t="s">
        <v>1302</v>
      </c>
      <c r="B966" t="str">
        <f t="shared" si="114"/>
        <v>2010</v>
      </c>
      <c r="C966" t="str">
        <f t="shared" si="115"/>
        <v>GNU Press</v>
      </c>
      <c r="D966" t="str">
        <f t="shared" si="116"/>
        <v>Richard M. Stallman</v>
      </c>
      <c r="E966" s="3" t="str">
        <f t="shared" si="117"/>
        <v/>
      </c>
      <c r="F966" t="str">
        <f t="shared" si="118"/>
        <v>.pdf</v>
      </c>
      <c r="G966">
        <f t="shared" si="119"/>
        <v>56</v>
      </c>
      <c r="H966" s="3">
        <f>LEN(Table1[[#This Row],[Auteur]])</f>
        <v>19</v>
      </c>
      <c r="I966" s="3" t="str">
        <f t="shared" si="120"/>
        <v>GCC 4.6.2</v>
      </c>
    </row>
    <row r="967" spans="1:9" x14ac:dyDescent="0.45">
      <c r="A967" t="s">
        <v>1303</v>
      </c>
      <c r="B967" t="str">
        <f t="shared" si="114"/>
        <v>2015</v>
      </c>
      <c r="C967" t="str">
        <f t="shared" si="115"/>
        <v>GNU Press</v>
      </c>
      <c r="D967" t="str">
        <f t="shared" si="116"/>
        <v>Richard M. Stallman</v>
      </c>
      <c r="E967" s="3" t="str">
        <f t="shared" si="117"/>
        <v/>
      </c>
      <c r="F967" s="3" t="str">
        <f t="shared" si="118"/>
        <v>.pdf</v>
      </c>
      <c r="G967" s="3">
        <f t="shared" si="119"/>
        <v>56</v>
      </c>
      <c r="H967" s="3">
        <f>LEN(Table1[[#This Row],[Auteur]])</f>
        <v>19</v>
      </c>
      <c r="I967" s="3" t="str">
        <f t="shared" si="120"/>
        <v>GCC 5.2.0</v>
      </c>
    </row>
    <row r="968" spans="1:9" x14ac:dyDescent="0.45">
      <c r="A968" t="s">
        <v>1304</v>
      </c>
      <c r="B968" t="str">
        <f t="shared" si="114"/>
        <v>2016</v>
      </c>
      <c r="C968" t="str">
        <f t="shared" si="115"/>
        <v>GNU Press</v>
      </c>
      <c r="D968" t="str">
        <f t="shared" si="116"/>
        <v>Richard M. Stallman</v>
      </c>
      <c r="E968" s="3" t="str">
        <f t="shared" si="117"/>
        <v>Pre-release</v>
      </c>
      <c r="F968" s="3" t="str">
        <f t="shared" si="118"/>
        <v>.pdf</v>
      </c>
      <c r="G968">
        <f t="shared" si="119"/>
        <v>70</v>
      </c>
      <c r="H968" s="3">
        <f>LEN(Table1[[#This Row],[Auteur]])</f>
        <v>19</v>
      </c>
      <c r="I968" s="3" t="str">
        <f t="shared" si="120"/>
        <v>GCC 7.0.0</v>
      </c>
    </row>
    <row r="969" spans="1:9" x14ac:dyDescent="0.45">
      <c r="A969" t="s">
        <v>1305</v>
      </c>
      <c r="B969" t="str">
        <f t="shared" si="114"/>
        <v>2002</v>
      </c>
      <c r="C969" t="str">
        <f t="shared" si="115"/>
        <v>McGraw-Hill</v>
      </c>
      <c r="D969" t="str">
        <f t="shared" si="116"/>
        <v>Arthur Griffith</v>
      </c>
      <c r="E969" s="3" t="str">
        <f t="shared" si="117"/>
        <v/>
      </c>
      <c r="F969" t="str">
        <f t="shared" si="118"/>
        <v>.pdf</v>
      </c>
      <c r="G969">
        <f t="shared" si="119"/>
        <v>72</v>
      </c>
      <c r="H969" s="3">
        <f>LEN(Table1[[#This Row],[Auteur]])</f>
        <v>15</v>
      </c>
      <c r="I969" s="3" t="str">
        <f t="shared" si="120"/>
        <v>GCC, The Complete Reference</v>
      </c>
    </row>
    <row r="970" spans="1:9" x14ac:dyDescent="0.45">
      <c r="A970" t="s">
        <v>1306</v>
      </c>
      <c r="B970" t="str">
        <f t="shared" si="114"/>
        <v>1992</v>
      </c>
      <c r="C970" t="str">
        <f t="shared" si="115"/>
        <v>Cambridge</v>
      </c>
      <c r="D970" t="str">
        <f t="shared" si="116"/>
        <v>Donald Alcock</v>
      </c>
      <c r="E970" s="3" t="str">
        <f t="shared" si="117"/>
        <v/>
      </c>
      <c r="F970" s="3" t="str">
        <f t="shared" si="118"/>
        <v>.pdf</v>
      </c>
      <c r="G970">
        <f t="shared" si="119"/>
        <v>55</v>
      </c>
      <c r="H970" s="3">
        <f>LEN(Table1[[#This Row],[Auteur]])</f>
        <v>13</v>
      </c>
      <c r="I970" s="3" t="str">
        <f t="shared" si="120"/>
        <v>Illustrating C</v>
      </c>
    </row>
    <row r="971" spans="1:9" x14ac:dyDescent="0.45">
      <c r="A971" t="s">
        <v>1307</v>
      </c>
      <c r="B971" t="str">
        <f t="shared" si="114"/>
        <v>2011</v>
      </c>
      <c r="C971" t="str">
        <f t="shared" si="115"/>
        <v>Dunod</v>
      </c>
      <c r="D971" t="str">
        <f t="shared" si="116"/>
        <v>Rémy Malgouyres, Rita Zrour, Fabien Feschet</v>
      </c>
      <c r="E971" s="3" t="str">
        <f t="shared" si="117"/>
        <v/>
      </c>
      <c r="F971" s="3" t="str">
        <f t="shared" si="118"/>
        <v>.pdf</v>
      </c>
      <c r="G971" s="3">
        <f t="shared" si="119"/>
        <v>129</v>
      </c>
      <c r="H971" s="3">
        <f>LEN(Table1[[#This Row],[Auteur]])</f>
        <v>43</v>
      </c>
      <c r="I971" s="3" t="str">
        <f t="shared" si="120"/>
        <v>Initiation à l'algorithmique et à la programmation en C</v>
      </c>
    </row>
    <row r="972" spans="1:9" x14ac:dyDescent="0.45">
      <c r="A972" t="s">
        <v>1308</v>
      </c>
      <c r="B972" t="str">
        <f t="shared" si="114"/>
        <v>2013</v>
      </c>
      <c r="C972" t="str">
        <f t="shared" si="115"/>
        <v>?</v>
      </c>
      <c r="D972" t="str">
        <f t="shared" si="116"/>
        <v>Pierre Saramito</v>
      </c>
      <c r="E972" s="3" t="str">
        <f t="shared" si="117"/>
        <v/>
      </c>
      <c r="F972" s="3" t="str">
        <f t="shared" si="118"/>
        <v>.pdf</v>
      </c>
      <c r="G972">
        <f t="shared" si="119"/>
        <v>63</v>
      </c>
      <c r="H972" s="3">
        <f>LEN(Table1[[#This Row],[Auteur]])</f>
        <v>15</v>
      </c>
      <c r="I972" s="3" t="str">
        <f t="shared" si="120"/>
        <v>Langage C++ et calcul scientifique</v>
      </c>
    </row>
    <row r="973" spans="1:9" x14ac:dyDescent="0.45">
      <c r="A973" t="s">
        <v>1309</v>
      </c>
      <c r="B973" t="str">
        <f t="shared" si="114"/>
        <v>2010</v>
      </c>
      <c r="C973" t="str">
        <f t="shared" si="115"/>
        <v>Framabook</v>
      </c>
      <c r="D973" t="str">
        <f t="shared" si="116"/>
        <v>Eric Berthomier, Daniel Schang</v>
      </c>
      <c r="E973" s="3" t="str">
        <f t="shared" si="117"/>
        <v/>
      </c>
      <c r="F973" t="str">
        <f t="shared" si="118"/>
        <v>.pdf</v>
      </c>
      <c r="G973">
        <f t="shared" si="119"/>
        <v>75</v>
      </c>
      <c r="H973" s="3">
        <f>LEN(Table1[[#This Row],[Auteur]])</f>
        <v>30</v>
      </c>
      <c r="I973" s="3" t="str">
        <f t="shared" si="120"/>
        <v>Le C en 20 heures</v>
      </c>
    </row>
    <row r="974" spans="1:9" x14ac:dyDescent="0.45">
      <c r="A974" t="s">
        <v>1310</v>
      </c>
      <c r="B974" t="str">
        <f t="shared" si="114"/>
        <v>1999</v>
      </c>
      <c r="C974" t="str">
        <f t="shared" si="115"/>
        <v>?</v>
      </c>
      <c r="D974" t="str">
        <f t="shared" si="116"/>
        <v>Ours blanc des Carpathes</v>
      </c>
      <c r="E974" s="3" t="str">
        <f t="shared" si="117"/>
        <v/>
      </c>
      <c r="F974" t="str">
        <f t="shared" si="118"/>
        <v>.pdf</v>
      </c>
      <c r="G974">
        <f t="shared" si="119"/>
        <v>58</v>
      </c>
      <c r="H974" s="3">
        <f>LEN(Table1[[#This Row],[Auteur]])</f>
        <v>24</v>
      </c>
      <c r="I974" s="3" t="str">
        <f t="shared" si="120"/>
        <v>Le C++ pour les pros</v>
      </c>
    </row>
    <row r="975" spans="1:9" x14ac:dyDescent="0.45">
      <c r="A975" t="s">
        <v>1311</v>
      </c>
      <c r="B975" t="str">
        <f t="shared" si="114"/>
        <v>2016</v>
      </c>
      <c r="C975" t="str">
        <f t="shared" si="115"/>
        <v>?</v>
      </c>
      <c r="D975" t="str">
        <f t="shared" si="116"/>
        <v>Zeste de savoir</v>
      </c>
      <c r="E975" s="3" t="str">
        <f t="shared" si="117"/>
        <v/>
      </c>
      <c r="F975" t="str">
        <f t="shared" si="118"/>
        <v>.pdf</v>
      </c>
      <c r="G975">
        <f t="shared" si="119"/>
        <v>48</v>
      </c>
      <c r="H975" s="3">
        <f>LEN(Table1[[#This Row],[Auteur]])</f>
        <v>15</v>
      </c>
      <c r="I975" s="3" t="str">
        <f t="shared" si="120"/>
        <v>Le C++14 est arrivé</v>
      </c>
    </row>
    <row r="976" spans="1:9" x14ac:dyDescent="0.45">
      <c r="A976" t="s">
        <v>1312</v>
      </c>
      <c r="B976" t="str">
        <f t="shared" si="114"/>
        <v>2006</v>
      </c>
      <c r="C976" t="str">
        <f t="shared" si="115"/>
        <v>?</v>
      </c>
      <c r="D976" t="str">
        <f t="shared" si="116"/>
        <v>H. Garreta</v>
      </c>
      <c r="E976" s="3" t="str">
        <f t="shared" si="117"/>
        <v/>
      </c>
      <c r="F976" t="str">
        <f t="shared" si="118"/>
        <v>.pdf</v>
      </c>
      <c r="G976">
        <f t="shared" si="119"/>
        <v>36</v>
      </c>
      <c r="H976" s="3">
        <f>LEN(Table1[[#This Row],[Auteur]])</f>
        <v>10</v>
      </c>
      <c r="I976" s="3" t="str">
        <f t="shared" si="120"/>
        <v>Le langage C</v>
      </c>
    </row>
    <row r="977" spans="1:9" x14ac:dyDescent="0.45">
      <c r="A977" t="s">
        <v>1313</v>
      </c>
      <c r="B977" t="str">
        <f t="shared" si="114"/>
        <v>2009</v>
      </c>
      <c r="C977" t="str">
        <f t="shared" si="115"/>
        <v>Pearson</v>
      </c>
      <c r="D977" t="str">
        <f t="shared" si="116"/>
        <v>Jesse Liberty, Bradley Jones</v>
      </c>
      <c r="E977" s="3" t="str">
        <f t="shared" si="117"/>
        <v/>
      </c>
      <c r="F977" t="str">
        <f t="shared" si="118"/>
        <v>.pdf</v>
      </c>
      <c r="G977">
        <f t="shared" si="119"/>
        <v>108</v>
      </c>
      <c r="H977" s="3">
        <f>LEN(Table1[[#This Row],[Auteur]])</f>
        <v>28</v>
      </c>
      <c r="I977" s="3" t="str">
        <f t="shared" si="120"/>
        <v>Le langage C++, Initiez-vous à la programmation en C++</v>
      </c>
    </row>
    <row r="978" spans="1:9" x14ac:dyDescent="0.45">
      <c r="A978" t="s">
        <v>1314</v>
      </c>
      <c r="B978" t="str">
        <f t="shared" si="114"/>
        <v>2007</v>
      </c>
      <c r="C978" t="str">
        <f t="shared" si="115"/>
        <v>Eyrolles</v>
      </c>
      <c r="D978" t="str">
        <f t="shared" si="116"/>
        <v>Claude Delannoy</v>
      </c>
      <c r="E978" s="3" t="str">
        <f t="shared" si="117"/>
        <v/>
      </c>
      <c r="F978" s="3" t="str">
        <f t="shared" si="118"/>
        <v>.pdf</v>
      </c>
      <c r="G978">
        <f t="shared" si="119"/>
        <v>115</v>
      </c>
      <c r="H978" s="3">
        <f>LEN(Table1[[#This Row],[Auteur]])</f>
        <v>15</v>
      </c>
      <c r="I978" s="3" t="str">
        <f t="shared" si="120"/>
        <v>Le livre du C, Premier langage, Pour les vrais débutants en programmation</v>
      </c>
    </row>
    <row r="979" spans="1:9" x14ac:dyDescent="0.45">
      <c r="A979" t="s">
        <v>1315</v>
      </c>
      <c r="B979" t="str">
        <f t="shared" si="114"/>
        <v>2009</v>
      </c>
      <c r="C979" t="str">
        <f t="shared" si="115"/>
        <v>Apress</v>
      </c>
      <c r="D979" t="str">
        <f t="shared" si="116"/>
        <v>Dave Mark</v>
      </c>
      <c r="E979" s="3" t="str">
        <f t="shared" si="117"/>
        <v/>
      </c>
      <c r="F979" s="3" t="str">
        <f t="shared" si="118"/>
        <v>.pdf</v>
      </c>
      <c r="G979">
        <f t="shared" si="119"/>
        <v>60</v>
      </c>
      <c r="H979" s="3">
        <f>LEN(Table1[[#This Row],[Auteur]])</f>
        <v>9</v>
      </c>
      <c r="I979" s="3" t="str">
        <f t="shared" si="120"/>
        <v>Learn C on the Mac</v>
      </c>
    </row>
    <row r="980" spans="1:9" x14ac:dyDescent="0.45">
      <c r="A980" t="s">
        <v>1316</v>
      </c>
      <c r="B980" t="str">
        <f t="shared" si="114"/>
        <v>2009</v>
      </c>
      <c r="C980" t="str">
        <f t="shared" si="115"/>
        <v>Apress</v>
      </c>
      <c r="D980" t="str">
        <f t="shared" si="116"/>
        <v>Dave Mark</v>
      </c>
      <c r="E980" s="3" t="str">
        <f t="shared" si="117"/>
        <v/>
      </c>
      <c r="F980" t="str">
        <f t="shared" si="118"/>
        <v>.pdf</v>
      </c>
      <c r="G980">
        <f t="shared" si="119"/>
        <v>52</v>
      </c>
      <c r="H980" s="3">
        <f>LEN(Table1[[#This Row],[Auteur]])</f>
        <v>9</v>
      </c>
      <c r="I980" s="3" t="str">
        <f t="shared" si="120"/>
        <v>Learn C on the Mac</v>
      </c>
    </row>
    <row r="981" spans="1:9" x14ac:dyDescent="0.45">
      <c r="A981" t="s">
        <v>1317</v>
      </c>
      <c r="B981" t="str">
        <f t="shared" si="114"/>
        <v>2014</v>
      </c>
      <c r="C981" t="str">
        <f t="shared" si="115"/>
        <v>Tutorials Point</v>
      </c>
      <c r="D981" t="str">
        <f t="shared" si="116"/>
        <v>?</v>
      </c>
      <c r="E981" s="3" t="str">
        <f t="shared" si="117"/>
        <v/>
      </c>
      <c r="F981" t="str">
        <f t="shared" si="118"/>
        <v>.pdf</v>
      </c>
      <c r="G981">
        <f t="shared" si="119"/>
        <v>40</v>
      </c>
      <c r="H981" s="3">
        <f>LEN(Table1[[#This Row],[Auteur]])</f>
        <v>1</v>
      </c>
      <c r="I981" s="3" t="str">
        <f t="shared" si="120"/>
        <v>Learn C++</v>
      </c>
    </row>
    <row r="982" spans="1:9" x14ac:dyDescent="0.45">
      <c r="A982" t="s">
        <v>1318</v>
      </c>
      <c r="B982" t="str">
        <f t="shared" si="114"/>
        <v>2015</v>
      </c>
      <c r="C982" t="str">
        <f t="shared" si="115"/>
        <v>Acodemy</v>
      </c>
      <c r="D982" t="str">
        <f t="shared" si="116"/>
        <v>?</v>
      </c>
      <c r="E982" s="3" t="str">
        <f t="shared" si="117"/>
        <v/>
      </c>
      <c r="F982" s="3" t="str">
        <f t="shared" si="118"/>
        <v>.epub</v>
      </c>
      <c r="G982">
        <f t="shared" si="119"/>
        <v>42</v>
      </c>
      <c r="H982" s="3">
        <f>LEN(Table1[[#This Row],[Auteur]])</f>
        <v>1</v>
      </c>
      <c r="I982" s="3" t="str">
        <f t="shared" si="120"/>
        <v>Learn C++ in a Day</v>
      </c>
    </row>
    <row r="983" spans="1:9" x14ac:dyDescent="0.45">
      <c r="A983" t="s">
        <v>1319</v>
      </c>
      <c r="B983" t="str">
        <f t="shared" si="114"/>
        <v>2015</v>
      </c>
      <c r="C983" t="str">
        <f t="shared" si="115"/>
        <v>Acodemy</v>
      </c>
      <c r="D983" t="str">
        <f t="shared" si="116"/>
        <v>?</v>
      </c>
      <c r="E983" s="3" t="str">
        <f t="shared" si="117"/>
        <v/>
      </c>
      <c r="F983" t="str">
        <f t="shared" si="118"/>
        <v>.pdf</v>
      </c>
      <c r="G983">
        <f t="shared" si="119"/>
        <v>41</v>
      </c>
      <c r="H983" s="3">
        <f>LEN(Table1[[#This Row],[Auteur]])</f>
        <v>1</v>
      </c>
      <c r="I983" s="3" t="str">
        <f t="shared" si="120"/>
        <v>Learn C++ in a Day</v>
      </c>
    </row>
    <row r="984" spans="1:9" x14ac:dyDescent="0.45">
      <c r="A984" t="s">
        <v>1320</v>
      </c>
      <c r="B984" t="str">
        <f t="shared" si="114"/>
        <v>2016</v>
      </c>
      <c r="C984" t="str">
        <f t="shared" si="115"/>
        <v>O'Reilly</v>
      </c>
      <c r="D984" t="str">
        <f t="shared" si="116"/>
        <v>Adrian Kaehler</v>
      </c>
      <c r="E984" s="3" t="str">
        <f t="shared" si="117"/>
        <v>Early Release</v>
      </c>
      <c r="F984" t="str">
        <f t="shared" si="118"/>
        <v>.pdf</v>
      </c>
      <c r="G984">
        <f t="shared" si="119"/>
        <v>108</v>
      </c>
      <c r="H984" s="3">
        <f>LEN(Table1[[#This Row],[Auteur]])</f>
        <v>14</v>
      </c>
      <c r="I984" s="3" t="str">
        <f t="shared" si="120"/>
        <v>Learning OpenCV 2.5, Computer Vision in C++</v>
      </c>
    </row>
    <row r="985" spans="1:9" x14ac:dyDescent="0.45">
      <c r="A985" t="s">
        <v>1321</v>
      </c>
      <c r="B985" t="str">
        <f t="shared" si="114"/>
        <v>2004</v>
      </c>
      <c r="C985" t="str">
        <f t="shared" si="115"/>
        <v>BPB</v>
      </c>
      <c r="D985" t="str">
        <f t="shared" si="116"/>
        <v>Yashwant Kanetkar</v>
      </c>
      <c r="E985" s="3" t="str">
        <f t="shared" si="117"/>
        <v/>
      </c>
      <c r="F985" t="str">
        <f t="shared" si="118"/>
        <v>.pdf</v>
      </c>
      <c r="G985">
        <f t="shared" si="119"/>
        <v>55</v>
      </c>
      <c r="H985" s="3">
        <f>LEN(Table1[[#This Row],[Auteur]])</f>
        <v>17</v>
      </c>
      <c r="I985" s="3" t="str">
        <f t="shared" si="120"/>
        <v>Let Us C</v>
      </c>
    </row>
    <row r="986" spans="1:9" x14ac:dyDescent="0.45">
      <c r="A986" t="s">
        <v>1322</v>
      </c>
      <c r="B986" t="str">
        <f t="shared" si="114"/>
        <v>2000</v>
      </c>
      <c r="C986" t="str">
        <f t="shared" si="115"/>
        <v>Eyrolles</v>
      </c>
      <c r="D986" t="str">
        <f t="shared" si="116"/>
        <v>Herb Sutter</v>
      </c>
      <c r="E986" s="3" t="str">
        <f t="shared" si="117"/>
        <v/>
      </c>
      <c r="F986" t="str">
        <f t="shared" si="118"/>
        <v>.pdf</v>
      </c>
      <c r="G986">
        <f t="shared" si="119"/>
        <v>61</v>
      </c>
      <c r="H986" s="3">
        <f>LEN(Table1[[#This Row],[Auteur]])</f>
        <v>11</v>
      </c>
      <c r="I986" s="3" t="str">
        <f t="shared" si="120"/>
        <v>Mieux programmer en C++</v>
      </c>
    </row>
    <row r="987" spans="1:9" x14ac:dyDescent="0.45">
      <c r="A987" t="s">
        <v>1323</v>
      </c>
      <c r="B987" t="str">
        <f t="shared" si="114"/>
        <v>2010</v>
      </c>
      <c r="C987" t="str">
        <f t="shared" si="115"/>
        <v>Dunod</v>
      </c>
      <c r="D987" t="str">
        <f t="shared" si="116"/>
        <v>Jean-Michel Révillac</v>
      </c>
      <c r="E987" s="3" t="str">
        <f t="shared" si="117"/>
        <v/>
      </c>
      <c r="F987" t="str">
        <f t="shared" si="118"/>
        <v>.pdf</v>
      </c>
      <c r="G987">
        <f t="shared" si="119"/>
        <v>83</v>
      </c>
      <c r="H987" s="3">
        <f>LEN(Table1[[#This Row],[Auteur]])</f>
        <v>20</v>
      </c>
      <c r="I987" s="3" t="str">
        <f t="shared" si="120"/>
        <v>Mini manuel de C++, Cours+exos corrigés</v>
      </c>
    </row>
    <row r="988" spans="1:9" x14ac:dyDescent="0.45">
      <c r="A988" t="s">
        <v>1324</v>
      </c>
      <c r="B988" t="str">
        <f t="shared" si="114"/>
        <v>2001</v>
      </c>
      <c r="C988" t="str">
        <f t="shared" si="115"/>
        <v>Addison-Wesley</v>
      </c>
      <c r="D988" t="str">
        <f t="shared" si="116"/>
        <v>Andrei Alexandrescu</v>
      </c>
      <c r="E988" s="3" t="str">
        <f t="shared" si="117"/>
        <v/>
      </c>
      <c r="F988" t="str">
        <f t="shared" si="118"/>
        <v>.pdf</v>
      </c>
      <c r="G988">
        <f t="shared" si="119"/>
        <v>69</v>
      </c>
      <c r="H988" s="3">
        <f>LEN(Table1[[#This Row],[Auteur]])</f>
        <v>19</v>
      </c>
      <c r="I988" s="3" t="str">
        <f t="shared" si="120"/>
        <v>Modern C++ Design</v>
      </c>
    </row>
    <row r="989" spans="1:9" x14ac:dyDescent="0.45">
      <c r="A989" t="s">
        <v>1325</v>
      </c>
      <c r="B989" t="str">
        <f t="shared" si="114"/>
        <v>2008</v>
      </c>
      <c r="C989" t="str">
        <f t="shared" si="115"/>
        <v>Addison-Wesley</v>
      </c>
      <c r="D989" t="str">
        <f t="shared" si="116"/>
        <v>Scott Meyers</v>
      </c>
      <c r="E989" s="3" t="str">
        <f t="shared" si="117"/>
        <v/>
      </c>
      <c r="F989" t="str">
        <f t="shared" si="118"/>
        <v>.pdf</v>
      </c>
      <c r="G989">
        <f t="shared" si="119"/>
        <v>113</v>
      </c>
      <c r="H989" s="3">
        <f>LEN(Table1[[#This Row],[Auteur]])</f>
        <v>12</v>
      </c>
      <c r="I989" s="3" t="str">
        <f t="shared" si="120"/>
        <v>More Effective C++, 35 New Ways to Improve Your Programs and Designs</v>
      </c>
    </row>
    <row r="990" spans="1:9" x14ac:dyDescent="0.45">
      <c r="A990" t="s">
        <v>1326</v>
      </c>
      <c r="B990" t="str">
        <f t="shared" si="114"/>
        <v>2001</v>
      </c>
      <c r="C990" t="str">
        <f t="shared" si="115"/>
        <v>Addison-Wesley</v>
      </c>
      <c r="D990" t="str">
        <f t="shared" si="116"/>
        <v>Herb Sutter</v>
      </c>
      <c r="E990" s="3" t="str">
        <f t="shared" si="117"/>
        <v/>
      </c>
      <c r="F990" t="str">
        <f t="shared" si="118"/>
        <v>.pdf</v>
      </c>
      <c r="G990">
        <f t="shared" si="119"/>
        <v>127</v>
      </c>
      <c r="H990" s="3">
        <f>LEN(Table1[[#This Row],[Auteur]])</f>
        <v>11</v>
      </c>
      <c r="I990" s="3" t="str">
        <f t="shared" si="120"/>
        <v>More Exceptional C++, 40 New Engineering Puzzles Programming Problems and Solutions</v>
      </c>
    </row>
    <row r="991" spans="1:9" x14ac:dyDescent="0.45">
      <c r="A991" t="s">
        <v>1327</v>
      </c>
      <c r="B991" t="str">
        <f t="shared" si="114"/>
        <v>2010</v>
      </c>
      <c r="C991" t="str">
        <f t="shared" si="115"/>
        <v>?</v>
      </c>
      <c r="D991" t="str">
        <f t="shared" si="116"/>
        <v>Scott Meyers</v>
      </c>
      <c r="E991" s="3" t="str">
        <f t="shared" si="117"/>
        <v>Presentation</v>
      </c>
      <c r="F991" t="str">
        <f t="shared" si="118"/>
        <v>.pdf</v>
      </c>
      <c r="G991">
        <f t="shared" si="119"/>
        <v>97</v>
      </c>
      <c r="H991" s="3">
        <f>LEN(Table1[[#This Row],[Auteur]])</f>
        <v>12</v>
      </c>
      <c r="I991" s="3" t="str">
        <f t="shared" si="120"/>
        <v>Move Semantics, Rvalue References and Perfect Forwarding</v>
      </c>
    </row>
    <row r="992" spans="1:9" x14ac:dyDescent="0.45">
      <c r="A992" t="s">
        <v>1328</v>
      </c>
      <c r="B992" t="str">
        <f t="shared" si="114"/>
        <v>2007</v>
      </c>
      <c r="C992" t="str">
        <f t="shared" si="115"/>
        <v>?</v>
      </c>
      <c r="D992" t="str">
        <f t="shared" si="116"/>
        <v>Committee Draft</v>
      </c>
      <c r="E992" s="3" t="str">
        <f t="shared" si="117"/>
        <v/>
      </c>
      <c r="F992" t="str">
        <f t="shared" si="118"/>
        <v>.pdf</v>
      </c>
      <c r="G992">
        <f t="shared" si="119"/>
        <v>78</v>
      </c>
      <c r="H992" s="3">
        <f>LEN(Table1[[#This Row],[Auteur]])</f>
        <v>15</v>
      </c>
      <c r="I992" s="3" t="str">
        <f t="shared" si="120"/>
        <v>N1256 ISO-IEC 9899-TC3 Programming languages, C99</v>
      </c>
    </row>
    <row r="993" spans="1:9" x14ac:dyDescent="0.45">
      <c r="A993" t="s">
        <v>1329</v>
      </c>
      <c r="B993" t="str">
        <f t="shared" si="114"/>
        <v>2011</v>
      </c>
      <c r="C993" t="str">
        <f t="shared" si="115"/>
        <v>?</v>
      </c>
      <c r="D993" t="str">
        <f t="shared" si="116"/>
        <v>Standard Draft</v>
      </c>
      <c r="E993" s="3" t="str">
        <f t="shared" si="117"/>
        <v/>
      </c>
      <c r="F993" s="3" t="str">
        <f t="shared" si="118"/>
        <v>.pdf</v>
      </c>
      <c r="G993" s="3">
        <f t="shared" si="119"/>
        <v>55</v>
      </c>
      <c r="H993" s="3">
        <f>LEN(Table1[[#This Row],[Auteur]])</f>
        <v>14</v>
      </c>
      <c r="I993" s="3" t="str">
        <f t="shared" si="120"/>
        <v>N1570 ISO-IEC 9899 201x C11</v>
      </c>
    </row>
    <row r="994" spans="1:9" x14ac:dyDescent="0.45">
      <c r="A994" t="s">
        <v>1330</v>
      </c>
      <c r="B994" t="str">
        <f t="shared" si="114"/>
        <v>2011</v>
      </c>
      <c r="C994" t="str">
        <f t="shared" si="115"/>
        <v>?</v>
      </c>
      <c r="D994" t="str">
        <f t="shared" si="116"/>
        <v>Working Draft</v>
      </c>
      <c r="E994" s="3" t="str">
        <f t="shared" si="117"/>
        <v/>
      </c>
      <c r="F994" s="3" t="str">
        <f t="shared" si="118"/>
        <v>.pdf</v>
      </c>
      <c r="G994">
        <f t="shared" si="119"/>
        <v>82</v>
      </c>
      <c r="H994" s="3">
        <f>LEN(Table1[[#This Row],[Auteur]])</f>
        <v>13</v>
      </c>
      <c r="I994" s="3" t="str">
        <f t="shared" si="120"/>
        <v>N3242 Standard for Programming Language C++, 2011-02-28</v>
      </c>
    </row>
    <row r="995" spans="1:9" x14ac:dyDescent="0.45">
      <c r="A995" t="s">
        <v>1331</v>
      </c>
      <c r="B995" t="str">
        <f t="shared" si="114"/>
        <v>2012</v>
      </c>
      <c r="C995" t="str">
        <f t="shared" si="115"/>
        <v>?</v>
      </c>
      <c r="D995" t="str">
        <f t="shared" si="116"/>
        <v>Working Draft</v>
      </c>
      <c r="E995" s="3" t="str">
        <f t="shared" si="117"/>
        <v/>
      </c>
      <c r="F995" t="str">
        <f t="shared" si="118"/>
        <v>.pdf</v>
      </c>
      <c r="G995">
        <f t="shared" si="119"/>
        <v>82</v>
      </c>
      <c r="H995" s="3">
        <f>LEN(Table1[[#This Row],[Auteur]])</f>
        <v>13</v>
      </c>
      <c r="I995" s="3" t="str">
        <f t="shared" si="120"/>
        <v>N3337 Standard for Programming Language C++, 2012-01-16</v>
      </c>
    </row>
    <row r="996" spans="1:9" x14ac:dyDescent="0.45">
      <c r="A996" t="s">
        <v>1332</v>
      </c>
      <c r="B996" t="str">
        <f t="shared" si="114"/>
        <v>2013</v>
      </c>
      <c r="C996" t="str">
        <f t="shared" si="115"/>
        <v>?</v>
      </c>
      <c r="D996" t="str">
        <f t="shared" si="116"/>
        <v>Working Draft</v>
      </c>
      <c r="E996" s="3" t="str">
        <f t="shared" si="117"/>
        <v/>
      </c>
      <c r="F996" t="str">
        <f t="shared" si="118"/>
        <v>.pdf</v>
      </c>
      <c r="G996">
        <f t="shared" si="119"/>
        <v>82</v>
      </c>
      <c r="H996" s="3">
        <f>LEN(Table1[[#This Row],[Auteur]])</f>
        <v>13</v>
      </c>
      <c r="I996" s="3" t="str">
        <f t="shared" si="120"/>
        <v>N3797 Standard for Programming Language C++, 2013-10-13</v>
      </c>
    </row>
    <row r="997" spans="1:9" x14ac:dyDescent="0.45">
      <c r="A997" t="s">
        <v>1333</v>
      </c>
      <c r="B997" t="str">
        <f t="shared" si="114"/>
        <v>2015</v>
      </c>
      <c r="C997" t="str">
        <f t="shared" si="115"/>
        <v>?</v>
      </c>
      <c r="D997" t="str">
        <f t="shared" si="116"/>
        <v>Working Draft</v>
      </c>
      <c r="E997" s="3" t="str">
        <f t="shared" si="117"/>
        <v/>
      </c>
      <c r="F997" s="3" t="str">
        <f t="shared" si="118"/>
        <v>.pdf</v>
      </c>
      <c r="G997">
        <f t="shared" si="119"/>
        <v>82</v>
      </c>
      <c r="H997" s="3">
        <f>LEN(Table1[[#This Row],[Auteur]])</f>
        <v>13</v>
      </c>
      <c r="I997" s="3" t="str">
        <f t="shared" si="120"/>
        <v>N4567 Standard for Programming Language C++, 2015-11-09</v>
      </c>
    </row>
    <row r="998" spans="1:9" x14ac:dyDescent="0.45">
      <c r="A998" t="s">
        <v>1334</v>
      </c>
      <c r="B998" t="str">
        <f t="shared" si="114"/>
        <v>2016</v>
      </c>
      <c r="C998" t="str">
        <f t="shared" si="115"/>
        <v>?</v>
      </c>
      <c r="D998" t="str">
        <f t="shared" si="116"/>
        <v>Working Draft</v>
      </c>
      <c r="E998" s="3" t="str">
        <f t="shared" si="117"/>
        <v/>
      </c>
      <c r="F998" t="str">
        <f t="shared" si="118"/>
        <v>.pdf</v>
      </c>
      <c r="G998">
        <f t="shared" si="119"/>
        <v>82</v>
      </c>
      <c r="H998" s="3">
        <f>LEN(Table1[[#This Row],[Auteur]])</f>
        <v>13</v>
      </c>
      <c r="I998" s="3" t="str">
        <f t="shared" si="120"/>
        <v>N4594 Standard for Programming Language C++, 2016-05-30</v>
      </c>
    </row>
    <row r="999" spans="1:9" x14ac:dyDescent="0.45">
      <c r="A999" t="s">
        <v>1335</v>
      </c>
      <c r="B999" t="str">
        <f t="shared" si="114"/>
        <v>2002</v>
      </c>
      <c r="C999" t="str">
        <f t="shared" si="115"/>
        <v>Sams</v>
      </c>
      <c r="D999" t="str">
        <f t="shared" si="116"/>
        <v>Robert Lafore</v>
      </c>
      <c r="E999" s="3" t="str">
        <f t="shared" si="117"/>
        <v/>
      </c>
      <c r="F999" t="str">
        <f t="shared" si="118"/>
        <v>.pdf</v>
      </c>
      <c r="G999">
        <f t="shared" si="119"/>
        <v>78</v>
      </c>
      <c r="H999" s="3">
        <f>LEN(Table1[[#This Row],[Auteur]])</f>
        <v>13</v>
      </c>
      <c r="I999" s="3" t="str">
        <f t="shared" si="120"/>
        <v>Object-Oriented Programming in C++</v>
      </c>
    </row>
    <row r="1000" spans="1:9" x14ac:dyDescent="0.45">
      <c r="A1000" t="s">
        <v>1336</v>
      </c>
      <c r="B1000" t="str">
        <f t="shared" si="114"/>
        <v>?</v>
      </c>
      <c r="C1000" t="str">
        <f t="shared" si="115"/>
        <v>?</v>
      </c>
      <c r="D1000" t="str">
        <f t="shared" si="116"/>
        <v>Pooja Chawla</v>
      </c>
      <c r="E1000" s="3" t="str">
        <f t="shared" si="117"/>
        <v/>
      </c>
      <c r="F1000" t="str">
        <f t="shared" si="118"/>
        <v>.pdf</v>
      </c>
      <c r="G1000">
        <f t="shared" si="119"/>
        <v>31</v>
      </c>
      <c r="H1000" s="3">
        <f>LEN(Table1[[#This Row],[Auteur]])</f>
        <v>12</v>
      </c>
      <c r="I1000" s="3" t="str">
        <f t="shared" si="120"/>
        <v>OOP with C++</v>
      </c>
    </row>
    <row r="1001" spans="1:9" x14ac:dyDescent="0.45">
      <c r="A1001" t="s">
        <v>1337</v>
      </c>
      <c r="B1001" t="str">
        <f t="shared" si="114"/>
        <v>2010</v>
      </c>
      <c r="C1001" t="str">
        <f t="shared" si="115"/>
        <v>Artima</v>
      </c>
      <c r="D1001" t="str">
        <f t="shared" si="116"/>
        <v>Scott Meyers</v>
      </c>
      <c r="E1001" s="3" t="str">
        <f t="shared" si="117"/>
        <v/>
      </c>
      <c r="F1001" s="3" t="str">
        <f t="shared" si="118"/>
        <v>.pdf</v>
      </c>
      <c r="G1001">
        <f t="shared" si="119"/>
        <v>67</v>
      </c>
      <c r="H1001" s="3">
        <f>LEN(Table1[[#This Row],[Auteur]])</f>
        <v>12</v>
      </c>
      <c r="I1001" s="3" t="str">
        <f t="shared" si="120"/>
        <v>Overview of the New C++, C++0x</v>
      </c>
    </row>
    <row r="1002" spans="1:9" x14ac:dyDescent="0.45">
      <c r="A1002" t="s">
        <v>1338</v>
      </c>
      <c r="B1002" t="str">
        <f t="shared" si="114"/>
        <v>2015</v>
      </c>
      <c r="C1002" t="str">
        <f t="shared" si="115"/>
        <v>Artima</v>
      </c>
      <c r="D1002" t="str">
        <f t="shared" si="116"/>
        <v>Scott Meyers</v>
      </c>
      <c r="E1002" s="3" t="str">
        <f t="shared" si="117"/>
        <v>Extract, 42 pages</v>
      </c>
      <c r="F1002" t="str">
        <f t="shared" si="118"/>
        <v>.pdf</v>
      </c>
      <c r="G1002">
        <f t="shared" si="119"/>
        <v>90</v>
      </c>
      <c r="H1002" s="3">
        <f>LEN(Table1[[#This Row],[Auteur]])</f>
        <v>12</v>
      </c>
      <c r="I1002" s="3" t="str">
        <f t="shared" si="120"/>
        <v>Overview of the New C++, C++11-14</v>
      </c>
    </row>
    <row r="1003" spans="1:9" x14ac:dyDescent="0.45">
      <c r="A1003" t="s">
        <v>1339</v>
      </c>
      <c r="B1003" t="str">
        <f t="shared" si="114"/>
        <v>2001</v>
      </c>
      <c r="C1003" t="str">
        <f t="shared" si="115"/>
        <v>Addison-Wesley</v>
      </c>
      <c r="D1003" t="str">
        <f t="shared" si="116"/>
        <v>Pierre-Nicolas Lapointe</v>
      </c>
      <c r="E1003" s="3" t="str">
        <f t="shared" si="117"/>
        <v/>
      </c>
      <c r="F1003" t="str">
        <f t="shared" si="118"/>
        <v>.pdf</v>
      </c>
      <c r="G1003">
        <f t="shared" si="119"/>
        <v>75</v>
      </c>
      <c r="H1003" s="3">
        <f>LEN(Table1[[#This Row],[Auteur]])</f>
        <v>23</v>
      </c>
      <c r="I1003" s="3" t="str">
        <f t="shared" si="120"/>
        <v>Pont entre C et C++</v>
      </c>
    </row>
    <row r="1004" spans="1:9" x14ac:dyDescent="0.45">
      <c r="A1004" t="s">
        <v>1340</v>
      </c>
      <c r="B1004" t="str">
        <f t="shared" si="114"/>
        <v>1997</v>
      </c>
      <c r="C1004" t="str">
        <f t="shared" si="115"/>
        <v>O'Reilly</v>
      </c>
      <c r="D1004" t="str">
        <f t="shared" si="116"/>
        <v>Steve Oualline</v>
      </c>
      <c r="E1004" s="3" t="str">
        <f t="shared" si="117"/>
        <v/>
      </c>
      <c r="F1004" t="str">
        <f t="shared" si="118"/>
        <v>.pdf</v>
      </c>
      <c r="G1004">
        <f t="shared" si="119"/>
        <v>72</v>
      </c>
      <c r="H1004" s="3">
        <f>LEN(Table1[[#This Row],[Auteur]])</f>
        <v>14</v>
      </c>
      <c r="I1004" s="3" t="str">
        <f t="shared" si="120"/>
        <v>Practical C Programming</v>
      </c>
    </row>
    <row r="1005" spans="1:9" x14ac:dyDescent="0.45">
      <c r="A1005" t="s">
        <v>1341</v>
      </c>
      <c r="B1005" t="str">
        <f t="shared" si="114"/>
        <v>2003</v>
      </c>
      <c r="C1005" t="str">
        <f t="shared" si="115"/>
        <v>O'Reilly</v>
      </c>
      <c r="D1005" t="str">
        <f t="shared" si="116"/>
        <v>Steve Ouallin</v>
      </c>
      <c r="E1005" s="3" t="str">
        <f t="shared" si="117"/>
        <v/>
      </c>
      <c r="F1005" s="3" t="str">
        <f t="shared" si="118"/>
        <v>.pdf</v>
      </c>
      <c r="G1005">
        <f t="shared" si="119"/>
        <v>73</v>
      </c>
      <c r="H1005" s="3">
        <f>LEN(Table1[[#This Row],[Auteur]])</f>
        <v>13</v>
      </c>
      <c r="I1005" s="3" t="str">
        <f t="shared" si="120"/>
        <v>Practical C++ Programming</v>
      </c>
    </row>
    <row r="1006" spans="1:9" hidden="1" x14ac:dyDescent="0.45">
      <c r="A1006" t="s">
        <v>1342</v>
      </c>
      <c r="B1006" t="str">
        <f t="shared" si="114"/>
        <v>1995</v>
      </c>
      <c r="C1006" t="str">
        <f t="shared" si="115"/>
        <v>O'Reilly</v>
      </c>
      <c r="D1006" t="str">
        <f t="shared" si="116"/>
        <v>Steve Oualline</v>
      </c>
      <c r="E1006" s="3" t="str">
        <f t="shared" si="117"/>
        <v/>
      </c>
      <c r="F1006" s="3" t="str">
        <f t="shared" si="118"/>
        <v>.pdf</v>
      </c>
      <c r="G1006">
        <f t="shared" si="119"/>
        <v>65</v>
      </c>
      <c r="H1006" s="3">
        <f>LEN(Table1[[#This Row],[Auteur]])</f>
        <v>14</v>
      </c>
      <c r="I1006" s="3" t="str">
        <f t="shared" ref="I1006:I1025" si="121">Title(A1006)</f>
        <v>Pratical C++ Programming</v>
      </c>
    </row>
    <row r="1007" spans="1:9" x14ac:dyDescent="0.45">
      <c r="A1007" t="s">
        <v>1343</v>
      </c>
      <c r="B1007" t="str">
        <f t="shared" si="114"/>
        <v>2014</v>
      </c>
      <c r="C1007" t="str">
        <f t="shared" si="115"/>
        <v>Pearson</v>
      </c>
      <c r="D1007" t="str">
        <f t="shared" si="116"/>
        <v>Walter Savitch</v>
      </c>
      <c r="E1007" s="3" t="str">
        <f t="shared" si="117"/>
        <v/>
      </c>
      <c r="F1007" s="3" t="str">
        <f t="shared" si="118"/>
        <v>.pdf</v>
      </c>
      <c r="G1007">
        <f t="shared" si="119"/>
        <v>72</v>
      </c>
      <c r="H1007" s="3">
        <f>LEN(Table1[[#This Row],[Auteur]])</f>
        <v>14</v>
      </c>
      <c r="I1007" s="3" t="str">
        <f t="shared" si="121"/>
        <v>Problem Solving with C++</v>
      </c>
    </row>
    <row r="1008" spans="1:9" x14ac:dyDescent="0.45">
      <c r="A1008" t="s">
        <v>1344</v>
      </c>
      <c r="B1008" t="str">
        <f t="shared" si="114"/>
        <v>2007</v>
      </c>
      <c r="C1008" t="str">
        <f t="shared" si="115"/>
        <v>Dunod</v>
      </c>
      <c r="D1008" t="str">
        <f t="shared" si="116"/>
        <v>Vincent T'kindt</v>
      </c>
      <c r="E1008" s="3" t="str">
        <f t="shared" si="117"/>
        <v/>
      </c>
      <c r="F1008" s="3" t="str">
        <f t="shared" si="118"/>
        <v>.pdf</v>
      </c>
      <c r="G1008">
        <f t="shared" si="119"/>
        <v>77</v>
      </c>
      <c r="H1008" s="3">
        <f>LEN(Table1[[#This Row],[Auteur]])</f>
        <v>15</v>
      </c>
      <c r="I1008" s="3" t="str">
        <f t="shared" si="121"/>
        <v>Programmation en C++ et génie logiciel</v>
      </c>
    </row>
    <row r="1009" spans="1:9" x14ac:dyDescent="0.45">
      <c r="A1009" t="s">
        <v>1345</v>
      </c>
      <c r="B1009" t="str">
        <f t="shared" si="114"/>
        <v>2016</v>
      </c>
      <c r="C1009" t="str">
        <f t="shared" si="115"/>
        <v>Dunod</v>
      </c>
      <c r="D1009" t="str">
        <f t="shared" si="116"/>
        <v>Scott Meyers</v>
      </c>
      <c r="E1009" s="3" t="str">
        <f t="shared" si="117"/>
        <v/>
      </c>
      <c r="F1009" s="3" t="str">
        <f t="shared" si="118"/>
        <v>.pdf</v>
      </c>
      <c r="G1009">
        <f t="shared" si="119"/>
        <v>123</v>
      </c>
      <c r="H1009" s="3">
        <f>LEN(Table1[[#This Row],[Auteur]])</f>
        <v>12</v>
      </c>
      <c r="I1009" s="3" t="str">
        <f t="shared" si="121"/>
        <v>Programmer efficacement en C++, 42 conseils pour mieux maîtriser le C++ 11 et le C++ 14</v>
      </c>
    </row>
    <row r="1010" spans="1:9" x14ac:dyDescent="0.45">
      <c r="A1010" t="s">
        <v>1346</v>
      </c>
      <c r="B1010" t="str">
        <f t="shared" si="114"/>
        <v>2009</v>
      </c>
      <c r="C1010" t="str">
        <f t="shared" si="115"/>
        <v>Eyrolles</v>
      </c>
      <c r="D1010" t="str">
        <f t="shared" si="116"/>
        <v>Claude Delannoy</v>
      </c>
      <c r="E1010" s="3" t="str">
        <f t="shared" si="117"/>
        <v/>
      </c>
      <c r="F1010" t="str">
        <f t="shared" si="118"/>
        <v>.pdf</v>
      </c>
      <c r="G1010">
        <f t="shared" si="119"/>
        <v>92</v>
      </c>
      <c r="H1010" s="3">
        <f>LEN(Table1[[#This Row],[Auteur]])</f>
        <v>15</v>
      </c>
      <c r="I1010" s="3" t="str">
        <f t="shared" si="121"/>
        <v>Programmer en langage C, Cours et exercices</v>
      </c>
    </row>
    <row r="1011" spans="1:9" x14ac:dyDescent="0.45">
      <c r="A1011" t="s">
        <v>1347</v>
      </c>
      <c r="B1011" t="str">
        <f t="shared" si="114"/>
        <v>2009</v>
      </c>
      <c r="C1011" t="str">
        <f t="shared" si="115"/>
        <v>Eyrolles</v>
      </c>
      <c r="D1011" t="str">
        <f t="shared" si="116"/>
        <v>Claude Delannoy</v>
      </c>
      <c r="E1011" s="3" t="str">
        <f t="shared" si="117"/>
        <v/>
      </c>
      <c r="F1011" t="str">
        <f t="shared" si="118"/>
        <v>.pdf</v>
      </c>
      <c r="G1011">
        <f t="shared" si="119"/>
        <v>101</v>
      </c>
      <c r="H1011" s="3">
        <f>LEN(Table1[[#This Row],[Auteur]])</f>
        <v>15</v>
      </c>
      <c r="I1011" s="3" t="str">
        <f t="shared" si="121"/>
        <v>Programmer en langage C, Cours et exercices corrigés</v>
      </c>
    </row>
    <row r="1012" spans="1:9" x14ac:dyDescent="0.45">
      <c r="A1012" t="s">
        <v>1348</v>
      </c>
      <c r="B1012" t="str">
        <f t="shared" si="114"/>
        <v>2011</v>
      </c>
      <c r="C1012" t="str">
        <f t="shared" si="115"/>
        <v>Le site du zéro</v>
      </c>
      <c r="D1012" t="str">
        <f t="shared" si="116"/>
        <v>Mathieu Nebra, Matthieu Schaller</v>
      </c>
      <c r="E1012" s="3" t="str">
        <f t="shared" si="117"/>
        <v/>
      </c>
      <c r="F1012" t="str">
        <f t="shared" si="118"/>
        <v>.pdf</v>
      </c>
      <c r="G1012">
        <f t="shared" si="119"/>
        <v>96</v>
      </c>
      <c r="H1012" s="3">
        <f>LEN(Table1[[#This Row],[Auteur]])</f>
        <v>32</v>
      </c>
      <c r="I1012" s="3" t="str">
        <f t="shared" si="121"/>
        <v>Programmez avec le langage C++</v>
      </c>
    </row>
    <row r="1013" spans="1:9" x14ac:dyDescent="0.45">
      <c r="A1013" t="s">
        <v>1349</v>
      </c>
      <c r="B1013" t="str">
        <f t="shared" si="114"/>
        <v>2011</v>
      </c>
      <c r="C1013" t="str">
        <f t="shared" si="115"/>
        <v>Le site du zéro</v>
      </c>
      <c r="D1013" t="str">
        <f t="shared" si="116"/>
        <v>Mathieu Nebra, Matthieu Schaller</v>
      </c>
      <c r="E1013" s="3" t="str">
        <f t="shared" si="117"/>
        <v>Dump</v>
      </c>
      <c r="F1013" s="3" t="str">
        <f t="shared" si="118"/>
        <v>.pdf</v>
      </c>
      <c r="G1013">
        <f t="shared" si="119"/>
        <v>103</v>
      </c>
      <c r="H1013" s="3">
        <f>LEN(Table1[[#This Row],[Auteur]])</f>
        <v>32</v>
      </c>
      <c r="I1013" s="3" t="str">
        <f t="shared" si="121"/>
        <v>Programmez avec le langage C++</v>
      </c>
    </row>
    <row r="1014" spans="1:9" x14ac:dyDescent="0.45">
      <c r="A1014" t="s">
        <v>1350</v>
      </c>
      <c r="B1014" t="str">
        <f t="shared" si="114"/>
        <v>2014</v>
      </c>
      <c r="C1014" t="str">
        <f t="shared" si="115"/>
        <v>Pearson</v>
      </c>
      <c r="D1014" t="str">
        <f t="shared" si="116"/>
        <v>Bjarne Stroustrup</v>
      </c>
      <c r="E1014" s="3" t="str">
        <f t="shared" si="117"/>
        <v/>
      </c>
      <c r="F1014" s="3" t="str">
        <f t="shared" si="118"/>
        <v>.epub</v>
      </c>
      <c r="G1014" s="3">
        <f t="shared" si="119"/>
        <v>92</v>
      </c>
      <c r="H1014" s="3">
        <f>LEN(Table1[[#This Row],[Auteur]])</f>
        <v>17</v>
      </c>
      <c r="I1014" s="3" t="str">
        <f t="shared" si="121"/>
        <v>Programming Principles and Practices C++</v>
      </c>
    </row>
    <row r="1015" spans="1:9" x14ac:dyDescent="0.45">
      <c r="A1015" t="s">
        <v>1351</v>
      </c>
      <c r="B1015" t="str">
        <f t="shared" si="114"/>
        <v>2009</v>
      </c>
      <c r="C1015" t="str">
        <f t="shared" si="115"/>
        <v>Addison-Wesley</v>
      </c>
      <c r="D1015" t="str">
        <f t="shared" si="116"/>
        <v>Bjarne Stroustrup</v>
      </c>
      <c r="E1015" s="3" t="str">
        <f t="shared" si="117"/>
        <v/>
      </c>
      <c r="F1015" t="str">
        <f t="shared" si="118"/>
        <v>.pdf</v>
      </c>
      <c r="G1015">
        <f t="shared" si="119"/>
        <v>90</v>
      </c>
      <c r="H1015" s="3">
        <f>LEN(Table1[[#This Row],[Auteur]])</f>
        <v>17</v>
      </c>
      <c r="I1015" s="3" t="str">
        <f t="shared" si="121"/>
        <v>Programming Principles and Practices C++</v>
      </c>
    </row>
    <row r="1016" spans="1:9" x14ac:dyDescent="0.45">
      <c r="A1016" t="s">
        <v>1352</v>
      </c>
      <c r="B1016" t="str">
        <f t="shared" si="114"/>
        <v>2012</v>
      </c>
      <c r="C1016" t="str">
        <f t="shared" si="115"/>
        <v>O'Reilly</v>
      </c>
      <c r="D1016" t="str">
        <f t="shared" si="116"/>
        <v>Vladimir Kushnir</v>
      </c>
      <c r="E1016" s="3" t="str">
        <f t="shared" si="117"/>
        <v/>
      </c>
      <c r="F1016" t="str">
        <f t="shared" si="118"/>
        <v>.pdf</v>
      </c>
      <c r="G1016">
        <f t="shared" si="119"/>
        <v>51</v>
      </c>
      <c r="H1016" s="3">
        <f>LEN(Table1[[#This Row],[Auteur]])</f>
        <v>16</v>
      </c>
      <c r="I1016" s="3" t="str">
        <f t="shared" si="121"/>
        <v>Safe C++</v>
      </c>
    </row>
    <row r="1017" spans="1:9" x14ac:dyDescent="0.45">
      <c r="A1017" t="s">
        <v>1353</v>
      </c>
      <c r="B1017" t="str">
        <f t="shared" si="114"/>
        <v>2003</v>
      </c>
      <c r="C1017" t="str">
        <f t="shared" si="115"/>
        <v>O'Reilly</v>
      </c>
      <c r="D1017" t="str">
        <f t="shared" si="116"/>
        <v>John Viega, Matt Messier</v>
      </c>
      <c r="E1017" s="3" t="str">
        <f t="shared" si="117"/>
        <v/>
      </c>
      <c r="F1017" t="str">
        <f t="shared" si="118"/>
        <v>.pdf</v>
      </c>
      <c r="G1017">
        <f t="shared" si="119"/>
        <v>92</v>
      </c>
      <c r="H1017" s="3">
        <f>LEN(Table1[[#This Row],[Auteur]])</f>
        <v>24</v>
      </c>
      <c r="I1017" s="3" t="str">
        <f t="shared" si="121"/>
        <v>Secure Programming Cookbook for C and C++</v>
      </c>
    </row>
    <row r="1018" spans="1:9" x14ac:dyDescent="0.45">
      <c r="A1018" t="s">
        <v>1354</v>
      </c>
      <c r="B1018" t="str">
        <f t="shared" si="114"/>
        <v>2009</v>
      </c>
      <c r="C1018" t="str">
        <f t="shared" si="115"/>
        <v>?</v>
      </c>
      <c r="D1018" t="str">
        <f t="shared" si="116"/>
        <v>Keith Schwarz</v>
      </c>
      <c r="E1018" s="3" t="str">
        <f t="shared" si="117"/>
        <v/>
      </c>
      <c r="F1018" s="3" t="str">
        <f t="shared" si="118"/>
        <v>.pdf</v>
      </c>
      <c r="G1018">
        <f t="shared" si="119"/>
        <v>53</v>
      </c>
      <c r="H1018" s="3">
        <f>LEN(Table1[[#This Row],[Auteur]])</f>
        <v>13</v>
      </c>
      <c r="I1018" s="3" t="str">
        <f t="shared" si="121"/>
        <v>Standard C++ Course Reader</v>
      </c>
    </row>
    <row r="1019" spans="1:9" x14ac:dyDescent="0.45">
      <c r="A1019" t="s">
        <v>1355</v>
      </c>
      <c r="B1019" t="str">
        <f t="shared" si="114"/>
        <v>2014</v>
      </c>
      <c r="C1019" t="str">
        <f t="shared" si="115"/>
        <v>Pearson</v>
      </c>
      <c r="D1019" t="str">
        <f t="shared" si="116"/>
        <v>Tony Gaddis, Judy Walters, Godfrey Muganda</v>
      </c>
      <c r="E1019" s="3" t="str">
        <f t="shared" si="117"/>
        <v/>
      </c>
      <c r="F1019" t="str">
        <f t="shared" si="118"/>
        <v>.pdf</v>
      </c>
      <c r="G1019">
        <f t="shared" si="119"/>
        <v>111</v>
      </c>
      <c r="H1019" s="3">
        <f>LEN(Table1[[#This Row],[Auteur]])</f>
        <v>42</v>
      </c>
      <c r="I1019" s="3" t="str">
        <f t="shared" si="121"/>
        <v>Starting Out with C++ Early Objects</v>
      </c>
    </row>
    <row r="1020" spans="1:9" hidden="1" x14ac:dyDescent="0.45">
      <c r="A1020" t="s">
        <v>1356</v>
      </c>
      <c r="B1020" t="str">
        <f t="shared" si="114"/>
        <v>1988</v>
      </c>
      <c r="C1020" t="str">
        <f t="shared" si="115"/>
        <v>Prentice Hall</v>
      </c>
      <c r="D1020" t="str">
        <f t="shared" si="116"/>
        <v>Brian W. Kernighan, Dennis Ritchie</v>
      </c>
      <c r="E1020" s="3" t="str">
        <f t="shared" si="117"/>
        <v/>
      </c>
      <c r="F1020" s="3" t="str">
        <f t="shared" si="118"/>
        <v>.pdf</v>
      </c>
      <c r="G1020" s="3">
        <f t="shared" si="119"/>
        <v>100</v>
      </c>
      <c r="H1020" s="3">
        <f>LEN(Table1[[#This Row],[Auteur]])</f>
        <v>34</v>
      </c>
      <c r="I1020" s="3" t="str">
        <f t="shared" si="121"/>
        <v>The C Programming Language</v>
      </c>
    </row>
    <row r="1021" spans="1:9" x14ac:dyDescent="0.45">
      <c r="A1021" t="s">
        <v>1357</v>
      </c>
      <c r="B1021" t="str">
        <f t="shared" si="114"/>
        <v>1988</v>
      </c>
      <c r="C1021" t="str">
        <f t="shared" si="115"/>
        <v>Prentice Hall</v>
      </c>
      <c r="D1021" t="str">
        <f t="shared" si="116"/>
        <v>Kernighan, Ritchie</v>
      </c>
      <c r="E1021" s="3" t="str">
        <f t="shared" si="117"/>
        <v/>
      </c>
      <c r="F1021" t="str">
        <f t="shared" si="118"/>
        <v>.pdf</v>
      </c>
      <c r="G1021">
        <f t="shared" si="119"/>
        <v>92</v>
      </c>
      <c r="H1021" s="3">
        <f>LEN(Table1[[#This Row],[Auteur]])</f>
        <v>18</v>
      </c>
      <c r="I1021" s="3" t="str">
        <f t="shared" si="121"/>
        <v>The C Programming Language, ANSI C</v>
      </c>
    </row>
    <row r="1022" spans="1:9" x14ac:dyDescent="0.45">
      <c r="A1022" t="s">
        <v>1358</v>
      </c>
      <c r="B1022" t="str">
        <f t="shared" si="114"/>
        <v>1988</v>
      </c>
      <c r="C1022" t="str">
        <f t="shared" si="115"/>
        <v>Prentice Hall</v>
      </c>
      <c r="D1022" t="str">
        <f t="shared" si="116"/>
        <v>Brian W. Kernighan, Dennis Ritchie</v>
      </c>
      <c r="E1022" s="3" t="str">
        <f t="shared" si="117"/>
        <v>Scan</v>
      </c>
      <c r="F1022" s="3" t="str">
        <f t="shared" si="118"/>
        <v>.pdf</v>
      </c>
      <c r="G1022">
        <f t="shared" si="119"/>
        <v>115</v>
      </c>
      <c r="H1022" s="3">
        <f>LEN(Table1[[#This Row],[Auteur]])</f>
        <v>34</v>
      </c>
      <c r="I1022" s="3" t="str">
        <f t="shared" si="121"/>
        <v>The C Programming Language, ANSI C</v>
      </c>
    </row>
    <row r="1023" spans="1:9" x14ac:dyDescent="0.45">
      <c r="A1023" t="s">
        <v>1359</v>
      </c>
      <c r="B1023" t="str">
        <f t="shared" si="114"/>
        <v>1997</v>
      </c>
      <c r="C1023" t="str">
        <f t="shared" si="115"/>
        <v>Addison-Wesley</v>
      </c>
      <c r="D1023" t="str">
        <f t="shared" si="116"/>
        <v>Bjarne Stroustrup</v>
      </c>
      <c r="E1023" s="3" t="str">
        <f t="shared" si="117"/>
        <v>Special Edition</v>
      </c>
      <c r="F1023" s="3" t="str">
        <f t="shared" si="118"/>
        <v>.pdf</v>
      </c>
      <c r="G1023">
        <f t="shared" si="119"/>
        <v>104</v>
      </c>
      <c r="H1023" s="3">
        <f>LEN(Table1[[#This Row],[Auteur]])</f>
        <v>17</v>
      </c>
      <c r="I1023" s="3" t="str">
        <f t="shared" si="121"/>
        <v>The C++ Programming Language</v>
      </c>
    </row>
    <row r="1024" spans="1:9" x14ac:dyDescent="0.45">
      <c r="A1024" t="s">
        <v>1360</v>
      </c>
      <c r="B1024" t="str">
        <f t="shared" si="114"/>
        <v>1997</v>
      </c>
      <c r="C1024" t="str">
        <f t="shared" si="115"/>
        <v>Addison-Wesley</v>
      </c>
      <c r="D1024" t="str">
        <f t="shared" si="116"/>
        <v>Bjarne Stroustrup</v>
      </c>
      <c r="E1024" s="3" t="str">
        <f t="shared" si="117"/>
        <v>With appendices</v>
      </c>
      <c r="F1024" t="str">
        <f t="shared" si="118"/>
        <v>.pdf</v>
      </c>
      <c r="G1024">
        <f t="shared" si="119"/>
        <v>104</v>
      </c>
      <c r="H1024" s="3">
        <f>LEN(Table1[[#This Row],[Auteur]])</f>
        <v>17</v>
      </c>
      <c r="I1024" s="3" t="str">
        <f t="shared" si="121"/>
        <v>The C++ Programming Language</v>
      </c>
    </row>
    <row r="1025" spans="1:9" x14ac:dyDescent="0.45">
      <c r="A1025" t="s">
        <v>1361</v>
      </c>
      <c r="B1025" t="str">
        <f t="shared" si="114"/>
        <v>2013</v>
      </c>
      <c r="C1025" t="str">
        <f t="shared" si="115"/>
        <v>Addison-Wesley</v>
      </c>
      <c r="D1025" t="str">
        <f t="shared" si="116"/>
        <v>Bjarne Stroustrup</v>
      </c>
      <c r="E1025" s="3" t="str">
        <f t="shared" si="117"/>
        <v/>
      </c>
      <c r="F1025" t="str">
        <f t="shared" si="118"/>
        <v>.epub</v>
      </c>
      <c r="G1025">
        <f t="shared" si="119"/>
        <v>87</v>
      </c>
      <c r="H1025" s="3">
        <f>LEN(Table1[[#This Row],[Auteur]])</f>
        <v>17</v>
      </c>
      <c r="I1025" s="3" t="str">
        <f t="shared" si="121"/>
        <v>The C++ Programming Language</v>
      </c>
    </row>
    <row r="1026" spans="1:9" x14ac:dyDescent="0.45">
      <c r="A1026" t="s">
        <v>1362</v>
      </c>
      <c r="B1026" t="str">
        <f t="shared" ref="B1026:B1089" si="122">DatePub(A1026)</f>
        <v>2013</v>
      </c>
      <c r="C1026" t="str">
        <f t="shared" ref="C1026:C1089" si="123">Editeur(A1026)</f>
        <v>Addison-Wesley</v>
      </c>
      <c r="D1026" t="str">
        <f t="shared" ref="D1026:D1089" si="124">Auteur(A1026)</f>
        <v>Bjarne Stroustrup</v>
      </c>
      <c r="E1026" s="3" t="str">
        <f t="shared" ref="E1026:E1089" si="125">ExtraInfo(A1026)</f>
        <v/>
      </c>
      <c r="F1026" t="str">
        <f t="shared" ref="F1026:F1089" si="126">Extension(A1026)</f>
        <v>.pdf</v>
      </c>
      <c r="G1026">
        <f t="shared" ref="G1026:G1089" si="127">LenFileName(A1026)</f>
        <v>86</v>
      </c>
      <c r="H1026" s="3">
        <f>LEN(Table1[[#This Row],[Auteur]])</f>
        <v>17</v>
      </c>
      <c r="I1026" s="3" t="str">
        <f t="shared" ref="I1026:I1033" si="128">Title(A1026)</f>
        <v>The C++ Programming Language</v>
      </c>
    </row>
    <row r="1027" spans="1:9" x14ac:dyDescent="0.45">
      <c r="A1027" t="s">
        <v>1363</v>
      </c>
      <c r="B1027" t="str">
        <f t="shared" si="122"/>
        <v>1997</v>
      </c>
      <c r="C1027" t="str">
        <f t="shared" si="123"/>
        <v>Addison-Wesley</v>
      </c>
      <c r="D1027" t="str">
        <f t="shared" si="124"/>
        <v>Bjarne Stroustrup</v>
      </c>
      <c r="E1027" s="3" t="str">
        <f t="shared" si="125"/>
        <v/>
      </c>
      <c r="F1027" s="3" t="str">
        <f t="shared" si="126"/>
        <v>.pdf</v>
      </c>
      <c r="G1027">
        <f t="shared" si="127"/>
        <v>102</v>
      </c>
      <c r="H1027" s="3">
        <f>LEN(Table1[[#This Row],[Auteur]])</f>
        <v>17</v>
      </c>
      <c r="I1027" s="3" t="str">
        <f t="shared" si="128"/>
        <v>The C++ Programming Language with appendixes</v>
      </c>
    </row>
    <row r="1028" spans="1:9" x14ac:dyDescent="0.45">
      <c r="A1028" t="s">
        <v>1364</v>
      </c>
      <c r="B1028" t="str">
        <f t="shared" si="122"/>
        <v>2012</v>
      </c>
      <c r="C1028" t="str">
        <f t="shared" si="123"/>
        <v>Addison-Wesley</v>
      </c>
      <c r="D1028" t="str">
        <f t="shared" si="124"/>
        <v>NM Josuttis</v>
      </c>
      <c r="E1028" s="3" t="str">
        <f t="shared" si="125"/>
        <v/>
      </c>
      <c r="F1028" s="3" t="str">
        <f t="shared" si="126"/>
        <v>.pdf</v>
      </c>
      <c r="G1028">
        <f t="shared" si="127"/>
        <v>102</v>
      </c>
      <c r="H1028" s="3">
        <f>LEN(Table1[[#This Row],[Auteur]])</f>
        <v>11</v>
      </c>
      <c r="I1028" s="3" t="str">
        <f t="shared" si="128"/>
        <v>The C++ Standard Library, A Tutorial and Reference</v>
      </c>
    </row>
    <row r="1029" spans="1:9" x14ac:dyDescent="0.45">
      <c r="A1029" t="s">
        <v>1365</v>
      </c>
      <c r="B1029" t="str">
        <f t="shared" si="122"/>
        <v>1999</v>
      </c>
      <c r="C1029" t="str">
        <f t="shared" si="123"/>
        <v>Addison-Wesley</v>
      </c>
      <c r="D1029" t="str">
        <f t="shared" si="124"/>
        <v>Nicolai M Josuttis</v>
      </c>
      <c r="E1029" s="3" t="str">
        <f t="shared" si="125"/>
        <v/>
      </c>
      <c r="F1029" t="str">
        <f t="shared" si="126"/>
        <v>.pdf</v>
      </c>
      <c r="G1029">
        <f t="shared" si="127"/>
        <v>101</v>
      </c>
      <c r="H1029" s="3">
        <f>LEN(Table1[[#This Row],[Auteur]])</f>
        <v>18</v>
      </c>
      <c r="I1029" s="3" t="str">
        <f t="shared" si="128"/>
        <v>The C++ Standard Library, A Tutorial and Reference</v>
      </c>
    </row>
    <row r="1030" spans="1:9" x14ac:dyDescent="0.45">
      <c r="A1030" t="s">
        <v>1366</v>
      </c>
      <c r="B1030" t="str">
        <f t="shared" si="122"/>
        <v>1994</v>
      </c>
      <c r="C1030" t="str">
        <f t="shared" si="123"/>
        <v>Addison-Wesley</v>
      </c>
      <c r="D1030" t="str">
        <f t="shared" si="124"/>
        <v>Bjarne Stroustrup</v>
      </c>
      <c r="E1030" s="3" t="str">
        <f t="shared" si="125"/>
        <v/>
      </c>
      <c r="F1030" s="3" t="str">
        <f t="shared" si="126"/>
        <v>.pdf</v>
      </c>
      <c r="G1030">
        <f t="shared" si="127"/>
        <v>81</v>
      </c>
      <c r="H1030" s="3">
        <f>LEN(Table1[[#This Row],[Auteur]])</f>
        <v>17</v>
      </c>
      <c r="I1030" s="3" t="str">
        <f t="shared" si="128"/>
        <v>The Design and Evolution of C++</v>
      </c>
    </row>
    <row r="1031" spans="1:9" x14ac:dyDescent="0.45">
      <c r="A1031" t="s">
        <v>1367</v>
      </c>
      <c r="B1031" t="str">
        <f t="shared" si="122"/>
        <v>2012</v>
      </c>
      <c r="C1031" t="str">
        <f t="shared" si="123"/>
        <v>?</v>
      </c>
      <c r="D1031" t="str">
        <f t="shared" si="124"/>
        <v>Bjarne Stroustrup</v>
      </c>
      <c r="E1031" s="3" t="str">
        <f t="shared" si="125"/>
        <v>Presentation</v>
      </c>
      <c r="F1031" s="3" t="str">
        <f t="shared" si="126"/>
        <v>.pdf</v>
      </c>
      <c r="G1031">
        <f t="shared" si="127"/>
        <v>66</v>
      </c>
      <c r="H1031" s="3">
        <f>LEN(Table1[[#This Row],[Auteur]])</f>
        <v>17</v>
      </c>
      <c r="I1031" s="3" t="str">
        <f t="shared" si="128"/>
        <v>The Design of C++ 11</v>
      </c>
    </row>
    <row r="1032" spans="1:9" x14ac:dyDescent="0.45">
      <c r="A1032" t="s">
        <v>1368</v>
      </c>
      <c r="B1032" t="str">
        <f t="shared" si="122"/>
        <v>2014</v>
      </c>
      <c r="C1032" t="str">
        <f t="shared" si="123"/>
        <v>?</v>
      </c>
      <c r="D1032" t="str">
        <f t="shared" si="124"/>
        <v>Bjarne Stroustrup</v>
      </c>
      <c r="E1032" s="3" t="str">
        <f t="shared" si="125"/>
        <v>Presentation</v>
      </c>
      <c r="F1032" t="str">
        <f t="shared" si="126"/>
        <v>.pdf</v>
      </c>
      <c r="G1032">
        <f t="shared" si="127"/>
        <v>112</v>
      </c>
      <c r="H1032" s="3">
        <f>LEN(Table1[[#This Row],[Auteur]])</f>
        <v>17</v>
      </c>
      <c r="I1032" s="3" t="str">
        <f t="shared" si="128"/>
        <v>The Essence of C++ with examples in C++84, C++98, C++11, and C++14</v>
      </c>
    </row>
    <row r="1033" spans="1:9" x14ac:dyDescent="0.45">
      <c r="A1033" t="s">
        <v>1369</v>
      </c>
      <c r="B1033" t="str">
        <f t="shared" si="122"/>
        <v>?</v>
      </c>
      <c r="C1033" t="str">
        <f t="shared" si="123"/>
        <v>?</v>
      </c>
      <c r="D1033" t="str">
        <f t="shared" si="124"/>
        <v>Bjarne Stroustrup</v>
      </c>
      <c r="E1033" s="3" t="str">
        <f t="shared" si="125"/>
        <v>Scan</v>
      </c>
      <c r="F1033" t="str">
        <f t="shared" si="126"/>
        <v>.pdf</v>
      </c>
      <c r="G1033">
        <f t="shared" si="127"/>
        <v>65</v>
      </c>
      <c r="H1033" s="3">
        <f>LEN(Table1[[#This Row],[Auteur]])</f>
        <v>17</v>
      </c>
      <c r="I1033" s="3" t="str">
        <f t="shared" si="128"/>
        <v>The Evolution of C++, 1985 to 1989</v>
      </c>
    </row>
    <row r="1034" spans="1:9" hidden="1" x14ac:dyDescent="0.45">
      <c r="A1034" t="s">
        <v>1370</v>
      </c>
      <c r="B1034" t="str">
        <f t="shared" si="122"/>
        <v>2016</v>
      </c>
      <c r="C1034" t="str">
        <f t="shared" si="123"/>
        <v>Free Software Foundation</v>
      </c>
      <c r="D1034" t="str">
        <f t="shared" si="124"/>
        <v>Sandra Loosemore</v>
      </c>
      <c r="E1034" s="3" t="str">
        <f t="shared" si="125"/>
        <v/>
      </c>
      <c r="F1034" s="3" t="str">
        <f t="shared" si="126"/>
        <v>.pdf</v>
      </c>
      <c r="G1034">
        <f t="shared" si="127"/>
        <v>111</v>
      </c>
      <c r="H1034" s="3">
        <f>LEN(Table1[[#This Row],[Auteur]])</f>
        <v>16</v>
      </c>
      <c r="I1034" s="3" t="str">
        <f t="shared" ref="I1034:I1089" si="129">Title(A1034)</f>
        <v>The GNU C Library Reference Manual, for version 2.23</v>
      </c>
    </row>
    <row r="1035" spans="1:9" x14ac:dyDescent="0.45">
      <c r="A1035" t="s">
        <v>1371</v>
      </c>
      <c r="B1035" t="str">
        <f t="shared" si="122"/>
        <v>2015</v>
      </c>
      <c r="C1035" t="str">
        <f t="shared" si="123"/>
        <v>Free Software Foundation</v>
      </c>
      <c r="D1035" t="str">
        <f t="shared" si="124"/>
        <v>Trevis Rothwell, James Youngman</v>
      </c>
      <c r="E1035" s="3" t="str">
        <f t="shared" si="125"/>
        <v/>
      </c>
      <c r="F1035" t="str">
        <f t="shared" si="126"/>
        <v>.pdf</v>
      </c>
      <c r="G1035">
        <f t="shared" si="127"/>
        <v>100</v>
      </c>
      <c r="H1035" s="3">
        <f>LEN(Table1[[#This Row],[Auteur]])</f>
        <v>31</v>
      </c>
      <c r="I1035" s="3" t="str">
        <f t="shared" si="129"/>
        <v>The GNU C Reference Manual</v>
      </c>
    </row>
    <row r="1036" spans="1:9" x14ac:dyDescent="0.45">
      <c r="A1036" t="s">
        <v>1372</v>
      </c>
      <c r="B1036" t="str">
        <f t="shared" si="122"/>
        <v>2013</v>
      </c>
      <c r="C1036" t="str">
        <f t="shared" si="123"/>
        <v>?</v>
      </c>
      <c r="D1036" t="str">
        <f t="shared" si="124"/>
        <v>Jeremy A. Hansen</v>
      </c>
      <c r="E1036" s="3" t="str">
        <f t="shared" si="125"/>
        <v/>
      </c>
      <c r="F1036" s="3" t="str">
        <f t="shared" si="126"/>
        <v>.pdf</v>
      </c>
      <c r="G1036" s="3">
        <f t="shared" si="127"/>
        <v>53</v>
      </c>
      <c r="H1036" s="3">
        <f>LEN(Table1[[#This Row],[Auteur]])</f>
        <v>16</v>
      </c>
      <c r="I1036" s="3" t="str">
        <f t="shared" si="129"/>
        <v>The Rook's Guide to C++</v>
      </c>
    </row>
    <row r="1037" spans="1:9" x14ac:dyDescent="0.45">
      <c r="A1037" t="s">
        <v>1373</v>
      </c>
      <c r="B1037" t="str">
        <f t="shared" si="122"/>
        <v>1995</v>
      </c>
      <c r="C1037" t="str">
        <f t="shared" si="123"/>
        <v>HP</v>
      </c>
      <c r="D1037" t="str">
        <f t="shared" si="124"/>
        <v>Alexander Stepanov, Meng Lee</v>
      </c>
      <c r="E1037" s="3" t="str">
        <f t="shared" si="125"/>
        <v/>
      </c>
      <c r="F1037" t="str">
        <f t="shared" si="126"/>
        <v>.pdf</v>
      </c>
      <c r="G1037">
        <f t="shared" si="127"/>
        <v>78</v>
      </c>
      <c r="H1037" s="3">
        <f>LEN(Table1[[#This Row],[Auteur]])</f>
        <v>28</v>
      </c>
      <c r="I1037" s="3" t="str">
        <f t="shared" si="129"/>
        <v>The Standard Template Library</v>
      </c>
    </row>
    <row r="1038" spans="1:9" x14ac:dyDescent="0.45">
      <c r="A1038" t="s">
        <v>1374</v>
      </c>
      <c r="B1038" t="str">
        <f t="shared" si="122"/>
        <v>2000</v>
      </c>
      <c r="C1038" t="str">
        <f t="shared" si="123"/>
        <v>Prentice Hall</v>
      </c>
      <c r="D1038" t="str">
        <f t="shared" si="124"/>
        <v>Bruce Eckel</v>
      </c>
      <c r="E1038" s="3" t="str">
        <f t="shared" si="125"/>
        <v/>
      </c>
      <c r="F1038" s="3" t="str">
        <f t="shared" si="126"/>
        <v>.pdf</v>
      </c>
      <c r="G1038">
        <f t="shared" si="127"/>
        <v>72</v>
      </c>
      <c r="H1038" s="3">
        <f>LEN(Table1[[#This Row],[Auteur]])</f>
        <v>11</v>
      </c>
      <c r="I1038" s="3" t="str">
        <f t="shared" si="129"/>
        <v>Thinking in C++ Vol 1</v>
      </c>
    </row>
    <row r="1039" spans="1:9" x14ac:dyDescent="0.45">
      <c r="A1039" t="s">
        <v>1375</v>
      </c>
      <c r="B1039" t="str">
        <f t="shared" si="122"/>
        <v>2000</v>
      </c>
      <c r="C1039" t="str">
        <f t="shared" si="123"/>
        <v>Prentice Hall</v>
      </c>
      <c r="D1039" t="str">
        <f t="shared" si="124"/>
        <v>Bruce Eckel</v>
      </c>
      <c r="E1039" s="3" t="str">
        <f t="shared" si="125"/>
        <v/>
      </c>
      <c r="F1039" s="3" t="str">
        <f t="shared" si="126"/>
        <v>.pdf</v>
      </c>
      <c r="G1039" s="3">
        <f t="shared" si="127"/>
        <v>72</v>
      </c>
      <c r="H1039" s="3">
        <f>LEN(Table1[[#This Row],[Auteur]])</f>
        <v>11</v>
      </c>
      <c r="I1039" s="3" t="str">
        <f t="shared" si="129"/>
        <v>Thinking in C++ Vol 2</v>
      </c>
    </row>
    <row r="1040" spans="1:9" x14ac:dyDescent="0.45">
      <c r="A1040" t="s">
        <v>1376</v>
      </c>
      <c r="B1040" t="str">
        <f t="shared" si="122"/>
        <v>2009</v>
      </c>
      <c r="C1040" t="str">
        <f t="shared" si="123"/>
        <v>Dunod</v>
      </c>
      <c r="D1040" t="str">
        <f t="shared" si="124"/>
        <v>Pierre Weis, Xavier Leroy</v>
      </c>
      <c r="E1040" s="3" t="str">
        <f t="shared" si="125"/>
        <v/>
      </c>
      <c r="F1040" t="str">
        <f t="shared" si="126"/>
        <v>.pdf</v>
      </c>
      <c r="G1040">
        <f t="shared" si="127"/>
        <v>71</v>
      </c>
      <c r="H1040" s="3">
        <f>LEN(Table1[[#This Row],[Auteur]])</f>
        <v>25</v>
      </c>
      <c r="I1040" s="3" t="str">
        <f t="shared" si="129"/>
        <v>Le langage Caml</v>
      </c>
    </row>
    <row r="1041" spans="1:9" x14ac:dyDescent="0.45">
      <c r="A1041" t="s">
        <v>1377</v>
      </c>
      <c r="B1041" t="str">
        <f t="shared" si="122"/>
        <v>1998</v>
      </c>
      <c r="C1041" t="str">
        <f t="shared" si="123"/>
        <v>Inria</v>
      </c>
      <c r="D1041" t="str">
        <f t="shared" si="124"/>
        <v>Pierre Weis</v>
      </c>
      <c r="E1041" s="3" t="str">
        <f t="shared" si="125"/>
        <v/>
      </c>
      <c r="F1041" t="str">
        <f t="shared" si="126"/>
        <v>.pdf</v>
      </c>
      <c r="G1041">
        <f t="shared" si="127"/>
        <v>50</v>
      </c>
      <c r="H1041" s="3">
        <f>LEN(Table1[[#This Row],[Auteur]])</f>
        <v>11</v>
      </c>
      <c r="I1041" s="3" t="str">
        <f t="shared" si="129"/>
        <v>Le langage Caml</v>
      </c>
    </row>
    <row r="1042" spans="1:9" x14ac:dyDescent="0.45">
      <c r="A1042" t="s">
        <v>1379</v>
      </c>
      <c r="B1042" t="str">
        <f t="shared" si="122"/>
        <v>2009</v>
      </c>
      <c r="C1042" t="str">
        <f t="shared" si="123"/>
        <v>Apress</v>
      </c>
      <c r="D1042" t="str">
        <f t="shared" si="124"/>
        <v>Robert Pickering</v>
      </c>
      <c r="E1042" s="3" t="str">
        <f t="shared" si="125"/>
        <v/>
      </c>
      <c r="F1042" t="str">
        <f t="shared" si="126"/>
        <v>.pdf</v>
      </c>
      <c r="G1042">
        <f t="shared" si="127"/>
        <v>53</v>
      </c>
      <c r="H1042" s="3">
        <f>LEN(Table1[[#This Row],[Auteur]])</f>
        <v>16</v>
      </c>
      <c r="I1042" s="3" t="str">
        <f t="shared" si="129"/>
        <v>Beginning F#</v>
      </c>
    </row>
    <row r="1043" spans="1:9" x14ac:dyDescent="0.45">
      <c r="A1043" t="s">
        <v>2059</v>
      </c>
      <c r="B1043" t="str">
        <f t="shared" si="122"/>
        <v>2009</v>
      </c>
      <c r="C1043" t="str">
        <f t="shared" si="123"/>
        <v>?</v>
      </c>
      <c r="D1043" t="str">
        <f t="shared" si="124"/>
        <v>?</v>
      </c>
      <c r="E1043" s="3" t="str">
        <f t="shared" si="125"/>
        <v/>
      </c>
      <c r="F1043" t="str">
        <f t="shared" si="126"/>
        <v>.rar</v>
      </c>
      <c r="G1043">
        <f t="shared" si="127"/>
        <v>32</v>
      </c>
      <c r="H1043" s="3">
        <f>LEN(Table1[[#This Row],[Auteur]])</f>
        <v>1</v>
      </c>
      <c r="I1043" s="3" t="str">
        <f t="shared" si="129"/>
        <v>Beginning F#</v>
      </c>
    </row>
    <row r="1044" spans="1:9" x14ac:dyDescent="0.45">
      <c r="A1044" t="s">
        <v>1380</v>
      </c>
      <c r="B1044" t="str">
        <f t="shared" si="122"/>
        <v>2010</v>
      </c>
      <c r="C1044" t="str">
        <f t="shared" si="123"/>
        <v>Apress</v>
      </c>
      <c r="D1044" t="str">
        <f t="shared" si="124"/>
        <v>Don Syme, Adam Granicz, Antonio Cisternino</v>
      </c>
      <c r="E1044" s="3" t="str">
        <f t="shared" si="125"/>
        <v/>
      </c>
      <c r="F1044" t="str">
        <f t="shared" si="126"/>
        <v>.pdf</v>
      </c>
      <c r="G1044">
        <f t="shared" si="127"/>
        <v>88</v>
      </c>
      <c r="H1044" s="3">
        <f>LEN(Table1[[#This Row],[Auteur]])</f>
        <v>42</v>
      </c>
      <c r="I1044" s="3" t="str">
        <f t="shared" si="129"/>
        <v>Expert F# 2.0</v>
      </c>
    </row>
    <row r="1045" spans="1:9" x14ac:dyDescent="0.45">
      <c r="A1045" t="s">
        <v>1381</v>
      </c>
      <c r="B1045" t="str">
        <f t="shared" si="122"/>
        <v>1990</v>
      </c>
      <c r="C1045" t="str">
        <f t="shared" si="123"/>
        <v>Westview</v>
      </c>
      <c r="D1045" t="str">
        <f t="shared" si="124"/>
        <v>Koonin, Meredith</v>
      </c>
      <c r="E1045" s="3" t="str">
        <f t="shared" si="125"/>
        <v/>
      </c>
      <c r="F1045" s="3" t="str">
        <f t="shared" si="126"/>
        <v>.pdf</v>
      </c>
      <c r="G1045">
        <f t="shared" si="127"/>
        <v>72</v>
      </c>
      <c r="H1045" s="3">
        <f>LEN(Table1[[#This Row],[Auteur]])</f>
        <v>16</v>
      </c>
      <c r="I1045" s="3" t="str">
        <f t="shared" si="129"/>
        <v>Computational Physics Fortran</v>
      </c>
    </row>
    <row r="1046" spans="1:9" x14ac:dyDescent="0.45">
      <c r="A1046" t="s">
        <v>1382</v>
      </c>
      <c r="B1046" t="str">
        <f t="shared" si="122"/>
        <v>2011</v>
      </c>
      <c r="C1046" t="str">
        <f t="shared" si="123"/>
        <v>Oxford</v>
      </c>
      <c r="D1046" t="str">
        <f t="shared" si="124"/>
        <v>Metcalf, Reid, Cohen</v>
      </c>
      <c r="E1046" s="3" t="str">
        <f t="shared" si="125"/>
        <v/>
      </c>
      <c r="F1046" t="str">
        <f t="shared" si="126"/>
        <v>.pdf</v>
      </c>
      <c r="G1046">
        <f t="shared" si="127"/>
        <v>77</v>
      </c>
      <c r="H1046" s="3">
        <f>LEN(Table1[[#This Row],[Auteur]])</f>
        <v>20</v>
      </c>
      <c r="I1046" s="3" t="str">
        <f t="shared" si="129"/>
        <v>Modern Fortran Explained</v>
      </c>
    </row>
    <row r="1047" spans="1:9" x14ac:dyDescent="0.45">
      <c r="A1047" t="s">
        <v>1383</v>
      </c>
      <c r="B1047" t="str">
        <f t="shared" si="122"/>
        <v>2012</v>
      </c>
      <c r="C1047" t="str">
        <f t="shared" si="123"/>
        <v>Cambridge</v>
      </c>
      <c r="D1047" t="str">
        <f t="shared" si="124"/>
        <v>Clerman, Spektor</v>
      </c>
      <c r="E1047" s="3" t="str">
        <f t="shared" si="125"/>
        <v/>
      </c>
      <c r="F1047" s="3" t="str">
        <f t="shared" si="126"/>
        <v>.pdf</v>
      </c>
      <c r="G1047">
        <f t="shared" si="127"/>
        <v>75</v>
      </c>
      <c r="H1047" s="3">
        <f>LEN(Table1[[#This Row],[Auteur]])</f>
        <v>16</v>
      </c>
      <c r="I1047" s="3" t="str">
        <f t="shared" si="129"/>
        <v>Modern Fortran, Style and Usage</v>
      </c>
    </row>
    <row r="1048" spans="1:9" x14ac:dyDescent="0.45">
      <c r="A1048" t="s">
        <v>1384</v>
      </c>
      <c r="B1048" t="str">
        <f t="shared" si="122"/>
        <v>1997</v>
      </c>
      <c r="C1048" t="str">
        <f t="shared" si="123"/>
        <v>Cambridge</v>
      </c>
      <c r="D1048" t="str">
        <f t="shared" si="124"/>
        <v>Press, Teukolsky, Vetterling, Flannery</v>
      </c>
      <c r="E1048" s="3" t="str">
        <f t="shared" si="125"/>
        <v/>
      </c>
      <c r="F1048" t="str">
        <f t="shared" si="126"/>
        <v>.pdf</v>
      </c>
      <c r="G1048">
        <f t="shared" si="127"/>
        <v>97</v>
      </c>
      <c r="H1048" s="3">
        <f>LEN(Table1[[#This Row],[Auteur]])</f>
        <v>38</v>
      </c>
      <c r="I1048" s="3" t="str">
        <f t="shared" si="129"/>
        <v>Numerical Recipes in Fortran 77</v>
      </c>
    </row>
    <row r="1049" spans="1:9" x14ac:dyDescent="0.45">
      <c r="A1049" t="s">
        <v>1385</v>
      </c>
      <c r="B1049" t="str">
        <f t="shared" si="122"/>
        <v>?</v>
      </c>
      <c r="C1049" t="str">
        <f t="shared" si="123"/>
        <v>Eyrolles</v>
      </c>
      <c r="D1049" t="str">
        <f t="shared" si="124"/>
        <v>Claude Delannoy</v>
      </c>
      <c r="E1049" s="3" t="str">
        <f t="shared" si="125"/>
        <v/>
      </c>
      <c r="F1049" t="str">
        <f t="shared" si="126"/>
        <v>.pdf</v>
      </c>
      <c r="G1049">
        <f t="shared" si="127"/>
        <v>112</v>
      </c>
      <c r="H1049" s="3">
        <f>LEN(Table1[[#This Row],[Auteur]])</f>
        <v>15</v>
      </c>
      <c r="I1049" s="3" t="str">
        <f t="shared" si="129"/>
        <v>Programmer en Fortran, Fortran 90 et ses évolutions, Fortran 95, 2003 et 2008</v>
      </c>
    </row>
    <row r="1050" spans="1:9" x14ac:dyDescent="0.45">
      <c r="A1050" t="s">
        <v>1386</v>
      </c>
      <c r="B1050" t="str">
        <f t="shared" si="122"/>
        <v>2009</v>
      </c>
      <c r="C1050" t="str">
        <f t="shared" si="123"/>
        <v>Springer</v>
      </c>
      <c r="D1050" t="str">
        <f t="shared" si="124"/>
        <v>Adams, Brainerd, Hendrickson, Maine, Martin, Smith</v>
      </c>
      <c r="E1050" s="3" t="str">
        <f t="shared" si="125"/>
        <v/>
      </c>
      <c r="F1050" t="str">
        <f t="shared" si="126"/>
        <v>.pdf</v>
      </c>
      <c r="G1050">
        <f t="shared" si="127"/>
        <v>148</v>
      </c>
      <c r="H1050" s="3">
        <f>LEN(Table1[[#This Row],[Auteur]])</f>
        <v>50</v>
      </c>
      <c r="I1050" s="3" t="str">
        <f t="shared" si="129"/>
        <v>The Fortran 2003 Handbook, The Complete Syntax, Features and Procedures</v>
      </c>
    </row>
    <row r="1051" spans="1:9" x14ac:dyDescent="0.45">
      <c r="A1051" t="s">
        <v>1388</v>
      </c>
      <c r="B1051" t="str">
        <f t="shared" si="122"/>
        <v>2015</v>
      </c>
      <c r="C1051" t="str">
        <f t="shared" si="123"/>
        <v>Fuze</v>
      </c>
      <c r="D1051" t="str">
        <f t="shared" si="124"/>
        <v>Jon Silvera, Colin Bodley</v>
      </c>
      <c r="E1051" s="3" t="str">
        <f t="shared" si="125"/>
        <v/>
      </c>
      <c r="F1051" t="str">
        <f t="shared" si="126"/>
        <v>.pdf</v>
      </c>
      <c r="G1051">
        <f t="shared" si="127"/>
        <v>76</v>
      </c>
      <c r="H1051" s="3">
        <f>LEN(Table1[[#This Row],[Auteur]])</f>
        <v>25</v>
      </c>
      <c r="I1051" s="3" t="str">
        <f t="shared" si="129"/>
        <v>Fuze Basic, Project Workbook</v>
      </c>
    </row>
    <row r="1052" spans="1:9" x14ac:dyDescent="0.45">
      <c r="A1052" t="s">
        <v>1389</v>
      </c>
      <c r="B1052" t="str">
        <f t="shared" si="122"/>
        <v>2016</v>
      </c>
      <c r="C1052" t="str">
        <f t="shared" si="123"/>
        <v>Fuze</v>
      </c>
      <c r="D1052" t="str">
        <f t="shared" si="124"/>
        <v>Jon Silvera, Colin Bodley</v>
      </c>
      <c r="E1052" s="3" t="str">
        <f t="shared" si="125"/>
        <v/>
      </c>
      <c r="F1052" t="str">
        <f t="shared" si="126"/>
        <v>.pdf</v>
      </c>
      <c r="G1052">
        <f t="shared" si="127"/>
        <v>90</v>
      </c>
      <c r="H1052" s="3">
        <f>LEN(Table1[[#This Row],[Auteur]])</f>
        <v>25</v>
      </c>
      <c r="I1052" s="3" t="str">
        <f t="shared" si="129"/>
        <v>Fuze Basic, Reference Guide v1.4 Basic 3.3</v>
      </c>
    </row>
    <row r="1053" spans="1:9" x14ac:dyDescent="0.45">
      <c r="A1053" t="s">
        <v>1390</v>
      </c>
      <c r="B1053" t="str">
        <f t="shared" si="122"/>
        <v>2016</v>
      </c>
      <c r="C1053" t="str">
        <f t="shared" si="123"/>
        <v>Fuze</v>
      </c>
      <c r="D1053" t="str">
        <f t="shared" si="124"/>
        <v>Jon Silvera, Colin Bodley</v>
      </c>
      <c r="E1053" s="3" t="str">
        <f t="shared" si="125"/>
        <v/>
      </c>
      <c r="F1053" t="str">
        <f t="shared" si="126"/>
        <v>.pdf</v>
      </c>
      <c r="G1053">
        <f t="shared" si="127"/>
        <v>88</v>
      </c>
      <c r="H1053" s="3">
        <f>LEN(Table1[[#This Row],[Auteur]])</f>
        <v>25</v>
      </c>
      <c r="I1053" s="3" t="str">
        <f t="shared" si="129"/>
        <v>Fuze Basic, Reference Guide v2 Basic 3.5</v>
      </c>
    </row>
    <row r="1054" spans="1:9" x14ac:dyDescent="0.45">
      <c r="A1054" t="s">
        <v>1391</v>
      </c>
      <c r="B1054" t="str">
        <f t="shared" si="122"/>
        <v>?</v>
      </c>
      <c r="C1054" t="str">
        <f t="shared" si="123"/>
        <v>Wikibooks</v>
      </c>
      <c r="D1054" t="str">
        <f t="shared" si="124"/>
        <v>?</v>
      </c>
      <c r="E1054" s="3" t="str">
        <f t="shared" si="125"/>
        <v/>
      </c>
      <c r="F1054" t="str">
        <f t="shared" si="126"/>
        <v>.pdf</v>
      </c>
      <c r="G1054">
        <f t="shared" si="127"/>
        <v>46</v>
      </c>
      <c r="H1054" s="3">
        <f>LEN(Table1[[#This Row],[Auteur]])</f>
        <v>1</v>
      </c>
      <c r="I1054" s="3" t="str">
        <f t="shared" si="129"/>
        <v>Haskell Programming Language</v>
      </c>
    </row>
    <row r="1055" spans="1:9" x14ac:dyDescent="0.45">
      <c r="A1055" t="s">
        <v>1392</v>
      </c>
      <c r="B1055" t="str">
        <f t="shared" si="122"/>
        <v>1999</v>
      </c>
      <c r="C1055" t="str">
        <f t="shared" si="123"/>
        <v>Addison-Wesley</v>
      </c>
      <c r="D1055" t="str">
        <f t="shared" si="124"/>
        <v>Suimon Thompson</v>
      </c>
      <c r="E1055" s="3" t="str">
        <f t="shared" si="125"/>
        <v>Scan</v>
      </c>
      <c r="F1055" s="3" t="str">
        <f t="shared" si="126"/>
        <v>.pdf</v>
      </c>
      <c r="G1055">
        <f t="shared" si="127"/>
        <v>107</v>
      </c>
      <c r="H1055" s="3">
        <f>LEN(Table1[[#This Row],[Auteur]])</f>
        <v>15</v>
      </c>
      <c r="I1055" s="3" t="str">
        <f t="shared" si="129"/>
        <v>Haskell, The Craft of Functional Programming</v>
      </c>
    </row>
    <row r="1056" spans="1:9" x14ac:dyDescent="0.45">
      <c r="A1056" t="s">
        <v>1393</v>
      </c>
      <c r="B1056" t="str">
        <f t="shared" si="122"/>
        <v>1999</v>
      </c>
      <c r="C1056" t="str">
        <f t="shared" si="123"/>
        <v>?</v>
      </c>
      <c r="D1056" t="str">
        <f t="shared" si="124"/>
        <v>?</v>
      </c>
      <c r="E1056" s="3" t="str">
        <f t="shared" si="125"/>
        <v/>
      </c>
      <c r="F1056" t="str">
        <f t="shared" si="126"/>
        <v>.zip</v>
      </c>
      <c r="G1056">
        <f t="shared" si="127"/>
        <v>70</v>
      </c>
      <c r="H1056" s="3">
        <f>LEN(Table1[[#This Row],[Auteur]])</f>
        <v>1</v>
      </c>
      <c r="I1056" s="3" t="str">
        <f t="shared" si="129"/>
        <v>Haskell, The Craft of Functional Programming</v>
      </c>
    </row>
    <row r="1057" spans="1:9" x14ac:dyDescent="0.45">
      <c r="A1057" t="s">
        <v>1394</v>
      </c>
      <c r="B1057" t="str">
        <f t="shared" si="122"/>
        <v>2011</v>
      </c>
      <c r="C1057" t="str">
        <f t="shared" si="123"/>
        <v>O'Reilly</v>
      </c>
      <c r="D1057" t="str">
        <f t="shared" si="124"/>
        <v>Miran Lipovača</v>
      </c>
      <c r="E1057" s="3" t="str">
        <f t="shared" si="125"/>
        <v/>
      </c>
      <c r="F1057" t="str">
        <f t="shared" si="126"/>
        <v>.pdf</v>
      </c>
      <c r="G1057">
        <f t="shared" si="127"/>
        <v>76</v>
      </c>
      <c r="H1057" s="3">
        <f>LEN(Table1[[#This Row],[Auteur]])</f>
        <v>14</v>
      </c>
      <c r="I1057" s="3" t="str">
        <f t="shared" si="129"/>
        <v>Learn You a Haskell for Great Good!</v>
      </c>
    </row>
    <row r="1058" spans="1:9" x14ac:dyDescent="0.45">
      <c r="A1058" t="s">
        <v>1395</v>
      </c>
      <c r="B1058" t="str">
        <f t="shared" si="122"/>
        <v>2004</v>
      </c>
      <c r="C1058" t="str">
        <f t="shared" si="123"/>
        <v>College Publications</v>
      </c>
      <c r="D1058" t="str">
        <f t="shared" si="124"/>
        <v>Kees Doets, Jan van Eijck</v>
      </c>
      <c r="E1058" s="3" t="str">
        <f t="shared" si="125"/>
        <v/>
      </c>
      <c r="F1058" t="str">
        <f t="shared" si="126"/>
        <v>.pdf</v>
      </c>
      <c r="G1058">
        <f t="shared" si="127"/>
        <v>112</v>
      </c>
      <c r="H1058" s="3">
        <f>LEN(Table1[[#This Row],[Auteur]])</f>
        <v>25</v>
      </c>
      <c r="I1058" s="3" t="str">
        <f t="shared" si="129"/>
        <v>The Haskell Road to Logic, Maths and Programming</v>
      </c>
    </row>
    <row r="1059" spans="1:9" x14ac:dyDescent="0.45">
      <c r="A1059" t="s">
        <v>1396</v>
      </c>
      <c r="B1059" t="str">
        <f t="shared" si="122"/>
        <v>2004</v>
      </c>
      <c r="C1059" t="str">
        <f t="shared" si="123"/>
        <v>?</v>
      </c>
      <c r="D1059" t="str">
        <f t="shared" si="124"/>
        <v>John Hughes</v>
      </c>
      <c r="E1059" s="3" t="str">
        <f t="shared" si="125"/>
        <v/>
      </c>
      <c r="F1059" s="3" t="str">
        <f t="shared" si="126"/>
        <v>.pdf</v>
      </c>
      <c r="G1059">
        <f t="shared" si="127"/>
        <v>59</v>
      </c>
      <c r="H1059" s="3">
        <f>LEN(Table1[[#This Row],[Auteur]])</f>
        <v>11</v>
      </c>
      <c r="I1059" s="3" t="str">
        <f t="shared" si="129"/>
        <v>Why Functional Programming Matters</v>
      </c>
    </row>
    <row r="1060" spans="1:9" x14ac:dyDescent="0.45">
      <c r="A1060" t="s">
        <v>1397</v>
      </c>
      <c r="B1060" t="str">
        <f t="shared" si="122"/>
        <v>2006</v>
      </c>
      <c r="C1060" t="str">
        <f t="shared" si="123"/>
        <v>?</v>
      </c>
      <c r="D1060" t="str">
        <f t="shared" si="124"/>
        <v>Hal Daumé III</v>
      </c>
      <c r="E1060" s="3" t="str">
        <f t="shared" si="125"/>
        <v/>
      </c>
      <c r="F1060" s="3" t="str">
        <f t="shared" si="126"/>
        <v>.pdf</v>
      </c>
      <c r="G1060">
        <f t="shared" si="127"/>
        <v>55</v>
      </c>
      <c r="H1060" s="3">
        <f>LEN(Table1[[#This Row],[Auteur]])</f>
        <v>13</v>
      </c>
      <c r="I1060" s="3" t="str">
        <f t="shared" si="129"/>
        <v>Yet Another Haskell Tutorial</v>
      </c>
    </row>
    <row r="1061" spans="1:9" x14ac:dyDescent="0.45">
      <c r="A1061" t="s">
        <v>1400</v>
      </c>
      <c r="B1061" t="str">
        <f t="shared" si="122"/>
        <v>2009</v>
      </c>
      <c r="C1061" t="str">
        <f t="shared" si="123"/>
        <v>Addison-Wesley</v>
      </c>
      <c r="D1061" t="str">
        <f t="shared" si="124"/>
        <v>Khalid A. Mughal, Rolf W. Rasmussen</v>
      </c>
      <c r="E1061" s="3" t="str">
        <f t="shared" si="125"/>
        <v/>
      </c>
      <c r="F1061" t="str">
        <f t="shared" si="126"/>
        <v>.pdf</v>
      </c>
      <c r="G1061">
        <f t="shared" si="127"/>
        <v>123</v>
      </c>
      <c r="H1061" s="3">
        <f>LEN(Table1[[#This Row],[Auteur]])</f>
        <v>35</v>
      </c>
      <c r="I1061" s="3" t="str">
        <f t="shared" si="129"/>
        <v>A Programmer's Guide to Java SCJP Certification</v>
      </c>
    </row>
    <row r="1062" spans="1:9" x14ac:dyDescent="0.45">
      <c r="A1062" t="s">
        <v>1401</v>
      </c>
      <c r="B1062" t="str">
        <f t="shared" si="122"/>
        <v>2016</v>
      </c>
      <c r="C1062" t="str">
        <f t="shared" si="123"/>
        <v>Pearson</v>
      </c>
      <c r="D1062" t="str">
        <f t="shared" si="124"/>
        <v>Walter Savitch</v>
      </c>
      <c r="E1062" s="3" t="str">
        <f t="shared" si="125"/>
        <v>Global Edition</v>
      </c>
      <c r="F1062" t="str">
        <f t="shared" si="126"/>
        <v>.pdf</v>
      </c>
      <c r="G1062">
        <f t="shared" si="127"/>
        <v>78</v>
      </c>
      <c r="H1062" s="3">
        <f>LEN(Table1[[#This Row],[Auteur]])</f>
        <v>14</v>
      </c>
      <c r="I1062" s="3" t="str">
        <f t="shared" si="129"/>
        <v>Absolute Java</v>
      </c>
    </row>
    <row r="1063" spans="1:9" x14ac:dyDescent="0.45">
      <c r="A1063" t="s">
        <v>1402</v>
      </c>
      <c r="B1063" t="str">
        <f t="shared" si="122"/>
        <v>2014</v>
      </c>
      <c r="C1063" t="str">
        <f t="shared" si="123"/>
        <v>Dunod</v>
      </c>
      <c r="D1063" t="str">
        <f t="shared" si="124"/>
        <v>Vincent Granet</v>
      </c>
      <c r="E1063" s="3" t="str">
        <f t="shared" si="125"/>
        <v/>
      </c>
      <c r="F1063" t="str">
        <f t="shared" si="126"/>
        <v>.pdf</v>
      </c>
      <c r="G1063">
        <f t="shared" si="127"/>
        <v>83</v>
      </c>
      <c r="H1063" s="3">
        <f>LEN(Table1[[#This Row],[Auteur]])</f>
        <v>14</v>
      </c>
      <c r="I1063" s="3" t="str">
        <f t="shared" si="129"/>
        <v>Algorithmique et programmation en Java</v>
      </c>
    </row>
    <row r="1064" spans="1:9" x14ac:dyDescent="0.45">
      <c r="A1064" t="s">
        <v>1403</v>
      </c>
      <c r="B1064" t="str">
        <f t="shared" si="122"/>
        <v>2002</v>
      </c>
      <c r="C1064" t="str">
        <f t="shared" si="123"/>
        <v>O'Reilly</v>
      </c>
      <c r="D1064" t="str">
        <f t="shared" si="124"/>
        <v>Jesse Tilly, Eric Burke</v>
      </c>
      <c r="E1064" s="3" t="str">
        <f t="shared" si="125"/>
        <v/>
      </c>
      <c r="F1064" t="str">
        <f t="shared" si="126"/>
        <v>.pdf</v>
      </c>
      <c r="G1064">
        <f t="shared" si="127"/>
        <v>75</v>
      </c>
      <c r="H1064" s="3">
        <f>LEN(Table1[[#This Row],[Auteur]])</f>
        <v>23</v>
      </c>
      <c r="I1064" s="3" t="str">
        <f t="shared" si="129"/>
        <v>Ant, The Definitive Guide</v>
      </c>
    </row>
    <row r="1065" spans="1:9" x14ac:dyDescent="0.45">
      <c r="A1065" t="s">
        <v>1404</v>
      </c>
      <c r="B1065" t="str">
        <f t="shared" si="122"/>
        <v>2008</v>
      </c>
      <c r="C1065" t="str">
        <f t="shared" si="123"/>
        <v>Eyrolles</v>
      </c>
      <c r="D1065" t="str">
        <f t="shared" si="124"/>
        <v>Jean-Bernard Boichat</v>
      </c>
      <c r="E1065" s="3" t="str">
        <f t="shared" si="125"/>
        <v/>
      </c>
      <c r="F1065" t="str">
        <f t="shared" si="126"/>
        <v>.pdf</v>
      </c>
      <c r="G1065">
        <f t="shared" si="127"/>
        <v>88</v>
      </c>
      <c r="H1065" s="3">
        <f>LEN(Table1[[#This Row],[Auteur]])</f>
        <v>20</v>
      </c>
      <c r="I1065" s="3" t="str">
        <f t="shared" si="129"/>
        <v>Apprendre Java et C++ en parallèle</v>
      </c>
    </row>
    <row r="1066" spans="1:9" x14ac:dyDescent="0.45">
      <c r="A1066" t="s">
        <v>1405</v>
      </c>
      <c r="B1066" t="str">
        <f t="shared" si="122"/>
        <v>2010</v>
      </c>
      <c r="C1066" t="str">
        <f t="shared" si="123"/>
        <v>Le site du zéro</v>
      </c>
      <c r="D1066" t="str">
        <f t="shared" si="124"/>
        <v>Cisboy</v>
      </c>
      <c r="E1066" s="3" t="str">
        <f t="shared" si="125"/>
        <v/>
      </c>
      <c r="F1066" s="3" t="str">
        <f t="shared" si="126"/>
        <v>.pdf</v>
      </c>
      <c r="G1066">
        <f t="shared" si="127"/>
        <v>69</v>
      </c>
      <c r="H1066" s="3">
        <f>LEN(Table1[[#This Row],[Auteur]])</f>
        <v>6</v>
      </c>
      <c r="I1066" s="3" t="str">
        <f t="shared" si="129"/>
        <v>Apprenez à programmer en Java</v>
      </c>
    </row>
    <row r="1067" spans="1:9" x14ac:dyDescent="0.45">
      <c r="A1067" t="s">
        <v>1406</v>
      </c>
      <c r="B1067" t="str">
        <f t="shared" si="122"/>
        <v>2015</v>
      </c>
      <c r="C1067" t="str">
        <f t="shared" si="123"/>
        <v>Dunod</v>
      </c>
      <c r="D1067" t="str">
        <f t="shared" si="124"/>
        <v>Annick Fron</v>
      </c>
      <c r="E1067" s="3" t="str">
        <f t="shared" si="125"/>
        <v/>
      </c>
      <c r="F1067" t="str">
        <f t="shared" si="126"/>
        <v>.pdf</v>
      </c>
      <c r="G1067">
        <f t="shared" si="127"/>
        <v>73</v>
      </c>
      <c r="H1067" s="3">
        <f>LEN(Table1[[#This Row],[Auteur]])</f>
        <v>11</v>
      </c>
      <c r="I1067" s="3" t="str">
        <f t="shared" si="129"/>
        <v>Architectures réparties en Java</v>
      </c>
    </row>
    <row r="1068" spans="1:9" x14ac:dyDescent="0.45">
      <c r="A1068" t="s">
        <v>1407</v>
      </c>
      <c r="B1068" t="str">
        <f t="shared" si="122"/>
        <v>2015</v>
      </c>
      <c r="C1068" t="str">
        <f t="shared" si="123"/>
        <v>?</v>
      </c>
      <c r="D1068" t="str">
        <f t="shared" si="124"/>
        <v>?</v>
      </c>
      <c r="E1068" s="3" t="str">
        <f t="shared" si="125"/>
        <v/>
      </c>
      <c r="F1068" t="str">
        <f t="shared" si="126"/>
        <v>.zip</v>
      </c>
      <c r="G1068">
        <f t="shared" si="127"/>
        <v>58</v>
      </c>
      <c r="H1068" s="3">
        <f>LEN(Table1[[#This Row],[Auteur]])</f>
        <v>1</v>
      </c>
      <c r="I1068" s="3" t="str">
        <f t="shared" si="129"/>
        <v>Architectures réparties en Java</v>
      </c>
    </row>
    <row r="1069" spans="1:9" x14ac:dyDescent="0.45">
      <c r="A1069" t="s">
        <v>1408</v>
      </c>
      <c r="B1069" t="str">
        <f t="shared" si="122"/>
        <v>2011</v>
      </c>
      <c r="C1069" t="str">
        <f t="shared" si="123"/>
        <v>Apress</v>
      </c>
      <c r="D1069" t="str">
        <f t="shared" si="124"/>
        <v>Jeff Friesen</v>
      </c>
      <c r="E1069" s="3" t="str">
        <f t="shared" si="125"/>
        <v/>
      </c>
      <c r="F1069" s="3" t="str">
        <f t="shared" si="126"/>
        <v>.pdf</v>
      </c>
      <c r="G1069">
        <f t="shared" si="127"/>
        <v>53</v>
      </c>
      <c r="H1069" s="3">
        <f>LEN(Table1[[#This Row],[Auteur]])</f>
        <v>12</v>
      </c>
      <c r="I1069" s="3" t="str">
        <f t="shared" si="129"/>
        <v>Beginning Java 7</v>
      </c>
    </row>
    <row r="1070" spans="1:9" x14ac:dyDescent="0.45">
      <c r="A1070" t="s">
        <v>1409</v>
      </c>
      <c r="B1070" t="str">
        <f t="shared" si="122"/>
        <v>2012</v>
      </c>
      <c r="C1070" t="str">
        <f t="shared" si="123"/>
        <v>Wiley</v>
      </c>
      <c r="D1070" t="str">
        <f t="shared" si="124"/>
        <v>Barry Burd</v>
      </c>
      <c r="E1070" s="3" t="str">
        <f t="shared" si="125"/>
        <v/>
      </c>
      <c r="F1070" s="3" t="str">
        <f t="shared" si="126"/>
        <v>.pdf</v>
      </c>
      <c r="G1070">
        <f t="shared" si="127"/>
        <v>85</v>
      </c>
      <c r="H1070" s="3">
        <f>LEN(Table1[[#This Row],[Auteur]])</f>
        <v>10</v>
      </c>
      <c r="I1070" s="3" t="str">
        <f t="shared" si="129"/>
        <v>Beginning Programming with Java for Dummies</v>
      </c>
    </row>
    <row r="1071" spans="1:9" x14ac:dyDescent="0.45">
      <c r="A1071" t="s">
        <v>1410</v>
      </c>
      <c r="B1071" t="str">
        <f t="shared" si="122"/>
        <v>2010</v>
      </c>
      <c r="C1071" t="str">
        <f t="shared" si="123"/>
        <v>Wiley</v>
      </c>
      <c r="D1071" t="str">
        <f t="shared" si="124"/>
        <v>Cay Horstmann</v>
      </c>
      <c r="E1071" s="3" t="str">
        <f t="shared" si="125"/>
        <v/>
      </c>
      <c r="F1071" t="str">
        <f t="shared" si="126"/>
        <v>.pdf</v>
      </c>
      <c r="G1071">
        <f t="shared" si="127"/>
        <v>53</v>
      </c>
      <c r="H1071" s="3">
        <f>LEN(Table1[[#This Row],[Auteur]])</f>
        <v>13</v>
      </c>
      <c r="I1071" s="3" t="str">
        <f t="shared" si="129"/>
        <v>Big Java</v>
      </c>
    </row>
    <row r="1072" spans="1:9" x14ac:dyDescent="0.45">
      <c r="A1072" t="s">
        <v>1411</v>
      </c>
      <c r="B1072" t="str">
        <f t="shared" si="122"/>
        <v>2002</v>
      </c>
      <c r="C1072" t="str">
        <f t="shared" si="123"/>
        <v>O'Reilly</v>
      </c>
      <c r="D1072" t="str">
        <f t="shared" si="124"/>
        <v>Brett McLaughlin</v>
      </c>
      <c r="E1072" s="3" t="str">
        <f t="shared" si="125"/>
        <v/>
      </c>
      <c r="F1072" t="str">
        <f t="shared" si="126"/>
        <v>.pdf</v>
      </c>
      <c r="G1072">
        <f t="shared" si="127"/>
        <v>100</v>
      </c>
      <c r="H1072" s="3">
        <f>LEN(Table1[[#This Row],[Auteur]])</f>
        <v>16</v>
      </c>
      <c r="I1072" s="3" t="str">
        <f t="shared" si="129"/>
        <v>Building Java Enterprise Applications Vol 1, Architecture</v>
      </c>
    </row>
    <row r="1073" spans="1:9" x14ac:dyDescent="0.45">
      <c r="A1073" t="s">
        <v>1412</v>
      </c>
      <c r="B1073" t="str">
        <f t="shared" si="122"/>
        <v>2015</v>
      </c>
      <c r="C1073" t="str">
        <f t="shared" si="123"/>
        <v>Addison-Wesley</v>
      </c>
      <c r="D1073" t="str">
        <f t="shared" si="124"/>
        <v>Cay Horstmann</v>
      </c>
      <c r="E1073" s="3" t="str">
        <f t="shared" si="125"/>
        <v/>
      </c>
      <c r="F1073" t="str">
        <f t="shared" si="126"/>
        <v>.epub</v>
      </c>
      <c r="G1073">
        <f t="shared" si="127"/>
        <v>74</v>
      </c>
      <c r="H1073" s="3">
        <f>LEN(Table1[[#This Row],[Auteur]])</f>
        <v>13</v>
      </c>
      <c r="I1073" s="3" t="str">
        <f t="shared" si="129"/>
        <v>Core Java for the Impatient</v>
      </c>
    </row>
    <row r="1074" spans="1:9" x14ac:dyDescent="0.45">
      <c r="A1074" t="s">
        <v>1413</v>
      </c>
      <c r="B1074" t="str">
        <f t="shared" si="122"/>
        <v>2015</v>
      </c>
      <c r="C1074" t="str">
        <f t="shared" si="123"/>
        <v>Addison-Wesley</v>
      </c>
      <c r="D1074" t="str">
        <f t="shared" si="124"/>
        <v>Cay Horstmann</v>
      </c>
      <c r="E1074" s="3" t="str">
        <f t="shared" si="125"/>
        <v>eBook converted</v>
      </c>
      <c r="F1074" t="str">
        <f t="shared" si="126"/>
        <v>.pdf</v>
      </c>
      <c r="G1074">
        <f t="shared" si="127"/>
        <v>91</v>
      </c>
      <c r="H1074" s="3">
        <f>LEN(Table1[[#This Row],[Auteur]])</f>
        <v>13</v>
      </c>
      <c r="I1074" s="3" t="str">
        <f t="shared" si="129"/>
        <v>Core Java for the Impatient</v>
      </c>
    </row>
    <row r="1075" spans="1:9" x14ac:dyDescent="0.45">
      <c r="A1075" t="s">
        <v>1414</v>
      </c>
      <c r="B1075" t="str">
        <f t="shared" si="122"/>
        <v>2008</v>
      </c>
      <c r="C1075" t="str">
        <f t="shared" si="123"/>
        <v>Prentice Hall</v>
      </c>
      <c r="D1075" t="str">
        <f t="shared" si="124"/>
        <v>Horstmann, Cornell</v>
      </c>
      <c r="E1075" s="3" t="str">
        <f t="shared" si="125"/>
        <v/>
      </c>
      <c r="F1075" s="3" t="str">
        <f t="shared" si="126"/>
        <v>.pdf</v>
      </c>
      <c r="G1075" s="3">
        <f t="shared" si="127"/>
        <v>73</v>
      </c>
      <c r="H1075" s="3">
        <f>LEN(Table1[[#This Row],[Auteur]])</f>
        <v>18</v>
      </c>
      <c r="I1075" s="3" t="str">
        <f t="shared" si="129"/>
        <v>Core Java Vol 1</v>
      </c>
    </row>
    <row r="1076" spans="1:9" x14ac:dyDescent="0.45">
      <c r="A1076" t="s">
        <v>1415</v>
      </c>
      <c r="B1076" t="str">
        <f t="shared" si="122"/>
        <v>2013</v>
      </c>
      <c r="C1076" t="str">
        <f t="shared" si="123"/>
        <v>Prentice Hall</v>
      </c>
      <c r="D1076" t="str">
        <f t="shared" si="124"/>
        <v>Horstmann, Cornell</v>
      </c>
      <c r="E1076" s="3" t="str">
        <f t="shared" si="125"/>
        <v/>
      </c>
      <c r="F1076" t="str">
        <f t="shared" si="126"/>
        <v>.epub</v>
      </c>
      <c r="G1076">
        <f t="shared" si="127"/>
        <v>74</v>
      </c>
      <c r="H1076" s="3">
        <f>LEN(Table1[[#This Row],[Auteur]])</f>
        <v>18</v>
      </c>
      <c r="I1076" s="3" t="str">
        <f t="shared" si="129"/>
        <v>Core Java Vol 1</v>
      </c>
    </row>
    <row r="1077" spans="1:9" x14ac:dyDescent="0.45">
      <c r="A1077" t="s">
        <v>1416</v>
      </c>
      <c r="B1077" t="str">
        <f t="shared" si="122"/>
        <v>2013</v>
      </c>
      <c r="C1077" t="str">
        <f t="shared" si="123"/>
        <v>Prentice Hall</v>
      </c>
      <c r="D1077" t="str">
        <f t="shared" si="124"/>
        <v>Horstmann, Cornell</v>
      </c>
      <c r="E1077" s="3" t="str">
        <f t="shared" si="125"/>
        <v/>
      </c>
      <c r="F1077" t="str">
        <f t="shared" si="126"/>
        <v>.pdf</v>
      </c>
      <c r="G1077">
        <f t="shared" si="127"/>
        <v>73</v>
      </c>
      <c r="H1077" s="3">
        <f>LEN(Table1[[#This Row],[Auteur]])</f>
        <v>18</v>
      </c>
      <c r="I1077" s="3" t="str">
        <f t="shared" si="129"/>
        <v>Core Java Vol 1</v>
      </c>
    </row>
    <row r="1078" spans="1:9" x14ac:dyDescent="0.45">
      <c r="A1078" t="s">
        <v>1417</v>
      </c>
      <c r="B1078" t="str">
        <f t="shared" si="122"/>
        <v>2016</v>
      </c>
      <c r="C1078" t="str">
        <f t="shared" si="123"/>
        <v>Prentice Hall</v>
      </c>
      <c r="D1078" t="str">
        <f t="shared" si="124"/>
        <v>Horstmann</v>
      </c>
      <c r="E1078" s="3" t="str">
        <f t="shared" si="125"/>
        <v/>
      </c>
      <c r="F1078" t="str">
        <f t="shared" si="126"/>
        <v>.pdf</v>
      </c>
      <c r="G1078">
        <f t="shared" si="127"/>
        <v>65</v>
      </c>
      <c r="H1078" s="3">
        <f>LEN(Table1[[#This Row],[Auteur]])</f>
        <v>9</v>
      </c>
      <c r="I1078" s="3" t="str">
        <f t="shared" si="129"/>
        <v>Core Java Vol 1</v>
      </c>
    </row>
    <row r="1079" spans="1:9" x14ac:dyDescent="0.45">
      <c r="A1079" t="s">
        <v>1418</v>
      </c>
      <c r="B1079" t="str">
        <f t="shared" si="122"/>
        <v>2013</v>
      </c>
      <c r="C1079" t="str">
        <f t="shared" si="123"/>
        <v>Prentice Hall</v>
      </c>
      <c r="D1079" t="str">
        <f t="shared" si="124"/>
        <v>Horstmann, Cornell</v>
      </c>
      <c r="E1079" s="3" t="str">
        <f t="shared" si="125"/>
        <v>Bad quality</v>
      </c>
      <c r="F1079" t="str">
        <f t="shared" si="126"/>
        <v>.epub</v>
      </c>
      <c r="G1079">
        <f t="shared" si="127"/>
        <v>88</v>
      </c>
      <c r="H1079" s="3">
        <f>LEN(Table1[[#This Row],[Auteur]])</f>
        <v>18</v>
      </c>
      <c r="I1079" s="3" t="str">
        <f t="shared" si="129"/>
        <v>Core Java Vol 2</v>
      </c>
    </row>
    <row r="1080" spans="1:9" x14ac:dyDescent="0.45">
      <c r="A1080" t="s">
        <v>1419</v>
      </c>
      <c r="B1080" t="str">
        <f t="shared" si="122"/>
        <v>2000</v>
      </c>
      <c r="C1080" t="str">
        <f t="shared" si="123"/>
        <v>O'Reilly</v>
      </c>
      <c r="D1080" t="str">
        <f t="shared" si="124"/>
        <v>Kevin Lewis</v>
      </c>
      <c r="E1080" s="3" t="str">
        <f t="shared" si="125"/>
        <v/>
      </c>
      <c r="F1080" t="str">
        <f t="shared" si="126"/>
        <v>.pdf</v>
      </c>
      <c r="G1080">
        <f t="shared" si="127"/>
        <v>65</v>
      </c>
      <c r="H1080" s="3">
        <f>LEN(Table1[[#This Row],[Auteur]])</f>
        <v>11</v>
      </c>
      <c r="I1080" s="3" t="str">
        <f t="shared" si="129"/>
        <v>Creating Effective JavaHelp</v>
      </c>
    </row>
    <row r="1081" spans="1:9" x14ac:dyDescent="0.45">
      <c r="A1081" t="s">
        <v>1420</v>
      </c>
      <c r="B1081" t="str">
        <f t="shared" si="122"/>
        <v>2016</v>
      </c>
      <c r="C1081" t="str">
        <f t="shared" si="123"/>
        <v>?</v>
      </c>
      <c r="D1081" t="str">
        <f t="shared" si="124"/>
        <v>Devendra Singh</v>
      </c>
      <c r="E1081" s="3" t="str">
        <f t="shared" si="125"/>
        <v/>
      </c>
      <c r="F1081" t="str">
        <f t="shared" si="126"/>
        <v>.pdf</v>
      </c>
      <c r="G1081">
        <f t="shared" si="127"/>
        <v>59</v>
      </c>
      <c r="H1081" s="3">
        <f>LEN(Table1[[#This Row],[Auteur]])</f>
        <v>14</v>
      </c>
      <c r="I1081" s="3" t="str">
        <f t="shared" si="129"/>
        <v>Design Patterns in Java</v>
      </c>
    </row>
    <row r="1082" spans="1:9" x14ac:dyDescent="0.45">
      <c r="A1082" t="s">
        <v>1421</v>
      </c>
      <c r="B1082" t="str">
        <f t="shared" si="122"/>
        <v>2000</v>
      </c>
      <c r="C1082" t="str">
        <f t="shared" si="123"/>
        <v>Sun Microsystems</v>
      </c>
      <c r="D1082" t="str">
        <f t="shared" si="124"/>
        <v>Nicholas Kassem</v>
      </c>
      <c r="E1082" s="3" t="str">
        <f t="shared" si="125"/>
        <v/>
      </c>
      <c r="F1082" t="str">
        <f t="shared" si="126"/>
        <v>.pdf</v>
      </c>
      <c r="G1082">
        <f t="shared" si="127"/>
        <v>114</v>
      </c>
      <c r="H1082" s="3">
        <f>LEN(Table1[[#This Row],[Auteur]])</f>
        <v>15</v>
      </c>
      <c r="I1082" s="3" t="str">
        <f t="shared" si="129"/>
        <v>Designing Enterprise Applications with Java 2 Enterprise Edition</v>
      </c>
    </row>
    <row r="1083" spans="1:9" x14ac:dyDescent="0.45">
      <c r="A1083" t="s">
        <v>1422</v>
      </c>
      <c r="B1083" t="str">
        <f t="shared" si="122"/>
        <v>1997</v>
      </c>
      <c r="C1083" t="str">
        <f t="shared" si="123"/>
        <v>O'Reilly</v>
      </c>
      <c r="D1083" t="str">
        <f t="shared" si="124"/>
        <v>Robert Englander</v>
      </c>
      <c r="E1083" s="3" t="str">
        <f t="shared" si="125"/>
        <v/>
      </c>
      <c r="F1083" s="3" t="str">
        <f t="shared" si="126"/>
        <v>.pdf</v>
      </c>
      <c r="G1083">
        <f t="shared" si="127"/>
        <v>64</v>
      </c>
      <c r="H1083" s="3">
        <f>LEN(Table1[[#This Row],[Auteur]])</f>
        <v>16</v>
      </c>
      <c r="I1083" s="3" t="str">
        <f t="shared" si="129"/>
        <v>Developing Java Beans</v>
      </c>
    </row>
    <row r="1084" spans="1:9" x14ac:dyDescent="0.45">
      <c r="A1084" t="s">
        <v>1423</v>
      </c>
      <c r="B1084" t="str">
        <f t="shared" si="122"/>
        <v>2012</v>
      </c>
      <c r="C1084" t="str">
        <f t="shared" si="123"/>
        <v>Pearson</v>
      </c>
      <c r="D1084" t="str">
        <f t="shared" si="124"/>
        <v>Adriaan de Jonge</v>
      </c>
      <c r="E1084" s="3" t="str">
        <f t="shared" si="125"/>
        <v/>
      </c>
      <c r="F1084" s="3" t="str">
        <f t="shared" si="126"/>
        <v>.pdf</v>
      </c>
      <c r="G1084">
        <f t="shared" si="127"/>
        <v>122</v>
      </c>
      <c r="H1084" s="3">
        <f>LEN(Table1[[#This Row],[Auteur]])</f>
        <v>16</v>
      </c>
      <c r="I1084" s="3" t="str">
        <f t="shared" si="129"/>
        <v>Essential App Engine, Building High-Performance Java Apps with Google App Engine</v>
      </c>
    </row>
    <row r="1085" spans="1:9" x14ac:dyDescent="0.45">
      <c r="A1085" t="s">
        <v>1424</v>
      </c>
      <c r="B1085" t="str">
        <f t="shared" si="122"/>
        <v>2006</v>
      </c>
      <c r="C1085" t="str">
        <f t="shared" si="123"/>
        <v>Eyrolles</v>
      </c>
      <c r="D1085" t="str">
        <f t="shared" si="124"/>
        <v>Claude Delannoy</v>
      </c>
      <c r="E1085" s="3" t="str">
        <f t="shared" si="125"/>
        <v/>
      </c>
      <c r="F1085" s="3" t="str">
        <f t="shared" si="126"/>
        <v>.pdf</v>
      </c>
      <c r="G1085">
        <f t="shared" si="127"/>
        <v>66</v>
      </c>
      <c r="H1085" s="3">
        <f>LEN(Table1[[#This Row],[Auteur]])</f>
        <v>15</v>
      </c>
      <c r="I1085" s="3" t="str">
        <f t="shared" si="129"/>
        <v>Exercices en Java</v>
      </c>
    </row>
    <row r="1086" spans="1:9" x14ac:dyDescent="0.45">
      <c r="A1086" t="s">
        <v>1425</v>
      </c>
      <c r="B1086" t="str">
        <f t="shared" si="122"/>
        <v>2014</v>
      </c>
      <c r="C1086" t="str">
        <f t="shared" si="123"/>
        <v>Eyrolles</v>
      </c>
      <c r="D1086" t="str">
        <f t="shared" si="124"/>
        <v>Claude Delannoy</v>
      </c>
      <c r="E1086" s="3" t="str">
        <f t="shared" si="125"/>
        <v/>
      </c>
      <c r="F1086" s="3" t="str">
        <f t="shared" si="126"/>
        <v>.pdf</v>
      </c>
      <c r="G1086">
        <f t="shared" si="127"/>
        <v>90</v>
      </c>
      <c r="H1086" s="3">
        <f>LEN(Table1[[#This Row],[Auteur]])</f>
        <v>15</v>
      </c>
      <c r="I1086" s="3" t="str">
        <f t="shared" si="129"/>
        <v>Exercices en Java, 175 exercices corrigés</v>
      </c>
    </row>
    <row r="1087" spans="1:9" x14ac:dyDescent="0.45">
      <c r="A1087" t="s">
        <v>1426</v>
      </c>
      <c r="B1087" t="str">
        <f t="shared" si="122"/>
        <v>2011</v>
      </c>
      <c r="C1087" t="str">
        <f t="shared" si="123"/>
        <v>O'Reilly</v>
      </c>
      <c r="D1087" t="str">
        <f t="shared" si="124"/>
        <v>Dean Wampler</v>
      </c>
      <c r="E1087" s="3" t="str">
        <f t="shared" si="125"/>
        <v/>
      </c>
      <c r="F1087" t="str">
        <f t="shared" si="126"/>
        <v>.pdf</v>
      </c>
      <c r="G1087">
        <f t="shared" si="127"/>
        <v>81</v>
      </c>
      <c r="H1087" s="3">
        <f>LEN(Table1[[#This Row],[Auteur]])</f>
        <v>12</v>
      </c>
      <c r="I1087" s="3" t="str">
        <f t="shared" si="129"/>
        <v>Functional Programming for Java Developers</v>
      </c>
    </row>
    <row r="1088" spans="1:9" x14ac:dyDescent="0.45">
      <c r="A1088" t="s">
        <v>1427</v>
      </c>
      <c r="B1088" t="str">
        <f t="shared" si="122"/>
        <v>2014</v>
      </c>
      <c r="C1088" t="str">
        <f t="shared" si="123"/>
        <v>The Pragmatic Programmers</v>
      </c>
      <c r="D1088" t="str">
        <f t="shared" si="124"/>
        <v>Venkat Subramaniam</v>
      </c>
      <c r="E1088" s="3" t="str">
        <f t="shared" si="125"/>
        <v/>
      </c>
      <c r="F1088" s="3" t="str">
        <f t="shared" si="126"/>
        <v>.pdf</v>
      </c>
      <c r="G1088">
        <f t="shared" si="127"/>
        <v>92</v>
      </c>
      <c r="H1088" s="3">
        <f>LEN(Table1[[#This Row],[Auteur]])</f>
        <v>18</v>
      </c>
      <c r="I1088" s="3" t="str">
        <f t="shared" si="129"/>
        <v>Functional Programming in Java</v>
      </c>
    </row>
    <row r="1089" spans="1:9" x14ac:dyDescent="0.45">
      <c r="A1089" t="s">
        <v>1428</v>
      </c>
      <c r="B1089" t="str">
        <f t="shared" si="122"/>
        <v>2011</v>
      </c>
      <c r="C1089" t="str">
        <f t="shared" si="123"/>
        <v>O'Reilly</v>
      </c>
      <c r="D1089" t="str">
        <f t="shared" si="124"/>
        <v>Josh Long, Steve Mayzak</v>
      </c>
      <c r="E1089" s="3" t="str">
        <f t="shared" si="125"/>
        <v/>
      </c>
      <c r="F1089" s="3" t="str">
        <f t="shared" si="126"/>
        <v>.pdf</v>
      </c>
      <c r="G1089">
        <f t="shared" si="127"/>
        <v>74</v>
      </c>
      <c r="H1089" s="3">
        <f>LEN(Table1[[#This Row],[Auteur]])</f>
        <v>23</v>
      </c>
      <c r="I1089" s="3" t="str">
        <f t="shared" si="129"/>
        <v>Getting Started with Roo</v>
      </c>
    </row>
    <row r="1090" spans="1:9" x14ac:dyDescent="0.45">
      <c r="A1090" t="s">
        <v>1429</v>
      </c>
      <c r="B1090" t="str">
        <f t="shared" ref="B1090:B1153" si="130">DatePub(A1090)</f>
        <v>2002</v>
      </c>
      <c r="C1090" t="str">
        <f t="shared" ref="C1090:C1153" si="131">Editeur(A1090)</f>
        <v>O'Reilly</v>
      </c>
      <c r="D1090" t="str">
        <f t="shared" ref="D1090:D1153" si="132">Auteur(A1090)</f>
        <v>Kim Topley</v>
      </c>
      <c r="E1090" s="3" t="str">
        <f t="shared" ref="E1090:E1153" si="133">ExtraInfo(A1090)</f>
        <v/>
      </c>
      <c r="F1090" t="str">
        <f t="shared" ref="F1090:F1153" si="134">Extension(A1090)</f>
        <v>.pdf</v>
      </c>
      <c r="G1090">
        <f t="shared" ref="G1090:G1153" si="135">LenFileName(A1090)</f>
        <v>55</v>
      </c>
      <c r="H1090" s="3">
        <f>LEN(Table1[[#This Row],[Auteur]])</f>
        <v>10</v>
      </c>
      <c r="I1090" s="3" t="str">
        <f t="shared" ref="I1090:I1119" si="136">Title(A1090)</f>
        <v>J2ME in a Nutshell</v>
      </c>
    </row>
    <row r="1091" spans="1:9" x14ac:dyDescent="0.45">
      <c r="A1091" t="s">
        <v>1430</v>
      </c>
      <c r="B1091" t="str">
        <f t="shared" si="130"/>
        <v>2006</v>
      </c>
      <c r="C1091" t="str">
        <f t="shared" si="131"/>
        <v>Eyrolles</v>
      </c>
      <c r="D1091" t="str">
        <f t="shared" si="132"/>
        <v>Emmanuel Puybaret</v>
      </c>
      <c r="E1091" s="3" t="str">
        <f t="shared" si="133"/>
        <v/>
      </c>
      <c r="F1091" s="3" t="str">
        <f t="shared" si="134"/>
        <v>.pdf</v>
      </c>
      <c r="G1091">
        <f t="shared" si="135"/>
        <v>66</v>
      </c>
      <c r="H1091" s="3">
        <f>LEN(Table1[[#This Row],[Auteur]])</f>
        <v>17</v>
      </c>
      <c r="I1091" s="3" t="str">
        <f t="shared" si="136"/>
        <v>Java 1.4 et 5.0</v>
      </c>
    </row>
    <row r="1092" spans="1:9" x14ac:dyDescent="0.45">
      <c r="A1092" t="s">
        <v>1431</v>
      </c>
      <c r="B1092" t="str">
        <f t="shared" si="130"/>
        <v>1999</v>
      </c>
      <c r="C1092" t="str">
        <f t="shared" si="131"/>
        <v>O'Reilly</v>
      </c>
      <c r="D1092" t="str">
        <f t="shared" si="132"/>
        <v>Jonathan Knudsen</v>
      </c>
      <c r="E1092" s="3" t="str">
        <f t="shared" si="133"/>
        <v/>
      </c>
      <c r="F1092" s="3" t="str">
        <f t="shared" si="134"/>
        <v>.pdf</v>
      </c>
      <c r="G1092">
        <f t="shared" si="135"/>
        <v>59</v>
      </c>
      <c r="H1092" s="3">
        <f>LEN(Table1[[#This Row],[Auteur]])</f>
        <v>16</v>
      </c>
      <c r="I1092" s="3" t="str">
        <f t="shared" si="136"/>
        <v>Java 2D Graphics</v>
      </c>
    </row>
    <row r="1093" spans="1:9" x14ac:dyDescent="0.45">
      <c r="A1093" t="s">
        <v>1432</v>
      </c>
      <c r="B1093" t="str">
        <f t="shared" si="130"/>
        <v>2012</v>
      </c>
      <c r="C1093" t="str">
        <f t="shared" si="131"/>
        <v>Packt</v>
      </c>
      <c r="D1093" t="str">
        <f t="shared" si="132"/>
        <v>Javier Fernández González</v>
      </c>
      <c r="E1093" s="3" t="str">
        <f t="shared" si="133"/>
        <v/>
      </c>
      <c r="F1093" t="str">
        <f t="shared" si="134"/>
        <v>.pdf</v>
      </c>
      <c r="G1093">
        <f t="shared" si="135"/>
        <v>76</v>
      </c>
      <c r="H1093" s="3">
        <f>LEN(Table1[[#This Row],[Auteur]])</f>
        <v>25</v>
      </c>
      <c r="I1093" s="3" t="str">
        <f t="shared" si="136"/>
        <v>Java 7 Concurrency Cookbook</v>
      </c>
    </row>
    <row r="1094" spans="1:9" x14ac:dyDescent="0.45">
      <c r="A1094" t="s">
        <v>1433</v>
      </c>
      <c r="B1094" t="str">
        <f t="shared" si="130"/>
        <v>2010</v>
      </c>
      <c r="C1094" t="str">
        <f t="shared" si="131"/>
        <v>Wiley</v>
      </c>
      <c r="D1094" t="str">
        <f t="shared" si="132"/>
        <v>T. Gene Davis</v>
      </c>
      <c r="E1094" s="3" t="str">
        <f t="shared" si="133"/>
        <v/>
      </c>
      <c r="F1094" s="3" t="str">
        <f t="shared" si="134"/>
        <v>.pdf</v>
      </c>
      <c r="G1094">
        <f t="shared" si="135"/>
        <v>74</v>
      </c>
      <c r="H1094" s="3">
        <f>LEN(Table1[[#This Row],[Auteur]])</f>
        <v>13</v>
      </c>
      <c r="I1094" s="3" t="str">
        <f t="shared" si="136"/>
        <v>Java and Mac OS X Developer Reference</v>
      </c>
    </row>
    <row r="1095" spans="1:9" x14ac:dyDescent="0.45">
      <c r="A1095" t="s">
        <v>1434</v>
      </c>
      <c r="B1095" t="str">
        <f t="shared" si="130"/>
        <v>2002</v>
      </c>
      <c r="C1095" t="str">
        <f t="shared" si="131"/>
        <v>O'Reilly</v>
      </c>
      <c r="D1095" t="str">
        <f t="shared" si="132"/>
        <v>Robert Englander</v>
      </c>
      <c r="E1095" s="3" t="str">
        <f t="shared" si="133"/>
        <v/>
      </c>
      <c r="F1095" t="str">
        <f t="shared" si="134"/>
        <v>.pdf</v>
      </c>
      <c r="G1095">
        <f t="shared" si="135"/>
        <v>56</v>
      </c>
      <c r="H1095" s="3">
        <f>LEN(Table1[[#This Row],[Auteur]])</f>
        <v>16</v>
      </c>
      <c r="I1095" s="3" t="str">
        <f t="shared" si="136"/>
        <v>Java and SOAP</v>
      </c>
    </row>
    <row r="1096" spans="1:9" x14ac:dyDescent="0.45">
      <c r="A1096" t="s">
        <v>1435</v>
      </c>
      <c r="B1096" t="str">
        <f t="shared" si="130"/>
        <v>2001</v>
      </c>
      <c r="C1096" t="str">
        <f t="shared" si="131"/>
        <v>O'Reilly</v>
      </c>
      <c r="D1096" t="str">
        <f t="shared" si="132"/>
        <v>Brett McLaughlin</v>
      </c>
      <c r="E1096" s="3" t="str">
        <f t="shared" si="133"/>
        <v/>
      </c>
      <c r="F1096" s="3" t="str">
        <f t="shared" si="134"/>
        <v>.pdf</v>
      </c>
      <c r="G1096">
        <f t="shared" si="135"/>
        <v>63</v>
      </c>
      <c r="H1096" s="3">
        <f>LEN(Table1[[#This Row],[Auteur]])</f>
        <v>16</v>
      </c>
      <c r="I1096" s="3" t="str">
        <f t="shared" si="136"/>
        <v>Java and XML</v>
      </c>
    </row>
    <row r="1097" spans="1:9" x14ac:dyDescent="0.45">
      <c r="A1097" t="s">
        <v>1436</v>
      </c>
      <c r="B1097" t="str">
        <f t="shared" si="130"/>
        <v>2002</v>
      </c>
      <c r="C1097" t="str">
        <f t="shared" si="131"/>
        <v>O'Reilly</v>
      </c>
      <c r="D1097" t="str">
        <f t="shared" si="132"/>
        <v>Brett McLaughlin</v>
      </c>
      <c r="E1097" s="3" t="str">
        <f t="shared" si="133"/>
        <v/>
      </c>
      <c r="F1097" t="str">
        <f t="shared" si="134"/>
        <v>.pdf</v>
      </c>
      <c r="G1097">
        <f t="shared" si="135"/>
        <v>68</v>
      </c>
      <c r="H1097" s="3">
        <f>LEN(Table1[[#This Row],[Auteur]])</f>
        <v>16</v>
      </c>
      <c r="I1097" s="3" t="str">
        <f t="shared" si="136"/>
        <v>Java and XML Data Binding</v>
      </c>
    </row>
    <row r="1098" spans="1:9" x14ac:dyDescent="0.45">
      <c r="A1098" t="s">
        <v>1437</v>
      </c>
      <c r="B1098" t="str">
        <f t="shared" si="130"/>
        <v>2001</v>
      </c>
      <c r="C1098" t="str">
        <f t="shared" si="131"/>
        <v>O'Reilly</v>
      </c>
      <c r="D1098" t="str">
        <f t="shared" si="132"/>
        <v>Eric M. Burke</v>
      </c>
      <c r="E1098" s="3" t="str">
        <f t="shared" si="133"/>
        <v>Dump</v>
      </c>
      <c r="F1098" s="3" t="str">
        <f t="shared" si="134"/>
        <v>.pdf</v>
      </c>
      <c r="G1098">
        <f t="shared" si="135"/>
        <v>60</v>
      </c>
      <c r="H1098" s="3">
        <f>LEN(Table1[[#This Row],[Auteur]])</f>
        <v>13</v>
      </c>
      <c r="I1098" s="3" t="str">
        <f t="shared" si="136"/>
        <v>Java and XSLT</v>
      </c>
    </row>
    <row r="1099" spans="1:9" x14ac:dyDescent="0.45">
      <c r="A1099" t="s">
        <v>1438</v>
      </c>
      <c r="B1099" t="str">
        <f t="shared" si="130"/>
        <v>1998</v>
      </c>
      <c r="C1099" t="str">
        <f t="shared" si="131"/>
        <v>O'Reilly</v>
      </c>
      <c r="D1099" t="str">
        <f t="shared" si="132"/>
        <v>Jim Farley</v>
      </c>
      <c r="E1099" s="3" t="str">
        <f t="shared" si="133"/>
        <v>Dump</v>
      </c>
      <c r="F1099" s="3" t="str">
        <f t="shared" si="134"/>
        <v>.pdf</v>
      </c>
      <c r="G1099">
        <f t="shared" si="135"/>
        <v>70</v>
      </c>
      <c r="H1099" s="3">
        <f>LEN(Table1[[#This Row],[Auteur]])</f>
        <v>10</v>
      </c>
      <c r="I1099" s="3" t="str">
        <f t="shared" si="136"/>
        <v>Java Distributed Computing</v>
      </c>
    </row>
    <row r="1100" spans="1:9" x14ac:dyDescent="0.45">
      <c r="A1100" t="s">
        <v>1439</v>
      </c>
      <c r="B1100" t="str">
        <f t="shared" si="130"/>
        <v>2001</v>
      </c>
      <c r="C1100" t="str">
        <f t="shared" si="131"/>
        <v>O'Reilly</v>
      </c>
      <c r="D1100" t="str">
        <f t="shared" si="132"/>
        <v>David Flanagan, Jim Farley, William Crawford, Kris Magnusson</v>
      </c>
      <c r="E1100" s="3" t="str">
        <f t="shared" si="133"/>
        <v>Dump</v>
      </c>
      <c r="F1100" t="str">
        <f t="shared" si="134"/>
        <v>.pdf</v>
      </c>
      <c r="G1100">
        <f t="shared" si="135"/>
        <v>123</v>
      </c>
      <c r="H1100" s="3">
        <f>LEN(Table1[[#This Row],[Auteur]])</f>
        <v>60</v>
      </c>
      <c r="I1100" s="3" t="str">
        <f t="shared" si="136"/>
        <v>Java Enterprise in a Nutshell</v>
      </c>
    </row>
    <row r="1101" spans="1:9" x14ac:dyDescent="0.45">
      <c r="A1101" t="s">
        <v>1440</v>
      </c>
      <c r="B1101" t="str">
        <f t="shared" si="130"/>
        <v>1999</v>
      </c>
      <c r="C1101" t="str">
        <f t="shared" si="131"/>
        <v>O'Reilly</v>
      </c>
      <c r="D1101" t="str">
        <f t="shared" si="132"/>
        <v>Elliotte Rusty Harold</v>
      </c>
      <c r="E1101" s="3" t="str">
        <f t="shared" si="133"/>
        <v/>
      </c>
      <c r="F1101" s="3" t="str">
        <f t="shared" si="134"/>
        <v>.pdf</v>
      </c>
      <c r="G1101">
        <f t="shared" si="135"/>
        <v>55</v>
      </c>
      <c r="H1101" s="3">
        <f>LEN(Table1[[#This Row],[Auteur]])</f>
        <v>21</v>
      </c>
      <c r="I1101" s="3" t="str">
        <f t="shared" si="136"/>
        <v>Java IO</v>
      </c>
    </row>
    <row r="1102" spans="1:9" x14ac:dyDescent="0.45">
      <c r="A1102" t="s">
        <v>1441</v>
      </c>
      <c r="B1102" t="str">
        <f t="shared" si="130"/>
        <v>2002</v>
      </c>
      <c r="C1102" t="str">
        <f t="shared" si="131"/>
        <v>O'Reilly</v>
      </c>
      <c r="D1102" t="str">
        <f t="shared" si="132"/>
        <v>J. Steven Perry</v>
      </c>
      <c r="E1102" s="3" t="str">
        <f t="shared" si="133"/>
        <v/>
      </c>
      <c r="F1102" s="3" t="str">
        <f t="shared" si="134"/>
        <v>.pdf</v>
      </c>
      <c r="G1102">
        <f t="shared" si="135"/>
        <v>68</v>
      </c>
      <c r="H1102" s="3">
        <f>LEN(Table1[[#This Row],[Auteur]])</f>
        <v>15</v>
      </c>
      <c r="I1102" s="3" t="str">
        <f t="shared" si="136"/>
        <v>Java Management Extensions</v>
      </c>
    </row>
    <row r="1103" spans="1:9" x14ac:dyDescent="0.45">
      <c r="A1103" t="s">
        <v>1442</v>
      </c>
      <c r="B1103" t="str">
        <f t="shared" si="130"/>
        <v>2001</v>
      </c>
      <c r="C1103" t="str">
        <f t="shared" si="131"/>
        <v>O'Reilly</v>
      </c>
      <c r="D1103" t="str">
        <f t="shared" si="132"/>
        <v>Richard Monson-Haefel, David A. Chappell</v>
      </c>
      <c r="E1103" s="3" t="str">
        <f t="shared" si="133"/>
        <v/>
      </c>
      <c r="F1103" s="3" t="str">
        <f t="shared" si="134"/>
        <v>.pdf</v>
      </c>
      <c r="G1103">
        <f t="shared" si="135"/>
        <v>87</v>
      </c>
      <c r="H1103" s="3">
        <f>LEN(Table1[[#This Row],[Auteur]])</f>
        <v>40</v>
      </c>
      <c r="I1103" s="3" t="str">
        <f t="shared" si="136"/>
        <v>Java Message Service</v>
      </c>
    </row>
    <row r="1104" spans="1:9" x14ac:dyDescent="0.45">
      <c r="A1104" t="s">
        <v>1443</v>
      </c>
      <c r="B1104" t="str">
        <f t="shared" si="130"/>
        <v>2000</v>
      </c>
      <c r="C1104" t="str">
        <f t="shared" si="131"/>
        <v>O'Reilly</v>
      </c>
      <c r="D1104" t="str">
        <f t="shared" si="132"/>
        <v>Elliotte Rusty Harold</v>
      </c>
      <c r="E1104" s="3" t="str">
        <f t="shared" si="133"/>
        <v>Dump</v>
      </c>
      <c r="F1104" t="str">
        <f t="shared" si="134"/>
        <v>.pdf</v>
      </c>
      <c r="G1104">
        <f t="shared" si="135"/>
        <v>87</v>
      </c>
      <c r="H1104" s="3">
        <f>LEN(Table1[[#This Row],[Auteur]])</f>
        <v>21</v>
      </c>
      <c r="I1104" s="3" t="str">
        <f t="shared" si="136"/>
        <v>Java Network Programming</v>
      </c>
    </row>
    <row r="1105" spans="1:9" x14ac:dyDescent="0.45">
      <c r="A1105" t="s">
        <v>1444</v>
      </c>
      <c r="B1105" t="str">
        <f t="shared" si="130"/>
        <v>2002</v>
      </c>
      <c r="C1105" t="str">
        <f t="shared" si="131"/>
        <v>O'Reilly</v>
      </c>
      <c r="D1105" t="str">
        <f t="shared" si="132"/>
        <v>Ron Hitchens</v>
      </c>
      <c r="E1105" s="3" t="str">
        <f t="shared" si="133"/>
        <v/>
      </c>
      <c r="F1105" t="str">
        <f t="shared" si="134"/>
        <v>.pdf</v>
      </c>
      <c r="G1105">
        <f t="shared" si="135"/>
        <v>47</v>
      </c>
      <c r="H1105" s="3">
        <f>LEN(Table1[[#This Row],[Auteur]])</f>
        <v>12</v>
      </c>
      <c r="I1105" s="3" t="str">
        <f t="shared" si="136"/>
        <v>Java NIO</v>
      </c>
    </row>
    <row r="1106" spans="1:9" x14ac:dyDescent="0.45">
      <c r="A1106" t="s">
        <v>1445</v>
      </c>
      <c r="B1106" t="str">
        <f t="shared" si="130"/>
        <v>2012</v>
      </c>
      <c r="C1106" t="str">
        <f t="shared" si="131"/>
        <v>Addison-Wesley</v>
      </c>
      <c r="D1106" t="str">
        <f t="shared" si="132"/>
        <v>Charlie Hunt, Binu John</v>
      </c>
      <c r="E1106" s="3" t="str">
        <f t="shared" si="133"/>
        <v/>
      </c>
      <c r="F1106" t="str">
        <f t="shared" si="134"/>
        <v>.pdf</v>
      </c>
      <c r="G1106">
        <f t="shared" si="135"/>
        <v>72</v>
      </c>
      <c r="H1106" s="3">
        <f>LEN(Table1[[#This Row],[Auteur]])</f>
        <v>23</v>
      </c>
      <c r="I1106" s="3" t="str">
        <f t="shared" si="136"/>
        <v>Java Performance</v>
      </c>
    </row>
    <row r="1107" spans="1:9" x14ac:dyDescent="0.45">
      <c r="A1107" t="s">
        <v>1446</v>
      </c>
      <c r="B1107" t="str">
        <f t="shared" si="130"/>
        <v>2008</v>
      </c>
      <c r="C1107" t="str">
        <f t="shared" si="131"/>
        <v>Eyrolles</v>
      </c>
      <c r="D1107" t="str">
        <f t="shared" si="132"/>
        <v>Anthony Patricio</v>
      </c>
      <c r="E1107" s="3" t="str">
        <f t="shared" si="133"/>
        <v/>
      </c>
      <c r="F1107" t="str">
        <f t="shared" si="134"/>
        <v>.pdf</v>
      </c>
      <c r="G1107">
        <f t="shared" si="135"/>
        <v>72</v>
      </c>
      <c r="H1107" s="3">
        <f>LEN(Table1[[#This Row],[Auteur]])</f>
        <v>16</v>
      </c>
      <c r="I1107" s="3" t="str">
        <f t="shared" si="136"/>
        <v>Java Persistence et Hibernate</v>
      </c>
    </row>
    <row r="1108" spans="1:9" x14ac:dyDescent="0.45">
      <c r="A1108" t="s">
        <v>1447</v>
      </c>
      <c r="B1108" t="str">
        <f t="shared" si="130"/>
        <v>2015</v>
      </c>
      <c r="C1108" t="str">
        <f t="shared" si="131"/>
        <v>Wiley</v>
      </c>
      <c r="D1108" t="str">
        <f t="shared" si="132"/>
        <v>Yakov Fain</v>
      </c>
      <c r="E1108" s="3" t="str">
        <f t="shared" si="133"/>
        <v/>
      </c>
      <c r="F1108" t="str">
        <f t="shared" si="134"/>
        <v>.pdf</v>
      </c>
      <c r="G1108">
        <f t="shared" si="135"/>
        <v>74</v>
      </c>
      <c r="H1108" s="3">
        <f>LEN(Table1[[#This Row],[Auteur]])</f>
        <v>10</v>
      </c>
      <c r="I1108" s="3" t="str">
        <f t="shared" si="136"/>
        <v>Java Programming 24-Hour Trainer</v>
      </c>
    </row>
    <row r="1109" spans="1:9" x14ac:dyDescent="0.45">
      <c r="A1109" t="s">
        <v>1448</v>
      </c>
      <c r="B1109" t="str">
        <f t="shared" si="130"/>
        <v>2011</v>
      </c>
      <c r="C1109" t="str">
        <f t="shared" si="131"/>
        <v>Wiley</v>
      </c>
      <c r="D1109" t="str">
        <f t="shared" si="132"/>
        <v>Yakov Fain</v>
      </c>
      <c r="E1109" s="3" t="str">
        <f t="shared" si="133"/>
        <v/>
      </c>
      <c r="F1109" t="str">
        <f t="shared" si="134"/>
        <v>.pdf</v>
      </c>
      <c r="G1109">
        <f t="shared" si="135"/>
        <v>66</v>
      </c>
      <c r="H1109" s="3">
        <f>LEN(Table1[[#This Row],[Auteur]])</f>
        <v>10</v>
      </c>
      <c r="I1109" s="3" t="str">
        <f t="shared" si="136"/>
        <v>Java Programming 24-Hour Trainer</v>
      </c>
    </row>
    <row r="1110" spans="1:9" x14ac:dyDescent="0.45">
      <c r="A1110" t="s">
        <v>1449</v>
      </c>
      <c r="B1110" t="str">
        <f t="shared" si="130"/>
        <v>2014</v>
      </c>
      <c r="C1110" t="str">
        <f t="shared" si="131"/>
        <v>Wiley</v>
      </c>
      <c r="D1110" t="str">
        <f t="shared" si="132"/>
        <v>Barry Burd</v>
      </c>
      <c r="E1110" s="3" t="str">
        <f t="shared" si="133"/>
        <v/>
      </c>
      <c r="F1110" s="3" t="str">
        <f t="shared" si="134"/>
        <v>.epub</v>
      </c>
      <c r="G1110">
        <f t="shared" si="135"/>
        <v>86</v>
      </c>
      <c r="H1110" s="3">
        <f>LEN(Table1[[#This Row],[Auteur]])</f>
        <v>10</v>
      </c>
      <c r="I1110" s="3" t="str">
        <f t="shared" si="136"/>
        <v>Java Programming for Android Developers for Dummies</v>
      </c>
    </row>
    <row r="1111" spans="1:9" x14ac:dyDescent="0.45">
      <c r="A1111" t="s">
        <v>1450</v>
      </c>
      <c r="B1111" t="str">
        <f t="shared" si="130"/>
        <v>2014</v>
      </c>
      <c r="C1111" t="str">
        <f t="shared" si="131"/>
        <v>Wiley</v>
      </c>
      <c r="D1111" t="str">
        <f t="shared" si="132"/>
        <v>Barry Burd</v>
      </c>
      <c r="E1111" s="3" t="str">
        <f t="shared" si="133"/>
        <v/>
      </c>
      <c r="F1111" t="str">
        <f t="shared" si="134"/>
        <v>.pdf</v>
      </c>
      <c r="G1111">
        <f t="shared" si="135"/>
        <v>85</v>
      </c>
      <c r="H1111" s="3">
        <f>LEN(Table1[[#This Row],[Auteur]])</f>
        <v>10</v>
      </c>
      <c r="I1111" s="3" t="str">
        <f t="shared" si="136"/>
        <v>Java Programming for Android Developers for Dummies</v>
      </c>
    </row>
    <row r="1112" spans="1:9" x14ac:dyDescent="0.45">
      <c r="A1112" t="s">
        <v>1451</v>
      </c>
      <c r="B1112" t="str">
        <f t="shared" si="130"/>
        <v>2012</v>
      </c>
      <c r="C1112" t="str">
        <f t="shared" si="131"/>
        <v>McGraw-Hill</v>
      </c>
      <c r="D1112" t="str">
        <f t="shared" si="132"/>
        <v>Poornachandra Sarang</v>
      </c>
      <c r="E1112" s="3" t="str">
        <f t="shared" si="133"/>
        <v/>
      </c>
      <c r="F1112" t="str">
        <f t="shared" si="134"/>
        <v>.pdf</v>
      </c>
      <c r="G1112">
        <f t="shared" si="135"/>
        <v>88</v>
      </c>
      <c r="H1112" s="3">
        <f>LEN(Table1[[#This Row],[Auteur]])</f>
        <v>20</v>
      </c>
      <c r="I1112" s="3" t="str">
        <f t="shared" si="136"/>
        <v>Java Programming Learn Advanced Skills</v>
      </c>
    </row>
    <row r="1113" spans="1:9" x14ac:dyDescent="0.45">
      <c r="A1113" t="s">
        <v>1452</v>
      </c>
      <c r="B1113" t="str">
        <f t="shared" si="130"/>
        <v>2002</v>
      </c>
      <c r="C1113" t="str">
        <f t="shared" si="131"/>
        <v>O'Reilly</v>
      </c>
      <c r="D1113" t="str">
        <f t="shared" si="132"/>
        <v>Donald Bales</v>
      </c>
      <c r="E1113" s="3" t="str">
        <f t="shared" si="133"/>
        <v>Dump</v>
      </c>
      <c r="F1113" s="3" t="str">
        <f t="shared" si="134"/>
        <v>.pdf</v>
      </c>
      <c r="G1113" s="3">
        <f t="shared" si="135"/>
        <v>79</v>
      </c>
      <c r="H1113" s="3">
        <f>LEN(Table1[[#This Row],[Auteur]])</f>
        <v>12</v>
      </c>
      <c r="I1113" s="3" t="str">
        <f t="shared" si="136"/>
        <v>Java Programming with Oracle JDBC</v>
      </c>
    </row>
    <row r="1114" spans="1:9" x14ac:dyDescent="0.45">
      <c r="A1114" t="s">
        <v>1453</v>
      </c>
      <c r="B1114" t="str">
        <f t="shared" si="130"/>
        <v>1997</v>
      </c>
      <c r="C1114" t="str">
        <f t="shared" si="131"/>
        <v>O'Reilly</v>
      </c>
      <c r="D1114" t="str">
        <f t="shared" si="132"/>
        <v>?</v>
      </c>
      <c r="E1114" s="3" t="str">
        <f t="shared" si="133"/>
        <v>Dump</v>
      </c>
      <c r="F1114" s="3" t="str">
        <f t="shared" si="134"/>
        <v>.pdf</v>
      </c>
      <c r="G1114" s="3">
        <f t="shared" si="135"/>
        <v>57</v>
      </c>
      <c r="H1114" s="3">
        <f>LEN(Table1[[#This Row],[Auteur]])</f>
        <v>1</v>
      </c>
      <c r="I1114" s="3" t="str">
        <f t="shared" si="136"/>
        <v>Java Reference Library 1.2</v>
      </c>
    </row>
    <row r="1115" spans="1:9" x14ac:dyDescent="0.45">
      <c r="A1115" t="s">
        <v>1454</v>
      </c>
      <c r="B1115" t="str">
        <f t="shared" si="130"/>
        <v>1998</v>
      </c>
      <c r="C1115" t="str">
        <f t="shared" si="131"/>
        <v>O'Reilly</v>
      </c>
      <c r="D1115" t="str">
        <f t="shared" si="132"/>
        <v>?</v>
      </c>
      <c r="E1115" s="3" t="str">
        <f t="shared" si="133"/>
        <v>Dump</v>
      </c>
      <c r="F1115" t="str">
        <f t="shared" si="134"/>
        <v>.pdf</v>
      </c>
      <c r="G1115">
        <f t="shared" si="135"/>
        <v>57</v>
      </c>
      <c r="H1115" s="3">
        <f>LEN(Table1[[#This Row],[Auteur]])</f>
        <v>1</v>
      </c>
      <c r="I1115" s="3" t="str">
        <f t="shared" si="136"/>
        <v>Java Reference Library 1.3</v>
      </c>
    </row>
    <row r="1116" spans="1:9" x14ac:dyDescent="0.45">
      <c r="A1116" t="s">
        <v>1455</v>
      </c>
      <c r="B1116" t="str">
        <f t="shared" si="130"/>
        <v>2001</v>
      </c>
      <c r="C1116" t="str">
        <f t="shared" si="131"/>
        <v>O'Reilly</v>
      </c>
      <c r="D1116" t="str">
        <f t="shared" si="132"/>
        <v>William Grosso</v>
      </c>
      <c r="E1116" s="3" t="str">
        <f t="shared" si="133"/>
        <v>Dump</v>
      </c>
      <c r="F1116" t="str">
        <f t="shared" si="134"/>
        <v>.pdf</v>
      </c>
      <c r="G1116">
        <f t="shared" si="135"/>
        <v>56</v>
      </c>
      <c r="H1116" s="3">
        <f>LEN(Table1[[#This Row],[Auteur]])</f>
        <v>14</v>
      </c>
      <c r="I1116" s="3" t="str">
        <f t="shared" si="136"/>
        <v>Java RMI</v>
      </c>
    </row>
    <row r="1117" spans="1:9" x14ac:dyDescent="0.45">
      <c r="A1117" t="s">
        <v>1456</v>
      </c>
      <c r="B1117" t="str">
        <f t="shared" si="130"/>
        <v>2001</v>
      </c>
      <c r="C1117" t="str">
        <f t="shared" si="131"/>
        <v>O'Reilly</v>
      </c>
      <c r="D1117" t="str">
        <f t="shared" si="132"/>
        <v>Scott Oaks</v>
      </c>
      <c r="E1117" s="3" t="str">
        <f t="shared" si="133"/>
        <v/>
      </c>
      <c r="F1117" s="3" t="str">
        <f t="shared" si="134"/>
        <v>.pdf</v>
      </c>
      <c r="G1117">
        <f t="shared" si="135"/>
        <v>58</v>
      </c>
      <c r="H1117" s="3">
        <f>LEN(Table1[[#This Row],[Auteur]])</f>
        <v>10</v>
      </c>
      <c r="I1117" s="3" t="str">
        <f t="shared" si="136"/>
        <v>Java Security</v>
      </c>
    </row>
    <row r="1118" spans="1:9" x14ac:dyDescent="0.45">
      <c r="A1118" t="s">
        <v>1457</v>
      </c>
      <c r="B1118" t="str">
        <f t="shared" si="130"/>
        <v>1998</v>
      </c>
      <c r="C1118" t="str">
        <f t="shared" si="131"/>
        <v>O'Reilly</v>
      </c>
      <c r="D1118" t="str">
        <f t="shared" si="132"/>
        <v>Jason Hunter</v>
      </c>
      <c r="E1118" s="3" t="str">
        <f t="shared" si="133"/>
        <v/>
      </c>
      <c r="F1118" t="str">
        <f t="shared" si="134"/>
        <v>.pdf</v>
      </c>
      <c r="G1118">
        <f t="shared" si="135"/>
        <v>63</v>
      </c>
      <c r="H1118" s="3">
        <f>LEN(Table1[[#This Row],[Auteur]])</f>
        <v>12</v>
      </c>
      <c r="I1118" s="3" t="str">
        <f t="shared" si="136"/>
        <v>Java Servlet Programming</v>
      </c>
    </row>
    <row r="1119" spans="1:9" x14ac:dyDescent="0.45">
      <c r="A1119" t="s">
        <v>1458</v>
      </c>
      <c r="B1119" t="str">
        <f t="shared" si="130"/>
        <v>1999</v>
      </c>
      <c r="C1119" t="str">
        <f t="shared" si="131"/>
        <v>O'Reilly</v>
      </c>
      <c r="D1119" t="str">
        <f t="shared" si="132"/>
        <v>Scott Oaks &amp; Henry Wong</v>
      </c>
      <c r="E1119" s="3" t="str">
        <f t="shared" si="133"/>
        <v/>
      </c>
      <c r="F1119" s="3" t="str">
        <f t="shared" si="134"/>
        <v>.pdf</v>
      </c>
      <c r="G1119">
        <f t="shared" si="135"/>
        <v>70</v>
      </c>
      <c r="H1119" s="3">
        <f>LEN(Table1[[#This Row],[Auteur]])</f>
        <v>23</v>
      </c>
      <c r="I1119" s="3" t="str">
        <f t="shared" si="136"/>
        <v>Java Threads</v>
      </c>
    </row>
    <row r="1120" spans="1:9" hidden="1" x14ac:dyDescent="0.45">
      <c r="A1120" t="s">
        <v>1459</v>
      </c>
      <c r="B1120" t="str">
        <f t="shared" si="130"/>
        <v>2002</v>
      </c>
      <c r="C1120" t="str">
        <f t="shared" si="131"/>
        <v>O'Reilly</v>
      </c>
      <c r="D1120" t="str">
        <f t="shared" si="132"/>
        <v>David Chappell, Tyler Jewell</v>
      </c>
      <c r="E1120" s="3" t="str">
        <f t="shared" si="133"/>
        <v/>
      </c>
      <c r="F1120" s="3" t="str">
        <f t="shared" si="134"/>
        <v>.pdf</v>
      </c>
      <c r="G1120">
        <f t="shared" si="135"/>
        <v>72</v>
      </c>
      <c r="H1120" s="3">
        <f>LEN(Table1[[#This Row],[Auteur]])</f>
        <v>28</v>
      </c>
      <c r="I1120" s="3" t="str">
        <f t="shared" ref="I1120:I1153" si="137">Title(A1120)</f>
        <v>Java Web Services</v>
      </c>
    </row>
    <row r="1121" spans="1:9" x14ac:dyDescent="0.45">
      <c r="A1121" t="s">
        <v>1460</v>
      </c>
      <c r="B1121" t="str">
        <f t="shared" si="130"/>
        <v>2012</v>
      </c>
      <c r="C1121" t="str">
        <f t="shared" si="131"/>
        <v>Prentice Hall</v>
      </c>
      <c r="D1121" t="str">
        <f t="shared" si="132"/>
        <v>Deitel</v>
      </c>
      <c r="E1121" s="3" t="str">
        <f t="shared" si="133"/>
        <v/>
      </c>
      <c r="F1121" t="str">
        <f t="shared" si="134"/>
        <v>.pdf</v>
      </c>
      <c r="G1121">
        <f t="shared" si="135"/>
        <v>66</v>
      </c>
      <c r="H1121" s="3">
        <f>LEN(Table1[[#This Row],[Auteur]])</f>
        <v>6</v>
      </c>
      <c r="I1121" s="3" t="str">
        <f t="shared" si="137"/>
        <v>Java, How to program</v>
      </c>
    </row>
    <row r="1122" spans="1:9" x14ac:dyDescent="0.45">
      <c r="A1122" t="s">
        <v>1461</v>
      </c>
      <c r="B1122" t="str">
        <f t="shared" si="130"/>
        <v>2010</v>
      </c>
      <c r="C1122" t="str">
        <f t="shared" si="131"/>
        <v>O'Reilly</v>
      </c>
      <c r="D1122" t="str">
        <f t="shared" si="132"/>
        <v>Jim Waldo</v>
      </c>
      <c r="E1122" s="3" t="str">
        <f t="shared" si="133"/>
        <v/>
      </c>
      <c r="F1122" t="str">
        <f t="shared" si="134"/>
        <v>.pdf</v>
      </c>
      <c r="G1122">
        <f t="shared" si="135"/>
        <v>56</v>
      </c>
      <c r="H1122" s="3">
        <f>LEN(Table1[[#This Row],[Auteur]])</f>
        <v>9</v>
      </c>
      <c r="I1122" s="3" t="str">
        <f t="shared" si="137"/>
        <v>Java, The Good Parts</v>
      </c>
    </row>
    <row r="1123" spans="1:9" x14ac:dyDescent="0.45">
      <c r="A1123" t="s">
        <v>1462</v>
      </c>
      <c r="B1123" t="str">
        <f t="shared" si="130"/>
        <v>2003</v>
      </c>
      <c r="C1123" t="str">
        <f t="shared" si="131"/>
        <v>O'Reilly</v>
      </c>
      <c r="D1123" t="str">
        <f t="shared" si="132"/>
        <v>Bill Burke, Sacha Labourey</v>
      </c>
      <c r="E1123" s="3" t="str">
        <f t="shared" si="133"/>
        <v/>
      </c>
      <c r="F1123" t="str">
        <f t="shared" si="134"/>
        <v>.pdf</v>
      </c>
      <c r="G1123">
        <f t="shared" si="135"/>
        <v>104</v>
      </c>
      <c r="H1123" s="3">
        <f>LEN(Table1[[#This Row],[Auteur]])</f>
        <v>26</v>
      </c>
      <c r="I1123" s="3" t="str">
        <f t="shared" si="137"/>
        <v>JBoss 3.2 Workbook for Enterprise JavaBeans</v>
      </c>
    </row>
    <row r="1124" spans="1:9" x14ac:dyDescent="0.45">
      <c r="A1124" t="s">
        <v>1463</v>
      </c>
      <c r="B1124" t="str">
        <f t="shared" si="130"/>
        <v>2011</v>
      </c>
      <c r="C1124" t="str">
        <f t="shared" si="131"/>
        <v>Manning</v>
      </c>
      <c r="D1124" t="str">
        <f t="shared" si="132"/>
        <v>Tahchiev, Leme, Massol, Gregory</v>
      </c>
      <c r="E1124" s="3" t="str">
        <f t="shared" si="133"/>
        <v/>
      </c>
      <c r="F1124" t="str">
        <f t="shared" si="134"/>
        <v>.pdf</v>
      </c>
      <c r="G1124">
        <f t="shared" si="135"/>
        <v>80</v>
      </c>
      <c r="H1124" s="3">
        <f>LEN(Table1[[#This Row],[Auteur]])</f>
        <v>31</v>
      </c>
      <c r="I1124" s="3" t="str">
        <f t="shared" si="137"/>
        <v>JUnit in Action</v>
      </c>
    </row>
    <row r="1125" spans="1:9" x14ac:dyDescent="0.45">
      <c r="A1125" t="s">
        <v>1464</v>
      </c>
      <c r="B1125" t="str">
        <f t="shared" si="130"/>
        <v>2011</v>
      </c>
      <c r="C1125" t="str">
        <f t="shared" si="131"/>
        <v>O'Reilly</v>
      </c>
      <c r="D1125" t="str">
        <f t="shared" si="132"/>
        <v>Madhusudhan Konda</v>
      </c>
      <c r="E1125" s="3" t="str">
        <f t="shared" si="133"/>
        <v/>
      </c>
      <c r="F1125" t="str">
        <f t="shared" si="134"/>
        <v>.pdf</v>
      </c>
      <c r="G1125">
        <f t="shared" si="135"/>
        <v>55</v>
      </c>
      <c r="H1125" s="3">
        <f>LEN(Table1[[#This Row],[Auteur]])</f>
        <v>17</v>
      </c>
      <c r="I1125" s="3" t="str">
        <f t="shared" si="137"/>
        <v>Just Spring</v>
      </c>
    </row>
    <row r="1126" spans="1:9" x14ac:dyDescent="0.45">
      <c r="A1126" t="s">
        <v>1465</v>
      </c>
      <c r="B1126" t="str">
        <f t="shared" si="130"/>
        <v>2006</v>
      </c>
      <c r="C1126" t="str">
        <f t="shared" si="131"/>
        <v>Dunod</v>
      </c>
      <c r="D1126" t="str">
        <f t="shared" si="132"/>
        <v>Michel Divay</v>
      </c>
      <c r="E1126" s="3" t="str">
        <f t="shared" si="133"/>
        <v/>
      </c>
      <c r="F1126" t="str">
        <f t="shared" si="134"/>
        <v>.pdf</v>
      </c>
      <c r="G1126">
        <f t="shared" si="135"/>
        <v>66</v>
      </c>
      <c r="H1126" s="3">
        <f>LEN(Table1[[#This Row],[Auteur]])</f>
        <v>12</v>
      </c>
      <c r="I1126" s="3" t="str">
        <f t="shared" si="137"/>
        <v>La programmation objet en Java</v>
      </c>
    </row>
    <row r="1127" spans="1:9" x14ac:dyDescent="0.45">
      <c r="A1127" t="s">
        <v>1466</v>
      </c>
      <c r="B1127" t="str">
        <f t="shared" si="130"/>
        <v>2015</v>
      </c>
      <c r="C1127" t="str">
        <f t="shared" si="131"/>
        <v>Eyrolles</v>
      </c>
      <c r="D1127" t="str">
        <f t="shared" si="132"/>
        <v>Anne Tasso</v>
      </c>
      <c r="E1127" s="3" t="str">
        <f t="shared" si="133"/>
        <v/>
      </c>
      <c r="F1127" s="3" t="str">
        <f t="shared" si="134"/>
        <v>.pdf</v>
      </c>
      <c r="G1127">
        <f t="shared" si="135"/>
        <v>61</v>
      </c>
      <c r="H1127" s="3">
        <f>LEN(Table1[[#This Row],[Auteur]])</f>
        <v>10</v>
      </c>
      <c r="I1127" s="3" t="str">
        <f t="shared" si="137"/>
        <v>Le livre de java</v>
      </c>
    </row>
    <row r="1128" spans="1:9" x14ac:dyDescent="0.45">
      <c r="A1128" t="s">
        <v>1467</v>
      </c>
      <c r="B1128" t="str">
        <f t="shared" si="130"/>
        <v>2010</v>
      </c>
      <c r="C1128" t="str">
        <f t="shared" si="131"/>
        <v>Apress</v>
      </c>
      <c r="D1128" t="str">
        <f t="shared" si="132"/>
        <v>Jeff Friesen</v>
      </c>
      <c r="E1128" s="3" t="str">
        <f t="shared" si="133"/>
        <v/>
      </c>
      <c r="F1128" s="3" t="str">
        <f t="shared" si="134"/>
        <v>.pdf</v>
      </c>
      <c r="G1128">
        <f t="shared" si="135"/>
        <v>79</v>
      </c>
      <c r="H1128" s="3">
        <f>LEN(Table1[[#This Row],[Auteur]])</f>
        <v>12</v>
      </c>
      <c r="I1128" s="3" t="str">
        <f t="shared" si="137"/>
        <v>Learn Java for Android Development</v>
      </c>
    </row>
    <row r="1129" spans="1:9" x14ac:dyDescent="0.45">
      <c r="A1129" t="s">
        <v>1468</v>
      </c>
      <c r="B1129" t="str">
        <f t="shared" si="130"/>
        <v>2013</v>
      </c>
      <c r="C1129" t="str">
        <f t="shared" si="131"/>
        <v>Apress</v>
      </c>
      <c r="D1129" t="str">
        <f t="shared" si="132"/>
        <v>Jeff Friesen</v>
      </c>
      <c r="E1129" s="3" t="str">
        <f t="shared" si="133"/>
        <v/>
      </c>
      <c r="F1129" s="3" t="str">
        <f t="shared" si="134"/>
        <v>.pdf</v>
      </c>
      <c r="G1129">
        <f t="shared" si="135"/>
        <v>79</v>
      </c>
      <c r="H1129" s="3">
        <f>LEN(Table1[[#This Row],[Auteur]])</f>
        <v>12</v>
      </c>
      <c r="I1129" s="3" t="str">
        <f t="shared" si="137"/>
        <v>Learn Java for Android Development</v>
      </c>
    </row>
    <row r="1130" spans="1:9" x14ac:dyDescent="0.45">
      <c r="A1130" t="s">
        <v>1469</v>
      </c>
      <c r="B1130" t="str">
        <f t="shared" si="130"/>
        <v>2001</v>
      </c>
      <c r="C1130" t="str">
        <f t="shared" si="131"/>
        <v>O'Reilly</v>
      </c>
      <c r="D1130" t="str">
        <f t="shared" si="132"/>
        <v>Qusay Mahmoud</v>
      </c>
      <c r="E1130" s="3" t="str">
        <f t="shared" si="133"/>
        <v/>
      </c>
      <c r="F1130" s="3" t="str">
        <f t="shared" si="134"/>
        <v>.pdf</v>
      </c>
      <c r="G1130">
        <f t="shared" si="135"/>
        <v>62</v>
      </c>
      <c r="H1130" s="3">
        <f>LEN(Table1[[#This Row],[Auteur]])</f>
        <v>13</v>
      </c>
      <c r="I1130" s="3" t="str">
        <f t="shared" si="137"/>
        <v>Learning Wireless Java</v>
      </c>
    </row>
    <row r="1131" spans="1:9" x14ac:dyDescent="0.45">
      <c r="A1131" t="s">
        <v>1470</v>
      </c>
      <c r="B1131" t="str">
        <f t="shared" si="130"/>
        <v>2012</v>
      </c>
      <c r="C1131" t="str">
        <f t="shared" si="131"/>
        <v>?</v>
      </c>
      <c r="D1131" t="str">
        <f t="shared" si="132"/>
        <v>Joel Murach</v>
      </c>
      <c r="E1131" s="3" t="str">
        <f t="shared" si="133"/>
        <v/>
      </c>
      <c r="F1131" s="3" t="str">
        <f t="shared" si="134"/>
        <v>.pdf</v>
      </c>
      <c r="G1131" s="3">
        <f t="shared" si="135"/>
        <v>58</v>
      </c>
      <c r="H1131" s="3">
        <f>LEN(Table1[[#This Row],[Auteur]])</f>
        <v>11</v>
      </c>
      <c r="I1131" s="3" t="str">
        <f t="shared" si="137"/>
        <v>Murach's Java Programming</v>
      </c>
    </row>
    <row r="1132" spans="1:9" x14ac:dyDescent="0.45">
      <c r="A1132" t="s">
        <v>1471</v>
      </c>
      <c r="B1132" t="str">
        <f t="shared" si="130"/>
        <v>2011</v>
      </c>
      <c r="C1132" t="str">
        <f t="shared" si="131"/>
        <v>McGraw-Hill</v>
      </c>
      <c r="D1132" t="str">
        <f t="shared" si="132"/>
        <v>Bert Bates, Kathy Sierra</v>
      </c>
      <c r="E1132" s="3" t="str">
        <f t="shared" si="133"/>
        <v/>
      </c>
      <c r="F1132" s="3" t="str">
        <f t="shared" si="134"/>
        <v>.pdf</v>
      </c>
      <c r="G1132" s="3">
        <f t="shared" si="135"/>
        <v>101</v>
      </c>
      <c r="H1132" s="3">
        <f>LEN(Table1[[#This Row],[Auteur]])</f>
        <v>24</v>
      </c>
      <c r="I1132" s="3" t="str">
        <f t="shared" si="137"/>
        <v>OCP Java SE 6 Programmer Practice Exams 310-065</v>
      </c>
    </row>
    <row r="1133" spans="1:9" x14ac:dyDescent="0.45">
      <c r="A1133" t="s">
        <v>1472</v>
      </c>
      <c r="B1133" t="str">
        <f t="shared" si="130"/>
        <v>2015</v>
      </c>
      <c r="C1133" t="str">
        <f t="shared" si="131"/>
        <v>Apress</v>
      </c>
      <c r="D1133" t="str">
        <f t="shared" si="132"/>
        <v>Brett Spell</v>
      </c>
      <c r="E1133" s="3" t="str">
        <f t="shared" si="133"/>
        <v/>
      </c>
      <c r="F1133" s="3" t="str">
        <f t="shared" si="134"/>
        <v>.pdf</v>
      </c>
      <c r="G1133">
        <f t="shared" si="135"/>
        <v>66</v>
      </c>
      <c r="H1133" s="3">
        <f>LEN(Table1[[#This Row],[Auteur]])</f>
        <v>11</v>
      </c>
      <c r="I1133" s="3" t="str">
        <f t="shared" si="137"/>
        <v>Pro Java 8 Programming</v>
      </c>
    </row>
    <row r="1134" spans="1:9" x14ac:dyDescent="0.45">
      <c r="A1134" t="s">
        <v>1473</v>
      </c>
      <c r="B1134" t="str">
        <f t="shared" si="130"/>
        <v>2011</v>
      </c>
      <c r="C1134" t="str">
        <f t="shared" si="131"/>
        <v>Apress</v>
      </c>
      <c r="D1134" t="str">
        <f t="shared" si="132"/>
        <v>Ovidiu Iliescu</v>
      </c>
      <c r="E1134" s="3" t="str">
        <f t="shared" si="133"/>
        <v/>
      </c>
      <c r="F1134" t="str">
        <f t="shared" si="134"/>
        <v>.pdf</v>
      </c>
      <c r="G1134">
        <f t="shared" si="135"/>
        <v>55</v>
      </c>
      <c r="H1134" s="3">
        <f>LEN(Table1[[#This Row],[Auteur]])</f>
        <v>14</v>
      </c>
      <c r="I1134" s="3" t="str">
        <f t="shared" si="137"/>
        <v>Pro Java ME Apps</v>
      </c>
    </row>
    <row r="1135" spans="1:9" x14ac:dyDescent="0.45">
      <c r="A1135" t="s">
        <v>1474</v>
      </c>
      <c r="B1135" t="str">
        <f t="shared" si="130"/>
        <v>2005</v>
      </c>
      <c r="C1135" t="str">
        <f t="shared" si="131"/>
        <v>Smart Data Processing</v>
      </c>
      <c r="D1135" t="str">
        <f t="shared" si="132"/>
        <v>Yakov Fain</v>
      </c>
      <c r="E1135" s="3" t="str">
        <f t="shared" si="133"/>
        <v/>
      </c>
      <c r="F1135" t="str">
        <f t="shared" si="134"/>
        <v>.pdf</v>
      </c>
      <c r="G1135">
        <f t="shared" si="135"/>
        <v>121</v>
      </c>
      <c r="H1135" s="3">
        <f>LEN(Table1[[#This Row],[Auteur]])</f>
        <v>10</v>
      </c>
      <c r="I1135" s="3" t="str">
        <f t="shared" si="137"/>
        <v>Programmation Java, pour les enfants, les parents et les grands-parents</v>
      </c>
    </row>
    <row r="1136" spans="1:9" x14ac:dyDescent="0.45">
      <c r="A1136" t="s">
        <v>1475</v>
      </c>
      <c r="B1136" t="str">
        <f t="shared" si="130"/>
        <v>2006</v>
      </c>
      <c r="C1136" t="str">
        <f t="shared" si="131"/>
        <v>Eyrolles</v>
      </c>
      <c r="D1136" t="str">
        <f t="shared" si="132"/>
        <v>Claude Delannoy</v>
      </c>
      <c r="E1136" s="3" t="str">
        <f t="shared" si="133"/>
        <v/>
      </c>
      <c r="F1136" t="str">
        <f t="shared" si="134"/>
        <v>.pdf</v>
      </c>
      <c r="G1136">
        <f t="shared" si="135"/>
        <v>67</v>
      </c>
      <c r="H1136" s="3">
        <f>LEN(Table1[[#This Row],[Auteur]])</f>
        <v>15</v>
      </c>
      <c r="I1136" s="3" t="str">
        <f t="shared" si="137"/>
        <v>Programmer en Java</v>
      </c>
    </row>
    <row r="1137" spans="1:9" x14ac:dyDescent="0.45">
      <c r="A1137" t="s">
        <v>1476</v>
      </c>
      <c r="B1137" t="str">
        <f t="shared" si="130"/>
        <v>2008</v>
      </c>
      <c r="C1137" t="str">
        <f t="shared" si="131"/>
        <v>Eyrolles</v>
      </c>
      <c r="D1137" t="str">
        <f t="shared" si="132"/>
        <v>Claude Delannoy</v>
      </c>
      <c r="E1137" s="3" t="str">
        <f t="shared" si="133"/>
        <v/>
      </c>
      <c r="F1137" t="str">
        <f t="shared" si="134"/>
        <v>.pdf</v>
      </c>
      <c r="G1137">
        <f t="shared" si="135"/>
        <v>67</v>
      </c>
      <c r="H1137" s="3">
        <f>LEN(Table1[[#This Row],[Auteur]])</f>
        <v>15</v>
      </c>
      <c r="I1137" s="3" t="str">
        <f t="shared" si="137"/>
        <v>Programmer en Java</v>
      </c>
    </row>
    <row r="1138" spans="1:9" x14ac:dyDescent="0.45">
      <c r="A1138" t="s">
        <v>1477</v>
      </c>
      <c r="B1138" t="str">
        <f t="shared" si="130"/>
        <v>2014</v>
      </c>
      <c r="C1138" t="str">
        <f t="shared" si="131"/>
        <v>Eyrolles</v>
      </c>
      <c r="D1138" t="str">
        <f t="shared" si="132"/>
        <v>Claude Delannoy</v>
      </c>
      <c r="E1138" s="3" t="str">
        <f t="shared" si="133"/>
        <v/>
      </c>
      <c r="F1138" s="3" t="str">
        <f t="shared" si="134"/>
        <v>.pdf</v>
      </c>
      <c r="G1138">
        <f t="shared" si="135"/>
        <v>67</v>
      </c>
      <c r="H1138" s="3">
        <f>LEN(Table1[[#This Row],[Auteur]])</f>
        <v>15</v>
      </c>
      <c r="I1138" s="3" t="str">
        <f t="shared" si="137"/>
        <v>Programmer en Java</v>
      </c>
    </row>
    <row r="1139" spans="1:9" x14ac:dyDescent="0.45">
      <c r="A1139" t="s">
        <v>1478</v>
      </c>
      <c r="B1139" t="str">
        <f t="shared" si="130"/>
        <v>2005</v>
      </c>
      <c r="C1139" t="str">
        <f t="shared" si="131"/>
        <v>Eyrolles</v>
      </c>
      <c r="D1139" t="str">
        <f t="shared" si="132"/>
        <v>Jean-Philippe Retaillé</v>
      </c>
      <c r="E1139" s="3" t="str">
        <f t="shared" si="133"/>
        <v/>
      </c>
      <c r="F1139" t="str">
        <f t="shared" si="134"/>
        <v>.pdf</v>
      </c>
      <c r="G1139">
        <f t="shared" si="135"/>
        <v>86</v>
      </c>
      <c r="H1139" s="3">
        <f>LEN(Table1[[#This Row],[Auteur]])</f>
        <v>22</v>
      </c>
      <c r="I1139" s="3" t="str">
        <f t="shared" si="137"/>
        <v>Refactoring des application Java J2EE</v>
      </c>
    </row>
    <row r="1140" spans="1:9" x14ac:dyDescent="0.45">
      <c r="A1140" t="s">
        <v>1479</v>
      </c>
      <c r="B1140" t="str">
        <f t="shared" si="130"/>
        <v>2015</v>
      </c>
      <c r="C1140" t="str">
        <f t="shared" si="131"/>
        <v>Prentice Hall</v>
      </c>
      <c r="D1140" t="str">
        <f t="shared" si="132"/>
        <v>Tony Gaddis</v>
      </c>
      <c r="E1140" s="3" t="str">
        <f t="shared" si="133"/>
        <v/>
      </c>
      <c r="F1140" s="3" t="str">
        <f t="shared" si="134"/>
        <v>.pdf</v>
      </c>
      <c r="G1140">
        <f t="shared" si="135"/>
        <v>73</v>
      </c>
      <c r="H1140" s="3">
        <f>LEN(Table1[[#This Row],[Auteur]])</f>
        <v>11</v>
      </c>
      <c r="I1140" s="3" t="str">
        <f t="shared" si="137"/>
        <v>Starting Out with Java</v>
      </c>
    </row>
    <row r="1141" spans="1:9" x14ac:dyDescent="0.45">
      <c r="A1141" t="s">
        <v>1480</v>
      </c>
      <c r="B1141" t="str">
        <f t="shared" si="130"/>
        <v>2010</v>
      </c>
      <c r="C1141" t="str">
        <f t="shared" si="131"/>
        <v>Prentice Hall</v>
      </c>
      <c r="D1141" t="str">
        <f t="shared" si="132"/>
        <v>Mark Cade, Humphrey Sheil</v>
      </c>
      <c r="E1141" s="3" t="str">
        <f t="shared" si="133"/>
        <v/>
      </c>
      <c r="F1141" s="3" t="str">
        <f t="shared" si="134"/>
        <v>.pdf</v>
      </c>
      <c r="G1141">
        <f t="shared" si="135"/>
        <v>123</v>
      </c>
      <c r="H1141" s="3">
        <f>LEN(Table1[[#This Row],[Auteur]])</f>
        <v>25</v>
      </c>
      <c r="I1141" s="3" t="str">
        <f t="shared" si="137"/>
        <v>Sun Certified Enterprise Architect for Java EE Study Guide</v>
      </c>
    </row>
    <row r="1142" spans="1:9" x14ac:dyDescent="0.45">
      <c r="A1142" t="s">
        <v>1481</v>
      </c>
      <c r="B1142" t="str">
        <f t="shared" si="130"/>
        <v>2006</v>
      </c>
      <c r="C1142" t="str">
        <f t="shared" si="131"/>
        <v>Prentice Hall</v>
      </c>
      <c r="D1142" t="str">
        <f t="shared" si="132"/>
        <v>Bruce Eckel</v>
      </c>
      <c r="E1142" s="3" t="str">
        <f t="shared" si="133"/>
        <v/>
      </c>
      <c r="F1142" s="3" t="str">
        <f t="shared" si="134"/>
        <v>.pdf</v>
      </c>
      <c r="G1142">
        <f t="shared" si="135"/>
        <v>67</v>
      </c>
      <c r="H1142" s="3">
        <f>LEN(Table1[[#This Row],[Auteur]])</f>
        <v>11</v>
      </c>
      <c r="I1142" s="3" t="str">
        <f t="shared" si="137"/>
        <v>Thinking in Java</v>
      </c>
    </row>
    <row r="1143" spans="1:9" x14ac:dyDescent="0.45">
      <c r="A1143" t="s">
        <v>1485</v>
      </c>
      <c r="B1143" t="str">
        <f t="shared" si="130"/>
        <v>2009</v>
      </c>
      <c r="C1143" t="str">
        <f t="shared" si="131"/>
        <v>Addison-Wesley</v>
      </c>
      <c r="D1143" t="str">
        <f t="shared" si="132"/>
        <v>Charlie Calvert, Dinesh Kulkarni</v>
      </c>
      <c r="E1143" s="3" t="str">
        <f t="shared" si="133"/>
        <v/>
      </c>
      <c r="F1143" t="str">
        <f t="shared" si="134"/>
        <v>.pdf</v>
      </c>
      <c r="G1143">
        <f t="shared" si="135"/>
        <v>79</v>
      </c>
      <c r="H1143" s="3">
        <f>LEN(Table1[[#This Row],[Auteur]])</f>
        <v>32</v>
      </c>
      <c r="I1143" s="3" t="str">
        <f t="shared" si="137"/>
        <v>Essential LINQ</v>
      </c>
    </row>
    <row r="1144" spans="1:9" x14ac:dyDescent="0.45">
      <c r="A1144" t="s">
        <v>1486</v>
      </c>
      <c r="B1144" t="str">
        <f t="shared" si="130"/>
        <v>2010</v>
      </c>
      <c r="C1144" t="str">
        <f t="shared" si="131"/>
        <v>Apress</v>
      </c>
      <c r="D1144" t="str">
        <f t="shared" si="132"/>
        <v>Adam Freeman, Joseph C. Rattz Jr</v>
      </c>
      <c r="E1144" s="3" t="str">
        <f t="shared" si="133"/>
        <v/>
      </c>
      <c r="F1144" s="3" t="str">
        <f t="shared" si="134"/>
        <v>.pdf</v>
      </c>
      <c r="G1144">
        <f t="shared" si="135"/>
        <v>76</v>
      </c>
      <c r="H1144" s="3">
        <f>LEN(Table1[[#This Row],[Auteur]])</f>
        <v>32</v>
      </c>
      <c r="I1144" s="3" t="str">
        <f t="shared" si="137"/>
        <v>Pro LINQ in C# 2010</v>
      </c>
    </row>
    <row r="1145" spans="1:9" x14ac:dyDescent="0.45">
      <c r="A1145" t="s">
        <v>1487</v>
      </c>
      <c r="B1145" t="str">
        <f t="shared" si="130"/>
        <v>2010</v>
      </c>
      <c r="C1145" t="str">
        <f t="shared" si="131"/>
        <v>Apress</v>
      </c>
      <c r="D1145" t="str">
        <f t="shared" si="132"/>
        <v>Adam Freeman, Joseph C. Rattz</v>
      </c>
      <c r="E1145" s="3" t="str">
        <f t="shared" si="133"/>
        <v/>
      </c>
      <c r="F1145" s="3" t="str">
        <f t="shared" si="134"/>
        <v>.pdf</v>
      </c>
      <c r="G1145" s="3">
        <f t="shared" si="135"/>
        <v>73</v>
      </c>
      <c r="H1145" s="3">
        <f>LEN(Table1[[#This Row],[Auteur]])</f>
        <v>29</v>
      </c>
      <c r="I1145" s="3" t="str">
        <f t="shared" si="137"/>
        <v>Pro LINQ in C# 2010</v>
      </c>
    </row>
    <row r="1146" spans="1:9" x14ac:dyDescent="0.45">
      <c r="A1146" t="s">
        <v>1488</v>
      </c>
      <c r="B1146" t="str">
        <f t="shared" si="130"/>
        <v>2008</v>
      </c>
      <c r="C1146" t="str">
        <f t="shared" si="131"/>
        <v>Wiley</v>
      </c>
      <c r="D1146" t="str">
        <f t="shared" si="132"/>
        <v>Scott Klein</v>
      </c>
      <c r="E1146" s="3" t="str">
        <f t="shared" si="133"/>
        <v/>
      </c>
      <c r="F1146" t="str">
        <f t="shared" si="134"/>
        <v>.pdf</v>
      </c>
      <c r="G1146">
        <f t="shared" si="135"/>
        <v>52</v>
      </c>
      <c r="H1146" s="3">
        <f>LEN(Table1[[#This Row],[Auteur]])</f>
        <v>11</v>
      </c>
      <c r="I1146" s="3" t="str">
        <f t="shared" si="137"/>
        <v>Professional LINQ</v>
      </c>
    </row>
    <row r="1147" spans="1:9" x14ac:dyDescent="0.45">
      <c r="A1147" t="s">
        <v>1489</v>
      </c>
      <c r="B1147" t="str">
        <f t="shared" si="130"/>
        <v>2002</v>
      </c>
      <c r="C1147" t="str">
        <f t="shared" si="131"/>
        <v>Free Software Foundation</v>
      </c>
      <c r="D1147" t="str">
        <f t="shared" si="132"/>
        <v>Robert J. Chassell</v>
      </c>
      <c r="E1147" s="3" t="str">
        <f t="shared" si="133"/>
        <v/>
      </c>
      <c r="F1147" s="3" t="str">
        <f t="shared" si="134"/>
        <v>.pdf</v>
      </c>
      <c r="G1147">
        <f t="shared" si="135"/>
        <v>113</v>
      </c>
      <c r="H1147" s="3">
        <f>LEN(Table1[[#This Row],[Auteur]])</f>
        <v>18</v>
      </c>
      <c r="I1147" s="3" t="str">
        <f t="shared" si="137"/>
        <v>An Introduction to Programming in Emacs Lisp</v>
      </c>
    </row>
    <row r="1148" spans="1:9" x14ac:dyDescent="0.45">
      <c r="A1148" t="s">
        <v>1490</v>
      </c>
      <c r="B1148" t="str">
        <f t="shared" si="130"/>
        <v>1996</v>
      </c>
      <c r="C1148" t="str">
        <f t="shared" si="131"/>
        <v>Prentice Hall</v>
      </c>
      <c r="D1148" t="str">
        <f t="shared" si="132"/>
        <v>Paul Graham</v>
      </c>
      <c r="E1148" s="3" t="str">
        <f t="shared" si="133"/>
        <v/>
      </c>
      <c r="F1148" t="str">
        <f t="shared" si="134"/>
        <v>.pdf</v>
      </c>
      <c r="G1148">
        <f t="shared" si="135"/>
        <v>59</v>
      </c>
      <c r="H1148" s="3">
        <f>LEN(Table1[[#This Row],[Auteur]])</f>
        <v>11</v>
      </c>
      <c r="I1148" s="3" t="str">
        <f t="shared" si="137"/>
        <v>ANSI Common Lisp</v>
      </c>
    </row>
    <row r="1149" spans="1:9" x14ac:dyDescent="0.45">
      <c r="A1149" t="s">
        <v>1491</v>
      </c>
      <c r="B1149" t="str">
        <f t="shared" si="130"/>
        <v>2000</v>
      </c>
      <c r="C1149" t="str">
        <f t="shared" si="131"/>
        <v>?</v>
      </c>
      <c r="D1149" t="str">
        <f t="shared" si="132"/>
        <v>David J. Cooper</v>
      </c>
      <c r="E1149" s="3" t="str">
        <f t="shared" si="133"/>
        <v/>
      </c>
      <c r="F1149" t="str">
        <f t="shared" si="134"/>
        <v>.pdf</v>
      </c>
      <c r="G1149">
        <f t="shared" si="135"/>
        <v>50</v>
      </c>
      <c r="H1149" s="3">
        <f>LEN(Table1[[#This Row],[Auteur]])</f>
        <v>15</v>
      </c>
      <c r="I1149" s="3" t="str">
        <f t="shared" si="137"/>
        <v>Basic Lisp Techniques</v>
      </c>
    </row>
    <row r="1150" spans="1:9" x14ac:dyDescent="0.45">
      <c r="A1150" t="s">
        <v>1492</v>
      </c>
      <c r="B1150" t="str">
        <f t="shared" si="130"/>
        <v>1990</v>
      </c>
      <c r="C1150" t="str">
        <f t="shared" si="131"/>
        <v>Benjamin-Cummings</v>
      </c>
      <c r="D1150" t="str">
        <f t="shared" si="132"/>
        <v>David S. Touretzky</v>
      </c>
      <c r="E1150" s="3" t="str">
        <f t="shared" si="133"/>
        <v/>
      </c>
      <c r="F1150" s="3" t="str">
        <f t="shared" si="134"/>
        <v>.pdf</v>
      </c>
      <c r="G1150">
        <f t="shared" si="135"/>
        <v>112</v>
      </c>
      <c r="H1150" s="3">
        <f>LEN(Table1[[#This Row],[Auteur]])</f>
        <v>18</v>
      </c>
      <c r="I1150" s="3" t="str">
        <f t="shared" si="137"/>
        <v>Common Lisp, A Gentle Introduction to Symbolic Computation</v>
      </c>
    </row>
    <row r="1151" spans="1:9" x14ac:dyDescent="0.45">
      <c r="A1151" t="s">
        <v>1493</v>
      </c>
      <c r="B1151" t="str">
        <f t="shared" si="130"/>
        <v>1990</v>
      </c>
      <c r="C1151" t="str">
        <f t="shared" si="131"/>
        <v>?</v>
      </c>
      <c r="D1151" t="str">
        <f t="shared" si="132"/>
        <v>?</v>
      </c>
      <c r="E1151" s="3" t="str">
        <f t="shared" si="133"/>
        <v/>
      </c>
      <c r="F1151" s="3" t="str">
        <f t="shared" si="134"/>
        <v>.rar</v>
      </c>
      <c r="G1151" s="3">
        <f t="shared" si="135"/>
        <v>78</v>
      </c>
      <c r="H1151" s="3">
        <f>LEN(Table1[[#This Row],[Auteur]])</f>
        <v>1</v>
      </c>
      <c r="I1151" s="3" t="str">
        <f t="shared" si="137"/>
        <v>Common Lisp, A Gentle Introduction to Symbolic Computation</v>
      </c>
    </row>
    <row r="1152" spans="1:9" x14ac:dyDescent="0.45">
      <c r="A1152" t="s">
        <v>1494</v>
      </c>
      <c r="B1152" t="str">
        <f t="shared" si="130"/>
        <v>1992</v>
      </c>
      <c r="C1152" t="str">
        <f t="shared" si="131"/>
        <v>Computer Science press</v>
      </c>
      <c r="D1152" t="str">
        <f t="shared" si="132"/>
        <v>Stuart C. Shapiro</v>
      </c>
      <c r="E1152" s="3" t="str">
        <f t="shared" si="133"/>
        <v/>
      </c>
      <c r="F1152" t="str">
        <f t="shared" si="134"/>
        <v>.pdf</v>
      </c>
      <c r="G1152">
        <f t="shared" si="135"/>
        <v>94</v>
      </c>
      <c r="H1152" s="3">
        <f>LEN(Table1[[#This Row],[Auteur]])</f>
        <v>17</v>
      </c>
      <c r="I1152" s="3" t="str">
        <f t="shared" si="137"/>
        <v>Common Lisp, An Interactive Approach</v>
      </c>
    </row>
    <row r="1153" spans="1:9" x14ac:dyDescent="0.45">
      <c r="A1153" t="s">
        <v>1495</v>
      </c>
      <c r="B1153" t="str">
        <f t="shared" si="130"/>
        <v>1990</v>
      </c>
      <c r="C1153" t="str">
        <f t="shared" si="131"/>
        <v>?</v>
      </c>
      <c r="D1153" t="str">
        <f t="shared" si="132"/>
        <v>Guy L. Steele</v>
      </c>
      <c r="E1153" s="3" t="str">
        <f t="shared" si="133"/>
        <v/>
      </c>
      <c r="F1153" t="str">
        <f t="shared" si="134"/>
        <v>.pdf</v>
      </c>
      <c r="G1153">
        <f t="shared" si="135"/>
        <v>60</v>
      </c>
      <c r="H1153" s="3">
        <f>LEN(Table1[[#This Row],[Auteur]])</f>
        <v>13</v>
      </c>
      <c r="I1153" s="3" t="str">
        <f t="shared" si="137"/>
        <v>Common Lisp, The Language</v>
      </c>
    </row>
    <row r="1154" spans="1:9" x14ac:dyDescent="0.45">
      <c r="A1154" t="s">
        <v>1496</v>
      </c>
      <c r="B1154" t="str">
        <f t="shared" ref="B1154:B1217" si="138">DatePub(A1154)</f>
        <v>1991</v>
      </c>
      <c r="C1154" t="str">
        <f t="shared" ref="C1154:C1217" si="139">Editeur(A1154)</f>
        <v>?</v>
      </c>
      <c r="D1154" t="str">
        <f t="shared" ref="D1154:D1217" si="140">Auteur(A1154)</f>
        <v>Harald Wertzr</v>
      </c>
      <c r="E1154" s="3" t="str">
        <f t="shared" ref="E1154:E1217" si="141">ExtraInfo(A1154)</f>
        <v>Scan</v>
      </c>
      <c r="F1154" s="3" t="str">
        <f t="shared" ref="F1154:F1217" si="142">Extension(A1154)</f>
        <v>.pdf</v>
      </c>
      <c r="G1154">
        <f t="shared" ref="G1154:G1217" si="143">LenFileName(A1154)</f>
        <v>89</v>
      </c>
      <c r="H1154" s="3">
        <f>LEN(Table1[[#This Row],[Auteur]])</f>
        <v>13</v>
      </c>
      <c r="I1154" s="3" t="str">
        <f t="shared" ref="I1154:I1184" si="144">Title(A1154)</f>
        <v>Common Lisp, Une introduction à la programmation</v>
      </c>
    </row>
    <row r="1155" spans="1:9" x14ac:dyDescent="0.45">
      <c r="A1155" t="s">
        <v>1497</v>
      </c>
      <c r="B1155" t="str">
        <f t="shared" si="138"/>
        <v>2011</v>
      </c>
      <c r="C1155" t="str">
        <f t="shared" si="139"/>
        <v>No Starch</v>
      </c>
      <c r="D1155" t="str">
        <f t="shared" si="140"/>
        <v>Conrad Barski</v>
      </c>
      <c r="E1155" s="3" t="str">
        <f t="shared" si="141"/>
        <v/>
      </c>
      <c r="F1155" s="3" t="str">
        <f t="shared" si="142"/>
        <v>.pdf</v>
      </c>
      <c r="G1155">
        <f t="shared" si="143"/>
        <v>53</v>
      </c>
      <c r="H1155" s="3">
        <f>LEN(Table1[[#This Row],[Auteur]])</f>
        <v>13</v>
      </c>
      <c r="I1155" s="3" t="str">
        <f t="shared" si="144"/>
        <v>Land of Lisp</v>
      </c>
    </row>
    <row r="1156" spans="1:9" x14ac:dyDescent="0.45">
      <c r="A1156" t="s">
        <v>1498</v>
      </c>
      <c r="B1156" t="str">
        <f t="shared" si="138"/>
        <v>1997</v>
      </c>
      <c r="C1156" t="str">
        <f t="shared" si="139"/>
        <v>?</v>
      </c>
      <c r="D1156" t="str">
        <f t="shared" si="140"/>
        <v>Gary D. Knott</v>
      </c>
      <c r="E1156" s="3" t="str">
        <f t="shared" si="141"/>
        <v/>
      </c>
      <c r="F1156" s="3" t="str">
        <f t="shared" si="142"/>
        <v>.pdf</v>
      </c>
      <c r="G1156">
        <f t="shared" si="143"/>
        <v>36</v>
      </c>
      <c r="H1156" s="3">
        <f>LEN(Table1[[#This Row],[Auteur]])</f>
        <v>13</v>
      </c>
      <c r="I1156" s="3" t="str">
        <f t="shared" si="144"/>
        <v>Lisp book</v>
      </c>
    </row>
    <row r="1157" spans="1:9" x14ac:dyDescent="0.45">
      <c r="A1157" t="s">
        <v>1499</v>
      </c>
      <c r="B1157" t="str">
        <f t="shared" si="138"/>
        <v>1996</v>
      </c>
      <c r="C1157" t="str">
        <f t="shared" si="139"/>
        <v>Cambridge</v>
      </c>
      <c r="D1157" t="str">
        <f t="shared" si="140"/>
        <v>Christian Queinnec</v>
      </c>
      <c r="E1157" s="3" t="str">
        <f t="shared" si="141"/>
        <v/>
      </c>
      <c r="F1157" t="str">
        <f t="shared" si="142"/>
        <v>.djvu</v>
      </c>
      <c r="G1157">
        <f t="shared" si="143"/>
        <v>67</v>
      </c>
      <c r="H1157" s="3">
        <f>LEN(Table1[[#This Row],[Auteur]])</f>
        <v>18</v>
      </c>
      <c r="I1157" s="3" t="str">
        <f t="shared" si="144"/>
        <v>LISP in small pieces</v>
      </c>
    </row>
    <row r="1158" spans="1:9" x14ac:dyDescent="0.45">
      <c r="A1158" t="s">
        <v>1500</v>
      </c>
      <c r="B1158" t="str">
        <f t="shared" si="138"/>
        <v>1993</v>
      </c>
      <c r="C1158" t="str">
        <f t="shared" si="139"/>
        <v>Prentice Hall</v>
      </c>
      <c r="D1158" t="str">
        <f t="shared" si="140"/>
        <v>Paul Graham</v>
      </c>
      <c r="E1158" s="3" t="str">
        <f t="shared" si="141"/>
        <v/>
      </c>
      <c r="F1158" t="str">
        <f t="shared" si="142"/>
        <v>.pdf</v>
      </c>
      <c r="G1158">
        <f t="shared" si="143"/>
        <v>87</v>
      </c>
      <c r="H1158" s="3">
        <f>LEN(Table1[[#This Row],[Auteur]])</f>
        <v>11</v>
      </c>
      <c r="I1158" s="3" t="str">
        <f t="shared" si="144"/>
        <v>On Lisp, Advanced Techniques for Common Lisp</v>
      </c>
    </row>
    <row r="1159" spans="1:9" x14ac:dyDescent="0.45">
      <c r="A1159" t="s">
        <v>1501</v>
      </c>
      <c r="B1159" t="str">
        <f t="shared" si="138"/>
        <v>2005</v>
      </c>
      <c r="C1159" t="str">
        <f t="shared" si="139"/>
        <v>Apress</v>
      </c>
      <c r="D1159" t="str">
        <f t="shared" si="140"/>
        <v>Peter Siebel</v>
      </c>
      <c r="E1159" s="3" t="str">
        <f t="shared" si="141"/>
        <v/>
      </c>
      <c r="F1159" t="str">
        <f t="shared" si="142"/>
        <v>.epub</v>
      </c>
      <c r="G1159">
        <f t="shared" si="143"/>
        <v>59</v>
      </c>
      <c r="H1159" s="3">
        <f>LEN(Table1[[#This Row],[Auteur]])</f>
        <v>12</v>
      </c>
      <c r="I1159" s="3" t="str">
        <f t="shared" si="144"/>
        <v>Practical Common Lisp</v>
      </c>
    </row>
    <row r="1160" spans="1:9" x14ac:dyDescent="0.45">
      <c r="A1160" t="s">
        <v>1502</v>
      </c>
      <c r="B1160" t="str">
        <f t="shared" si="138"/>
        <v>2001</v>
      </c>
      <c r="C1160" t="str">
        <f t="shared" si="139"/>
        <v>?</v>
      </c>
      <c r="D1160" t="str">
        <f t="shared" si="140"/>
        <v>David B. Lamkins</v>
      </c>
      <c r="E1160" s="3" t="str">
        <f t="shared" si="141"/>
        <v/>
      </c>
      <c r="F1160" t="str">
        <f t="shared" si="142"/>
        <v>.pdf</v>
      </c>
      <c r="G1160">
        <f t="shared" si="143"/>
        <v>84</v>
      </c>
      <c r="H1160" s="3">
        <f>LEN(Table1[[#This Row],[Auteur]])</f>
        <v>16</v>
      </c>
      <c r="I1160" s="3" t="str">
        <f t="shared" si="144"/>
        <v>Successful Lisp, How to Understand and Use Common Lisp</v>
      </c>
    </row>
    <row r="1161" spans="1:9" x14ac:dyDescent="0.45">
      <c r="A1161" t="s">
        <v>1976</v>
      </c>
      <c r="B1161" t="str">
        <f t="shared" si="138"/>
        <v>2012</v>
      </c>
      <c r="C1161" t="str">
        <f t="shared" si="139"/>
        <v>Lua.org</v>
      </c>
      <c r="D1161" t="str">
        <f t="shared" si="140"/>
        <v>Ierusalimschy, De Figueiredo, Celes</v>
      </c>
      <c r="E1161" s="3" t="str">
        <f t="shared" si="141"/>
        <v/>
      </c>
      <c r="F1161" t="str">
        <f t="shared" si="142"/>
        <v>.pdf</v>
      </c>
      <c r="G1161">
        <f t="shared" si="143"/>
        <v>85</v>
      </c>
      <c r="H1161" s="3">
        <f>LEN(Table1[[#This Row],[Auteur]])</f>
        <v>35</v>
      </c>
      <c r="I1161" s="3" t="str">
        <f t="shared" si="144"/>
        <v>Lua 5.1 Reference Manual</v>
      </c>
    </row>
    <row r="1162" spans="1:9" x14ac:dyDescent="0.45">
      <c r="A1162" t="s">
        <v>1503</v>
      </c>
      <c r="B1162" t="str">
        <f t="shared" si="138"/>
        <v>2013</v>
      </c>
      <c r="C1162" t="str">
        <f t="shared" si="139"/>
        <v>Lua.org</v>
      </c>
      <c r="D1162" t="str">
        <f t="shared" si="140"/>
        <v>Roberto Ierusalimschy</v>
      </c>
      <c r="E1162" s="3" t="str">
        <f t="shared" si="141"/>
        <v/>
      </c>
      <c r="F1162" t="str">
        <f t="shared" si="142"/>
        <v>.epub</v>
      </c>
      <c r="G1162">
        <f t="shared" si="143"/>
        <v>74</v>
      </c>
      <c r="H1162" s="3">
        <f>LEN(Table1[[#This Row],[Auteur]])</f>
        <v>21</v>
      </c>
      <c r="I1162" s="3" t="str">
        <f t="shared" si="144"/>
        <v>Programming in Lua</v>
      </c>
    </row>
    <row r="1163" spans="1:9" x14ac:dyDescent="0.45">
      <c r="A1163" t="s">
        <v>1504</v>
      </c>
      <c r="B1163" t="str">
        <f t="shared" si="138"/>
        <v>2013</v>
      </c>
      <c r="C1163" t="str">
        <f t="shared" si="139"/>
        <v>Lua.org</v>
      </c>
      <c r="D1163" t="str">
        <f t="shared" si="140"/>
        <v>Roberto Ierusalimschy</v>
      </c>
      <c r="E1163" s="3" t="str">
        <f t="shared" si="141"/>
        <v/>
      </c>
      <c r="F1163" t="str">
        <f t="shared" si="142"/>
        <v>.pdf</v>
      </c>
      <c r="G1163">
        <f t="shared" si="143"/>
        <v>73</v>
      </c>
      <c r="H1163" s="3">
        <f>LEN(Table1[[#This Row],[Auteur]])</f>
        <v>21</v>
      </c>
      <c r="I1163" s="3" t="str">
        <f t="shared" si="144"/>
        <v>Programming in Lua</v>
      </c>
    </row>
    <row r="1164" spans="1:9" x14ac:dyDescent="0.45">
      <c r="A1164" t="s">
        <v>1505</v>
      </c>
      <c r="B1164" t="str">
        <f t="shared" si="138"/>
        <v>2006</v>
      </c>
      <c r="C1164" t="str">
        <f t="shared" si="139"/>
        <v>CocoaLab</v>
      </c>
      <c r="D1164" t="str">
        <f t="shared" si="140"/>
        <v>Bert Altenburg, Alex Clarke and Philippe Mougin</v>
      </c>
      <c r="E1164" s="3" t="str">
        <f t="shared" si="141"/>
        <v/>
      </c>
      <c r="F1164" s="3" t="str">
        <f t="shared" si="142"/>
        <v>.pdf</v>
      </c>
      <c r="G1164">
        <f t="shared" si="143"/>
        <v>135</v>
      </c>
      <c r="H1164" s="3">
        <f>LEN(Table1[[#This Row],[Auteur]])</f>
        <v>47</v>
      </c>
      <c r="I1164" s="3" t="str">
        <f t="shared" si="144"/>
        <v>Become an Xcoder, Start Programming the Mac Using Objective-C</v>
      </c>
    </row>
    <row r="1165" spans="1:9" x14ac:dyDescent="0.45">
      <c r="A1165" t="s">
        <v>1506</v>
      </c>
      <c r="B1165" t="str">
        <f t="shared" si="138"/>
        <v>2009</v>
      </c>
      <c r="C1165" t="str">
        <f t="shared" si="139"/>
        <v>Apress</v>
      </c>
      <c r="D1165" t="str">
        <f t="shared" si="140"/>
        <v>Mark Dalrymple, Scott Knaster</v>
      </c>
      <c r="E1165" s="3" t="str">
        <f t="shared" si="141"/>
        <v/>
      </c>
      <c r="F1165" s="3" t="str">
        <f t="shared" si="142"/>
        <v>.pdf</v>
      </c>
      <c r="G1165">
        <f t="shared" si="143"/>
        <v>82</v>
      </c>
      <c r="H1165" s="3">
        <f>LEN(Table1[[#This Row],[Auteur]])</f>
        <v>29</v>
      </c>
      <c r="I1165" s="3" t="str">
        <f t="shared" si="144"/>
        <v>Learn Objective-C on the Mac</v>
      </c>
    </row>
    <row r="1166" spans="1:9" x14ac:dyDescent="0.45">
      <c r="A1166" t="s">
        <v>1507</v>
      </c>
      <c r="B1166" t="str">
        <f t="shared" si="138"/>
        <v>2011</v>
      </c>
      <c r="C1166" t="str">
        <f t="shared" si="139"/>
        <v>Addison-Wesley</v>
      </c>
      <c r="D1166" t="str">
        <f t="shared" si="140"/>
        <v>Robert Clair</v>
      </c>
      <c r="E1166" s="3" t="str">
        <f t="shared" si="141"/>
        <v/>
      </c>
      <c r="F1166" t="str">
        <f t="shared" si="142"/>
        <v>.pdf</v>
      </c>
      <c r="G1166">
        <f t="shared" si="143"/>
        <v>69</v>
      </c>
      <c r="H1166" s="3">
        <f>LEN(Table1[[#This Row],[Auteur]])</f>
        <v>12</v>
      </c>
      <c r="I1166" s="3" t="str">
        <f t="shared" si="144"/>
        <v>Learning Objective-C 2.0</v>
      </c>
    </row>
    <row r="1167" spans="1:9" x14ac:dyDescent="0.45">
      <c r="A1167" t="s">
        <v>1508</v>
      </c>
      <c r="B1167" t="str">
        <f t="shared" si="138"/>
        <v>2007</v>
      </c>
      <c r="C1167" t="str">
        <f t="shared" si="139"/>
        <v>Apple</v>
      </c>
      <c r="D1167" t="str">
        <f t="shared" si="140"/>
        <v>?</v>
      </c>
      <c r="E1167" s="3" t="str">
        <f t="shared" si="141"/>
        <v/>
      </c>
      <c r="F1167" t="str">
        <f t="shared" si="142"/>
        <v>.pdf</v>
      </c>
      <c r="G1167">
        <f t="shared" si="143"/>
        <v>54</v>
      </c>
      <c r="H1167" s="3">
        <f>LEN(Table1[[#This Row],[Auteur]])</f>
        <v>1</v>
      </c>
      <c r="I1167" s="3" t="str">
        <f t="shared" si="144"/>
        <v>Objective C-2.0 Runtime Reference</v>
      </c>
    </row>
    <row r="1168" spans="1:9" x14ac:dyDescent="0.45">
      <c r="A1168" t="s">
        <v>1509</v>
      </c>
      <c r="B1168" t="str">
        <f t="shared" si="138"/>
        <v>2011</v>
      </c>
      <c r="C1168" t="str">
        <f t="shared" si="139"/>
        <v>Wiley</v>
      </c>
      <c r="D1168" t="str">
        <f t="shared" si="140"/>
        <v>Jiva DeVoe</v>
      </c>
      <c r="E1168" s="3" t="str">
        <f t="shared" si="141"/>
        <v/>
      </c>
      <c r="F1168" t="str">
        <f t="shared" si="142"/>
        <v>.pdf</v>
      </c>
      <c r="G1168">
        <f t="shared" si="143"/>
        <v>65</v>
      </c>
      <c r="H1168" s="3">
        <f>LEN(Table1[[#This Row],[Auteur]])</f>
        <v>10</v>
      </c>
      <c r="I1168" s="3" t="str">
        <f t="shared" si="144"/>
        <v>Objective-C Developer Reference</v>
      </c>
    </row>
    <row r="1169" spans="1:9" x14ac:dyDescent="0.45">
      <c r="A1169" t="s">
        <v>1510</v>
      </c>
      <c r="B1169" t="str">
        <f t="shared" si="138"/>
        <v>2010</v>
      </c>
      <c r="C1169" t="str">
        <f t="shared" si="139"/>
        <v>Apress</v>
      </c>
      <c r="D1169" t="str">
        <f t="shared" si="140"/>
        <v>Gary Benett, Mitch Fischer, Brad Lees</v>
      </c>
      <c r="E1169" s="3" t="str">
        <f t="shared" si="141"/>
        <v/>
      </c>
      <c r="F1169" s="3" t="str">
        <f t="shared" si="142"/>
        <v>.pdf</v>
      </c>
      <c r="G1169">
        <f t="shared" si="143"/>
        <v>96</v>
      </c>
      <c r="H1169" s="3">
        <f>LEN(Table1[[#This Row],[Auteur]])</f>
        <v>37</v>
      </c>
      <c r="I1169" s="3" t="str">
        <f t="shared" si="144"/>
        <v>Objective-C for Absolute Beginners</v>
      </c>
    </row>
    <row r="1170" spans="1:9" x14ac:dyDescent="0.45">
      <c r="A1170" t="s">
        <v>1977</v>
      </c>
      <c r="B1170" t="str">
        <f t="shared" si="138"/>
        <v>2011</v>
      </c>
      <c r="C1170" t="str">
        <f t="shared" si="139"/>
        <v>Manning</v>
      </c>
      <c r="D1170" t="str">
        <f t="shared" si="140"/>
        <v>Fairbairn, Fahrenkrug, Ruffenach</v>
      </c>
      <c r="E1170" s="3" t="str">
        <f t="shared" si="141"/>
        <v/>
      </c>
      <c r="F1170" t="str">
        <f t="shared" si="142"/>
        <v>.pdf</v>
      </c>
      <c r="G1170">
        <f t="shared" si="143"/>
        <v>82</v>
      </c>
      <c r="H1170" s="3">
        <f>LEN(Table1[[#This Row],[Auteur]])</f>
        <v>32</v>
      </c>
      <c r="I1170" s="3" t="str">
        <f t="shared" si="144"/>
        <v>Objective-C Fundamentals</v>
      </c>
    </row>
    <row r="1171" spans="1:9" x14ac:dyDescent="0.45">
      <c r="A1171" t="s">
        <v>1511</v>
      </c>
      <c r="B1171" t="str">
        <f t="shared" si="138"/>
        <v>2011</v>
      </c>
      <c r="C1171" t="str">
        <f t="shared" si="139"/>
        <v>Pearson</v>
      </c>
      <c r="D1171" t="str">
        <f t="shared" si="140"/>
        <v>David Chisnall</v>
      </c>
      <c r="E1171" s="3" t="str">
        <f t="shared" si="141"/>
        <v/>
      </c>
      <c r="F1171" t="str">
        <f t="shared" si="142"/>
        <v>.pdf</v>
      </c>
      <c r="G1171">
        <f t="shared" si="143"/>
        <v>62</v>
      </c>
      <c r="H1171" s="3">
        <f>LEN(Table1[[#This Row],[Auteur]])</f>
        <v>14</v>
      </c>
      <c r="I1171" s="3" t="str">
        <f t="shared" si="144"/>
        <v>Objective-C Phrasebook</v>
      </c>
    </row>
    <row r="1172" spans="1:9" x14ac:dyDescent="0.45">
      <c r="A1172" t="s">
        <v>1512</v>
      </c>
      <c r="B1172" t="str">
        <f t="shared" si="138"/>
        <v>2010</v>
      </c>
      <c r="C1172" t="str">
        <f t="shared" si="139"/>
        <v>Peachpit Press</v>
      </c>
      <c r="D1172" t="str">
        <f t="shared" si="140"/>
        <v>Steven Holzner</v>
      </c>
      <c r="E1172" s="3" t="str">
        <f t="shared" si="141"/>
        <v/>
      </c>
      <c r="F1172" s="3" t="str">
        <f t="shared" si="142"/>
        <v>.pdf</v>
      </c>
      <c r="G1172">
        <f t="shared" si="143"/>
        <v>82</v>
      </c>
      <c r="H1172" s="3">
        <f>LEN(Table1[[#This Row],[Auteur]])</f>
        <v>14</v>
      </c>
      <c r="I1172" s="3" t="str">
        <f t="shared" si="144"/>
        <v>Objective-C Visual QuickStart Guide</v>
      </c>
    </row>
    <row r="1173" spans="1:9" x14ac:dyDescent="0.45">
      <c r="A1173" t="s">
        <v>1513</v>
      </c>
      <c r="B1173" t="str">
        <f t="shared" si="138"/>
        <v>2007</v>
      </c>
      <c r="C1173" t="str">
        <f t="shared" si="139"/>
        <v>Apple</v>
      </c>
      <c r="D1173" t="str">
        <f t="shared" si="140"/>
        <v>?</v>
      </c>
      <c r="E1173" s="3" t="str">
        <f t="shared" si="141"/>
        <v/>
      </c>
      <c r="F1173" t="str">
        <f t="shared" si="142"/>
        <v>.pdf</v>
      </c>
      <c r="G1173">
        <f t="shared" si="143"/>
        <v>65</v>
      </c>
      <c r="H1173" s="3">
        <f>LEN(Table1[[#This Row],[Auteur]])</f>
        <v>1</v>
      </c>
      <c r="I1173" s="3" t="str">
        <f t="shared" si="144"/>
        <v>Object-Oriented Programming with Objective-C</v>
      </c>
    </row>
    <row r="1174" spans="1:9" x14ac:dyDescent="0.45">
      <c r="A1174" t="s">
        <v>1514</v>
      </c>
      <c r="B1174" t="str">
        <f t="shared" si="138"/>
        <v>2010</v>
      </c>
      <c r="C1174" t="str">
        <f t="shared" si="139"/>
        <v>Apress</v>
      </c>
      <c r="D1174" t="str">
        <f t="shared" si="140"/>
        <v>Carlo Chung</v>
      </c>
      <c r="E1174" t="str">
        <f t="shared" si="141"/>
        <v/>
      </c>
      <c r="F1174" t="str">
        <f t="shared" si="142"/>
        <v>.pdf</v>
      </c>
      <c r="G1174">
        <f t="shared" si="143"/>
        <v>75</v>
      </c>
      <c r="H1174" s="3">
        <f>LEN(Table1[[#This Row],[Auteur]])</f>
        <v>11</v>
      </c>
      <c r="I1174" s="3" t="str">
        <f t="shared" si="144"/>
        <v>Pro Objective-C Design Patterns for iOS</v>
      </c>
    </row>
    <row r="1175" spans="1:9" x14ac:dyDescent="0.45">
      <c r="A1175" t="s">
        <v>1515</v>
      </c>
      <c r="B1175" t="str">
        <f t="shared" si="138"/>
        <v>2008</v>
      </c>
      <c r="C1175" t="str">
        <f t="shared" si="139"/>
        <v>Addison-Wesley</v>
      </c>
      <c r="D1175" t="str">
        <f t="shared" si="140"/>
        <v>Stephen G. Kochan</v>
      </c>
      <c r="E1175" s="3" t="str">
        <f t="shared" si="141"/>
        <v>Dump</v>
      </c>
      <c r="F1175" s="3" t="str">
        <f t="shared" si="142"/>
        <v>.pdf</v>
      </c>
      <c r="G1175" s="3">
        <f t="shared" si="143"/>
        <v>95</v>
      </c>
      <c r="H1175" s="3">
        <f>LEN(Table1[[#This Row],[Auteur]])</f>
        <v>17</v>
      </c>
      <c r="I1175" s="3" t="str">
        <f t="shared" si="144"/>
        <v>Programming in Objective-C 2.0</v>
      </c>
    </row>
    <row r="1176" spans="1:9" x14ac:dyDescent="0.45">
      <c r="A1176" t="s">
        <v>1516</v>
      </c>
      <c r="B1176" t="str">
        <f t="shared" si="138"/>
        <v>2011</v>
      </c>
      <c r="C1176" t="str">
        <f t="shared" si="139"/>
        <v>Addison-Wesley</v>
      </c>
      <c r="D1176" t="str">
        <f t="shared" si="140"/>
        <v>Stephen G. Kochan</v>
      </c>
      <c r="E1176" s="3" t="str">
        <f t="shared" si="141"/>
        <v/>
      </c>
      <c r="F1176" s="3" t="str">
        <f t="shared" si="142"/>
        <v>.pdf</v>
      </c>
      <c r="G1176">
        <f t="shared" si="143"/>
        <v>88</v>
      </c>
      <c r="H1176" s="3">
        <f>LEN(Table1[[#This Row],[Auteur]])</f>
        <v>17</v>
      </c>
      <c r="I1176" s="3" t="str">
        <f t="shared" si="144"/>
        <v>Programming in Objective-C 2.0</v>
      </c>
    </row>
    <row r="1177" spans="1:9" x14ac:dyDescent="0.45">
      <c r="A1177" t="s">
        <v>1517</v>
      </c>
      <c r="B1177" t="str">
        <f t="shared" si="138"/>
        <v>2009</v>
      </c>
      <c r="C1177" t="str">
        <f t="shared" si="139"/>
        <v>Addison-Wesley</v>
      </c>
      <c r="D1177" t="str">
        <f t="shared" si="140"/>
        <v>Stephen G. Kochan</v>
      </c>
      <c r="E1177" s="3" t="str">
        <f t="shared" si="141"/>
        <v/>
      </c>
      <c r="F1177" t="str">
        <f t="shared" si="142"/>
        <v>.pdf</v>
      </c>
      <c r="G1177">
        <f t="shared" si="143"/>
        <v>80</v>
      </c>
      <c r="H1177" s="3">
        <f>LEN(Table1[[#This Row],[Auteur]])</f>
        <v>17</v>
      </c>
      <c r="I1177" s="3" t="str">
        <f t="shared" si="144"/>
        <v>Programming in Objective-C 2.0</v>
      </c>
    </row>
    <row r="1178" spans="1:9" x14ac:dyDescent="0.45">
      <c r="A1178" t="s">
        <v>1518</v>
      </c>
      <c r="B1178" t="str">
        <f t="shared" si="138"/>
        <v>2008</v>
      </c>
      <c r="C1178" t="str">
        <f t="shared" si="139"/>
        <v>Apple</v>
      </c>
      <c r="D1178" t="str">
        <f t="shared" si="140"/>
        <v>?</v>
      </c>
      <c r="E1178" s="3" t="str">
        <f t="shared" si="141"/>
        <v/>
      </c>
      <c r="F1178" s="3" t="str">
        <f t="shared" si="142"/>
        <v>.pdf</v>
      </c>
      <c r="G1178">
        <f t="shared" si="143"/>
        <v>61</v>
      </c>
      <c r="H1178" s="3">
        <f>LEN(Table1[[#This Row],[Auteur]])</f>
        <v>1</v>
      </c>
      <c r="I1178" s="3" t="str">
        <f t="shared" si="144"/>
        <v>The Objective C 2.0 Programming language</v>
      </c>
    </row>
    <row r="1179" spans="1:9" x14ac:dyDescent="0.45">
      <c r="A1179" t="s">
        <v>1519</v>
      </c>
      <c r="B1179" t="str">
        <f t="shared" si="138"/>
        <v>2010</v>
      </c>
      <c r="C1179" t="str">
        <f t="shared" si="139"/>
        <v>Apple</v>
      </c>
      <c r="D1179" t="str">
        <f t="shared" si="140"/>
        <v>?</v>
      </c>
      <c r="E1179" s="3" t="str">
        <f t="shared" si="141"/>
        <v/>
      </c>
      <c r="F1179" t="str">
        <f t="shared" si="142"/>
        <v>.pdf</v>
      </c>
      <c r="G1179">
        <f t="shared" si="143"/>
        <v>57</v>
      </c>
      <c r="H1179" s="3">
        <f>LEN(Table1[[#This Row],[Auteur]])</f>
        <v>1</v>
      </c>
      <c r="I1179" s="3" t="str">
        <f t="shared" si="144"/>
        <v>The Objective-C Programming Language</v>
      </c>
    </row>
    <row r="1180" spans="1:9" x14ac:dyDescent="0.45">
      <c r="A1180" t="s">
        <v>1520</v>
      </c>
      <c r="B1180" t="str">
        <f t="shared" si="138"/>
        <v>1985</v>
      </c>
      <c r="C1180" t="str">
        <f t="shared" si="139"/>
        <v>Microsoft</v>
      </c>
      <c r="D1180" t="str">
        <f t="shared" si="140"/>
        <v>?</v>
      </c>
      <c r="E1180" s="3" t="str">
        <f t="shared" si="141"/>
        <v>Scan</v>
      </c>
      <c r="F1180" t="str">
        <f t="shared" si="142"/>
        <v>.pdf</v>
      </c>
      <c r="G1180">
        <f t="shared" si="143"/>
        <v>79</v>
      </c>
      <c r="H1180" s="3">
        <f>LEN(Table1[[#This Row],[Auteur]])</f>
        <v>1</v>
      </c>
      <c r="I1180" s="3" t="str">
        <f t="shared" si="144"/>
        <v>Microsoft Pascal Compiler, Lib Reference Manual</v>
      </c>
    </row>
    <row r="1181" spans="1:9" x14ac:dyDescent="0.45">
      <c r="A1181" t="s">
        <v>1521</v>
      </c>
      <c r="B1181" t="str">
        <f t="shared" si="138"/>
        <v>1985</v>
      </c>
      <c r="C1181" t="str">
        <f t="shared" si="139"/>
        <v>Microsoft</v>
      </c>
      <c r="D1181" t="str">
        <f t="shared" si="140"/>
        <v>?</v>
      </c>
      <c r="E1181" s="3" t="str">
        <f t="shared" si="141"/>
        <v>Scan</v>
      </c>
      <c r="F1181" s="3" t="str">
        <f t="shared" si="142"/>
        <v>.pdf</v>
      </c>
      <c r="G1181" s="3">
        <f t="shared" si="143"/>
        <v>80</v>
      </c>
      <c r="H1181" s="3">
        <f>LEN(Table1[[#This Row],[Auteur]])</f>
        <v>1</v>
      </c>
      <c r="I1181" s="3" t="str">
        <f t="shared" si="144"/>
        <v>Microsoft Pascal Compiler, Quick Reference Guide</v>
      </c>
    </row>
    <row r="1182" spans="1:9" x14ac:dyDescent="0.45">
      <c r="A1182" t="s">
        <v>1522</v>
      </c>
      <c r="B1182" t="str">
        <f t="shared" si="138"/>
        <v>1985</v>
      </c>
      <c r="C1182" t="str">
        <f t="shared" si="139"/>
        <v>Microsoft</v>
      </c>
      <c r="D1182" t="str">
        <f t="shared" si="140"/>
        <v>?</v>
      </c>
      <c r="E1182" s="3" t="str">
        <f t="shared" si="141"/>
        <v>Scan</v>
      </c>
      <c r="F1182" t="str">
        <f t="shared" si="142"/>
        <v>.pdf</v>
      </c>
      <c r="G1182">
        <f t="shared" si="143"/>
        <v>75</v>
      </c>
      <c r="H1182" s="3">
        <f>LEN(Table1[[#This Row],[Auteur]])</f>
        <v>1</v>
      </c>
      <c r="I1182" s="3" t="str">
        <f t="shared" si="144"/>
        <v>Microsoft Pascal Compiler, Reference Manual</v>
      </c>
    </row>
    <row r="1183" spans="1:9" x14ac:dyDescent="0.45">
      <c r="A1183" t="s">
        <v>1523</v>
      </c>
      <c r="B1183" t="str">
        <f t="shared" si="138"/>
        <v>1985</v>
      </c>
      <c r="C1183" t="str">
        <f t="shared" si="139"/>
        <v>Microsoft</v>
      </c>
      <c r="D1183" t="str">
        <f t="shared" si="140"/>
        <v>?</v>
      </c>
      <c r="E1183" s="3" t="str">
        <f t="shared" si="141"/>
        <v>Scan</v>
      </c>
      <c r="F1183" t="str">
        <f t="shared" si="142"/>
        <v>.pdf</v>
      </c>
      <c r="G1183">
        <f t="shared" si="143"/>
        <v>69</v>
      </c>
      <c r="H1183" s="3">
        <f>LEN(Table1[[#This Row],[Auteur]])</f>
        <v>1</v>
      </c>
      <c r="I1183" s="3" t="str">
        <f t="shared" si="144"/>
        <v>Microsoft Pascal Compiler, User Guide</v>
      </c>
    </row>
    <row r="1184" spans="1:9" x14ac:dyDescent="0.45">
      <c r="A1184" t="s">
        <v>1524</v>
      </c>
      <c r="B1184" t="str">
        <f t="shared" si="138"/>
        <v>1997</v>
      </c>
      <c r="C1184" t="str">
        <f t="shared" si="139"/>
        <v>O'Reilly</v>
      </c>
      <c r="D1184" t="str">
        <f t="shared" si="140"/>
        <v>Sriram Srinivasan</v>
      </c>
      <c r="E1184" s="3" t="str">
        <f t="shared" si="141"/>
        <v>Dump</v>
      </c>
      <c r="F1184" t="str">
        <f t="shared" si="142"/>
        <v>.pdf</v>
      </c>
      <c r="G1184">
        <f t="shared" si="143"/>
        <v>76</v>
      </c>
      <c r="H1184" s="3">
        <f>LEN(Table1[[#This Row],[Auteur]])</f>
        <v>17</v>
      </c>
      <c r="I1184" s="3" t="str">
        <f t="shared" si="144"/>
        <v>Advanced Perl Programming</v>
      </c>
    </row>
    <row r="1185" spans="1:9" hidden="1" x14ac:dyDescent="0.45">
      <c r="A1185" t="s">
        <v>1525</v>
      </c>
      <c r="B1185" t="str">
        <f t="shared" si="138"/>
        <v>2012</v>
      </c>
      <c r="C1185" t="str">
        <f t="shared" si="139"/>
        <v>Wrox</v>
      </c>
      <c r="D1185" t="str">
        <f t="shared" si="140"/>
        <v>Curtis Poe</v>
      </c>
      <c r="E1185" s="3" t="str">
        <f t="shared" si="141"/>
        <v/>
      </c>
      <c r="F1185" t="str">
        <f t="shared" si="142"/>
        <v>.pdf</v>
      </c>
      <c r="G1185">
        <f t="shared" si="143"/>
        <v>47</v>
      </c>
      <c r="H1185" s="3">
        <f>LEN(Table1[[#This Row],[Auteur]])</f>
        <v>10</v>
      </c>
      <c r="I1185" s="3" t="str">
        <f t="shared" ref="I1185:I1217" si="145">Title(A1185)</f>
        <v>Beginning Perl</v>
      </c>
    </row>
    <row r="1186" spans="1:9" x14ac:dyDescent="0.45">
      <c r="A1186" t="s">
        <v>1526</v>
      </c>
      <c r="B1186" t="str">
        <f t="shared" si="138"/>
        <v>2010</v>
      </c>
      <c r="C1186" t="str">
        <f t="shared" si="139"/>
        <v>Addison-Wesley</v>
      </c>
      <c r="D1186" t="str">
        <f t="shared" si="140"/>
        <v>Joseph Hall, Joshua McAdams, Brian Foy</v>
      </c>
      <c r="E1186" s="3" t="str">
        <f t="shared" si="141"/>
        <v/>
      </c>
      <c r="F1186" s="3" t="str">
        <f t="shared" si="142"/>
        <v>.pdf</v>
      </c>
      <c r="G1186">
        <f t="shared" si="143"/>
        <v>139</v>
      </c>
      <c r="H1186" s="3">
        <f>LEN(Table1[[#This Row],[Auteur]])</f>
        <v>38</v>
      </c>
      <c r="I1186" s="3" t="str">
        <f t="shared" si="145"/>
        <v>Effective Perl Programming, Write Better More Idiomatic Perl</v>
      </c>
    </row>
    <row r="1187" spans="1:9" x14ac:dyDescent="0.45">
      <c r="A1187" t="s">
        <v>1527</v>
      </c>
      <c r="B1187" t="str">
        <f t="shared" si="138"/>
        <v>2002</v>
      </c>
      <c r="C1187" t="str">
        <f t="shared" si="139"/>
        <v>Manning</v>
      </c>
      <c r="D1187" t="str">
        <f t="shared" si="140"/>
        <v>Martien Verbruggen</v>
      </c>
      <c r="E1187" s="3" t="str">
        <f t="shared" si="141"/>
        <v/>
      </c>
      <c r="F1187" s="3" t="str">
        <f t="shared" si="142"/>
        <v>.pdf</v>
      </c>
      <c r="G1187">
        <f t="shared" si="143"/>
        <v>74</v>
      </c>
      <c r="H1187" s="3">
        <f>LEN(Table1[[#This Row],[Auteur]])</f>
        <v>18</v>
      </c>
      <c r="I1187" s="3" t="str">
        <f t="shared" si="145"/>
        <v>Graphics Programming with Perl</v>
      </c>
    </row>
    <row r="1188" spans="1:9" x14ac:dyDescent="0.45">
      <c r="A1188" t="s">
        <v>1528</v>
      </c>
      <c r="B1188" t="str">
        <f t="shared" si="138"/>
        <v>2012</v>
      </c>
      <c r="C1188" t="str">
        <f t="shared" si="139"/>
        <v>O'Reilly</v>
      </c>
      <c r="D1188" t="str">
        <f t="shared" si="140"/>
        <v>Randal L. Schwartz, Brian Doy, Tom Phoenix</v>
      </c>
      <c r="E1188" s="3" t="str">
        <f t="shared" si="141"/>
        <v/>
      </c>
      <c r="F1188" t="str">
        <f t="shared" si="142"/>
        <v>.pdf</v>
      </c>
      <c r="G1188">
        <f t="shared" si="143"/>
        <v>94</v>
      </c>
      <c r="H1188" s="3">
        <f>LEN(Table1[[#This Row],[Auteur]])</f>
        <v>42</v>
      </c>
      <c r="I1188" s="3" t="str">
        <f t="shared" si="145"/>
        <v>Intermediate Perl</v>
      </c>
    </row>
    <row r="1189" spans="1:9" x14ac:dyDescent="0.45">
      <c r="A1189" t="s">
        <v>1529</v>
      </c>
      <c r="B1189" t="str">
        <f t="shared" si="138"/>
        <v>2008</v>
      </c>
      <c r="C1189" t="str">
        <f t="shared" si="139"/>
        <v>O'Reilly</v>
      </c>
      <c r="D1189" t="str">
        <f t="shared" si="140"/>
        <v>Randal L. Schwartz, Tom Phoenix, Brian Foy</v>
      </c>
      <c r="E1189" s="3" t="str">
        <f t="shared" si="141"/>
        <v/>
      </c>
      <c r="F1189" s="3" t="str">
        <f t="shared" si="142"/>
        <v>.pdf</v>
      </c>
      <c r="G1189">
        <f t="shared" si="143"/>
        <v>90</v>
      </c>
      <c r="H1189" s="3">
        <f>LEN(Table1[[#This Row],[Auteur]])</f>
        <v>42</v>
      </c>
      <c r="I1189" s="3" t="str">
        <f t="shared" si="145"/>
        <v>Learning Perl</v>
      </c>
    </row>
    <row r="1190" spans="1:9" x14ac:dyDescent="0.45">
      <c r="A1190" t="s">
        <v>1530</v>
      </c>
      <c r="B1190" t="str">
        <f t="shared" si="138"/>
        <v>2011</v>
      </c>
      <c r="C1190" t="str">
        <f t="shared" si="139"/>
        <v>O'Reilly</v>
      </c>
      <c r="D1190" t="str">
        <f t="shared" si="140"/>
        <v>Randal L. Schwartz, Brian Foy, Tom Phoenix</v>
      </c>
      <c r="E1190" s="3" t="str">
        <f t="shared" si="141"/>
        <v/>
      </c>
      <c r="F1190" t="str">
        <f t="shared" si="142"/>
        <v>.pdf</v>
      </c>
      <c r="G1190">
        <f t="shared" si="143"/>
        <v>90</v>
      </c>
      <c r="H1190" s="3">
        <f>LEN(Table1[[#This Row],[Auteur]])</f>
        <v>42</v>
      </c>
      <c r="I1190" s="3" t="str">
        <f t="shared" si="145"/>
        <v>Learning Perl</v>
      </c>
    </row>
    <row r="1191" spans="1:9" x14ac:dyDescent="0.45">
      <c r="A1191" t="s">
        <v>1531</v>
      </c>
      <c r="B1191" t="str">
        <f t="shared" si="138"/>
        <v>2014</v>
      </c>
      <c r="C1191" t="str">
        <f t="shared" si="139"/>
        <v>O'Reilly</v>
      </c>
      <c r="D1191" t="str">
        <f t="shared" si="140"/>
        <v>Brian D Foy</v>
      </c>
      <c r="E1191" s="3" t="str">
        <f t="shared" si="141"/>
        <v/>
      </c>
      <c r="F1191" t="str">
        <f t="shared" si="142"/>
        <v>.pdf</v>
      </c>
      <c r="G1191">
        <f t="shared" si="143"/>
        <v>60</v>
      </c>
      <c r="H1191" s="3">
        <f>LEN(Table1[[#This Row],[Auteur]])</f>
        <v>11</v>
      </c>
      <c r="I1191" s="3" t="str">
        <f t="shared" si="145"/>
        <v>Mastering Perl</v>
      </c>
    </row>
    <row r="1192" spans="1:9" x14ac:dyDescent="0.45">
      <c r="A1192" t="s">
        <v>1532</v>
      </c>
      <c r="B1192" t="str">
        <f t="shared" si="138"/>
        <v>2007</v>
      </c>
      <c r="C1192" t="str">
        <f t="shared" si="139"/>
        <v>O'Reilly</v>
      </c>
      <c r="D1192" t="str">
        <f t="shared" si="140"/>
        <v>Brian D Foy</v>
      </c>
      <c r="E1192" s="3" t="str">
        <f t="shared" si="141"/>
        <v/>
      </c>
      <c r="F1192" t="str">
        <f t="shared" si="142"/>
        <v>.pdf</v>
      </c>
      <c r="G1192">
        <f t="shared" si="143"/>
        <v>52</v>
      </c>
      <c r="H1192" s="3">
        <f>LEN(Table1[[#This Row],[Auteur]])</f>
        <v>11</v>
      </c>
      <c r="I1192" s="3" t="str">
        <f t="shared" si="145"/>
        <v>Mastering Perl</v>
      </c>
    </row>
    <row r="1193" spans="1:9" x14ac:dyDescent="0.45">
      <c r="A1193" t="s">
        <v>1533</v>
      </c>
      <c r="B1193" t="str">
        <f t="shared" si="138"/>
        <v>2010</v>
      </c>
      <c r="C1193" t="str">
        <f t="shared" si="139"/>
        <v>Onyx Neon Press</v>
      </c>
      <c r="D1193" t="str">
        <f t="shared" si="140"/>
        <v>Chromatic</v>
      </c>
      <c r="E1193" s="3" t="str">
        <f t="shared" si="141"/>
        <v/>
      </c>
      <c r="F1193" t="str">
        <f t="shared" si="142"/>
        <v>.pdf</v>
      </c>
      <c r="G1193">
        <f t="shared" si="143"/>
        <v>54</v>
      </c>
      <c r="H1193" s="3">
        <f>LEN(Table1[[#This Row],[Auteur]])</f>
        <v>9</v>
      </c>
      <c r="I1193" s="3" t="str">
        <f t="shared" si="145"/>
        <v>Modern Perl</v>
      </c>
    </row>
    <row r="1194" spans="1:9" x14ac:dyDescent="0.45">
      <c r="A1194" t="s">
        <v>1534</v>
      </c>
      <c r="B1194" t="str">
        <f t="shared" si="138"/>
        <v>2000</v>
      </c>
      <c r="C1194" t="str">
        <f t="shared" si="139"/>
        <v>Manning</v>
      </c>
      <c r="D1194" t="str">
        <f t="shared" si="140"/>
        <v>Damian Conway</v>
      </c>
      <c r="E1194" s="3" t="str">
        <f t="shared" si="141"/>
        <v/>
      </c>
      <c r="F1194" s="3" t="str">
        <f t="shared" si="142"/>
        <v>.pdf</v>
      </c>
      <c r="G1194">
        <f t="shared" si="143"/>
        <v>59</v>
      </c>
      <c r="H1194" s="3">
        <f>LEN(Table1[[#This Row],[Auteur]])</f>
        <v>13</v>
      </c>
      <c r="I1194" s="3" t="str">
        <f t="shared" si="145"/>
        <v>Object Oriented Perl</v>
      </c>
    </row>
    <row r="1195" spans="1:9" x14ac:dyDescent="0.45">
      <c r="A1195" t="s">
        <v>1535</v>
      </c>
      <c r="B1195" t="str">
        <f t="shared" si="138"/>
        <v>1998</v>
      </c>
      <c r="C1195" t="str">
        <f t="shared" si="139"/>
        <v>O'Reilly</v>
      </c>
      <c r="D1195" t="str">
        <f t="shared" si="140"/>
        <v>Ellen Siever, Stephen Spainhour, Nathan Patwardhan</v>
      </c>
      <c r="E1195" s="3" t="str">
        <f t="shared" si="141"/>
        <v>Dump</v>
      </c>
      <c r="F1195" t="str">
        <f t="shared" si="142"/>
        <v>.pdf</v>
      </c>
      <c r="G1195">
        <f t="shared" si="143"/>
        <v>102</v>
      </c>
      <c r="H1195" s="3">
        <f>LEN(Table1[[#This Row],[Auteur]])</f>
        <v>50</v>
      </c>
      <c r="I1195" s="3" t="str">
        <f t="shared" si="145"/>
        <v>Perl in a Nutshell</v>
      </c>
    </row>
    <row r="1196" spans="1:9" x14ac:dyDescent="0.45">
      <c r="A1196" t="s">
        <v>1536</v>
      </c>
      <c r="B1196" t="str">
        <f t="shared" si="138"/>
        <v>2011</v>
      </c>
      <c r="C1196" t="str">
        <f t="shared" si="139"/>
        <v>O'Reilly</v>
      </c>
      <c r="D1196" t="str">
        <f t="shared" si="140"/>
        <v>Johan Vromans</v>
      </c>
      <c r="E1196" s="3" t="str">
        <f t="shared" si="141"/>
        <v/>
      </c>
      <c r="F1196" t="str">
        <f t="shared" si="142"/>
        <v>.pdf</v>
      </c>
      <c r="G1196">
        <f t="shared" si="143"/>
        <v>69</v>
      </c>
      <c r="H1196" s="3">
        <f>LEN(Table1[[#This Row],[Auteur]])</f>
        <v>13</v>
      </c>
      <c r="I1196" s="3" t="str">
        <f t="shared" si="145"/>
        <v>Perl Pocket Reference</v>
      </c>
    </row>
    <row r="1197" spans="1:9" x14ac:dyDescent="0.45">
      <c r="A1197" t="s">
        <v>1537</v>
      </c>
      <c r="B1197" t="str">
        <f t="shared" si="138"/>
        <v>2006</v>
      </c>
      <c r="C1197" t="str">
        <f t="shared" si="139"/>
        <v>Thomson</v>
      </c>
      <c r="D1197" t="str">
        <f t="shared" si="140"/>
        <v>John P. Flynt</v>
      </c>
      <c r="E1197" s="3" t="str">
        <f t="shared" si="141"/>
        <v/>
      </c>
      <c r="F1197" t="str">
        <f t="shared" si="142"/>
        <v>.pdf</v>
      </c>
      <c r="G1197">
        <f t="shared" si="143"/>
        <v>75</v>
      </c>
      <c r="H1197" s="3">
        <f>LEN(Table1[[#This Row],[Auteur]])</f>
        <v>13</v>
      </c>
      <c r="I1197" s="3" t="str">
        <f t="shared" si="145"/>
        <v>Perl Power!, The Comprehensive Guide</v>
      </c>
    </row>
    <row r="1198" spans="1:9" x14ac:dyDescent="0.45">
      <c r="A1198" t="s">
        <v>1538</v>
      </c>
      <c r="B1198" t="str">
        <f t="shared" si="138"/>
        <v>?</v>
      </c>
      <c r="C1198" t="str">
        <f t="shared" si="139"/>
        <v>?</v>
      </c>
      <c r="D1198" t="str">
        <f t="shared" si="140"/>
        <v>Johan Vromans</v>
      </c>
      <c r="E1198" s="3" t="str">
        <f t="shared" si="141"/>
        <v/>
      </c>
      <c r="F1198" t="str">
        <f t="shared" si="142"/>
        <v>.pdf</v>
      </c>
      <c r="G1198">
        <f t="shared" si="143"/>
        <v>52</v>
      </c>
      <c r="H1198" s="3">
        <f>LEN(Table1[[#This Row],[Auteur]])</f>
        <v>13</v>
      </c>
      <c r="I1198" s="3" t="str">
        <f t="shared" si="145"/>
        <v>Perl Quick Reference Guide 5.004</v>
      </c>
    </row>
    <row r="1199" spans="1:9" x14ac:dyDescent="0.45">
      <c r="A1199" t="s">
        <v>1539</v>
      </c>
      <c r="B1199" t="str">
        <f t="shared" si="138"/>
        <v>2001</v>
      </c>
      <c r="C1199" t="str">
        <f t="shared" si="139"/>
        <v>McGraw-Hill</v>
      </c>
      <c r="D1199" t="str">
        <f t="shared" si="140"/>
        <v>Martin C. Brown</v>
      </c>
      <c r="E1199" s="3" t="str">
        <f t="shared" si="141"/>
        <v/>
      </c>
      <c r="F1199" s="3" t="str">
        <f t="shared" si="142"/>
        <v>.pdf</v>
      </c>
      <c r="G1199">
        <f t="shared" si="143"/>
        <v>81</v>
      </c>
      <c r="H1199" s="3">
        <f>LEN(Table1[[#This Row],[Auteur]])</f>
        <v>15</v>
      </c>
      <c r="I1199" s="3" t="str">
        <f t="shared" si="145"/>
        <v>Perl, The Complete Reference</v>
      </c>
    </row>
    <row r="1200" spans="1:9" x14ac:dyDescent="0.45">
      <c r="A1200" t="s">
        <v>1540</v>
      </c>
      <c r="B1200" t="str">
        <f t="shared" si="138"/>
        <v>2001</v>
      </c>
      <c r="C1200" t="str">
        <f t="shared" si="139"/>
        <v>Wrox</v>
      </c>
      <c r="D1200" t="str">
        <f t="shared" si="140"/>
        <v>Peter Wainwright</v>
      </c>
      <c r="E1200" s="3" t="str">
        <f t="shared" si="141"/>
        <v/>
      </c>
      <c r="F1200" t="str">
        <f t="shared" si="142"/>
        <v>.pdf</v>
      </c>
      <c r="G1200">
        <f t="shared" si="143"/>
        <v>68</v>
      </c>
      <c r="H1200" s="3">
        <f>LEN(Table1[[#This Row],[Auteur]])</f>
        <v>16</v>
      </c>
      <c r="I1200" s="3" t="str">
        <f t="shared" si="145"/>
        <v>Professional Perl Programming</v>
      </c>
    </row>
    <row r="1201" spans="1:9" x14ac:dyDescent="0.45">
      <c r="A1201" t="s">
        <v>1541</v>
      </c>
      <c r="B1201" t="str">
        <f t="shared" si="138"/>
        <v>2005</v>
      </c>
      <c r="C1201" t="str">
        <f t="shared" si="139"/>
        <v>Digit Books</v>
      </c>
      <c r="D1201" t="str">
        <f t="shared" si="140"/>
        <v>Wall, Christiansen, Orwant</v>
      </c>
      <c r="E1201" s="3" t="str">
        <f t="shared" si="141"/>
        <v/>
      </c>
      <c r="F1201" t="str">
        <f t="shared" si="142"/>
        <v>.pdf</v>
      </c>
      <c r="G1201">
        <f t="shared" si="143"/>
        <v>77</v>
      </c>
      <c r="H1201" s="3">
        <f>LEN(Table1[[#This Row],[Auteur]])</f>
        <v>26</v>
      </c>
      <c r="I1201" s="3" t="str">
        <f t="shared" si="145"/>
        <v>Programmation en Perl</v>
      </c>
    </row>
    <row r="1202" spans="1:9" x14ac:dyDescent="0.45">
      <c r="A1202" t="s">
        <v>1542</v>
      </c>
      <c r="B1202" t="str">
        <f t="shared" si="138"/>
        <v>1996</v>
      </c>
      <c r="C1202" t="str">
        <f t="shared" si="139"/>
        <v>O'Reilly</v>
      </c>
      <c r="D1202" t="str">
        <f t="shared" si="140"/>
        <v>Larry Wall, Tom Christiansen, Randal L. Schwartz</v>
      </c>
      <c r="E1202" s="3" t="str">
        <f t="shared" si="141"/>
        <v>Dump</v>
      </c>
      <c r="F1202" t="str">
        <f t="shared" si="142"/>
        <v>.pdf</v>
      </c>
      <c r="G1202">
        <f t="shared" si="143"/>
        <v>106</v>
      </c>
      <c r="H1202" s="3">
        <f>LEN(Table1[[#This Row],[Auteur]])</f>
        <v>48</v>
      </c>
      <c r="I1202" s="3" t="str">
        <f t="shared" si="145"/>
        <v>Programming Perl</v>
      </c>
    </row>
    <row r="1203" spans="1:9" x14ac:dyDescent="0.45">
      <c r="A1203" t="s">
        <v>1543</v>
      </c>
      <c r="B1203" t="str">
        <f t="shared" si="138"/>
        <v>2012</v>
      </c>
      <c r="C1203" t="str">
        <f t="shared" si="139"/>
        <v>O'Reilly</v>
      </c>
      <c r="D1203" t="str">
        <f t="shared" si="140"/>
        <v>Tom Christiansen, Brian D Foy, Larry Wall</v>
      </c>
      <c r="E1203" s="3" t="str">
        <f t="shared" si="141"/>
        <v/>
      </c>
      <c r="F1203" t="str">
        <f t="shared" si="142"/>
        <v>.pdf</v>
      </c>
      <c r="G1203">
        <f t="shared" si="143"/>
        <v>92</v>
      </c>
      <c r="H1203" s="3">
        <f>LEN(Table1[[#This Row],[Auteur]])</f>
        <v>41</v>
      </c>
      <c r="I1203" s="3" t="str">
        <f t="shared" si="145"/>
        <v>Programming Perl</v>
      </c>
    </row>
    <row r="1204" spans="1:9" x14ac:dyDescent="0.45">
      <c r="A1204" t="s">
        <v>1544</v>
      </c>
      <c r="B1204" t="str">
        <f t="shared" si="138"/>
        <v>2005</v>
      </c>
      <c r="C1204" t="str">
        <f t="shared" si="139"/>
        <v>Sams</v>
      </c>
      <c r="D1204" t="str">
        <f t="shared" si="140"/>
        <v>Clinton Pierce</v>
      </c>
      <c r="E1204" s="3" t="str">
        <f t="shared" si="141"/>
        <v>Dump</v>
      </c>
      <c r="F1204" t="str">
        <f t="shared" si="142"/>
        <v>.pdf</v>
      </c>
      <c r="G1204">
        <f t="shared" si="143"/>
        <v>83</v>
      </c>
      <c r="H1204" s="3">
        <f>LEN(Table1[[#This Row],[Auteur]])</f>
        <v>14</v>
      </c>
      <c r="I1204" s="3" t="str">
        <f t="shared" si="145"/>
        <v>Teach yourself Perl in 24 hours</v>
      </c>
    </row>
    <row r="1205" spans="1:9" x14ac:dyDescent="0.45">
      <c r="A1205" t="s">
        <v>1545</v>
      </c>
      <c r="B1205" t="str">
        <f t="shared" si="138"/>
        <v>1965</v>
      </c>
      <c r="C1205" t="str">
        <f t="shared" si="139"/>
        <v>IBM</v>
      </c>
      <c r="D1205" t="str">
        <f t="shared" si="140"/>
        <v>?</v>
      </c>
      <c r="E1205" s="3" t="str">
        <f t="shared" si="141"/>
        <v/>
      </c>
      <c r="F1205" t="str">
        <f t="shared" si="142"/>
        <v>.pdf</v>
      </c>
      <c r="G1205">
        <f t="shared" si="143"/>
        <v>32</v>
      </c>
      <c r="H1205" s="3">
        <f>LEN(Table1[[#This Row],[Auteur]])</f>
        <v>1</v>
      </c>
      <c r="I1205" s="3" t="str">
        <f t="shared" si="145"/>
        <v>A PL-1 primer</v>
      </c>
    </row>
    <row r="1206" spans="1:9" x14ac:dyDescent="0.45">
      <c r="A1206" t="s">
        <v>1546</v>
      </c>
      <c r="B1206" t="str">
        <f t="shared" si="138"/>
        <v>2013</v>
      </c>
      <c r="C1206" t="str">
        <f t="shared" si="139"/>
        <v>IBM</v>
      </c>
      <c r="D1206" t="str">
        <f t="shared" si="140"/>
        <v>?</v>
      </c>
      <c r="E1206" s="3" t="str">
        <f t="shared" si="141"/>
        <v/>
      </c>
      <c r="F1206" s="3" t="str">
        <f t="shared" si="142"/>
        <v>.pdf</v>
      </c>
      <c r="G1206">
        <f t="shared" si="143"/>
        <v>61</v>
      </c>
      <c r="H1206" s="3">
        <f>LEN(Table1[[#This Row],[Auteur]])</f>
        <v>1</v>
      </c>
      <c r="I1206" s="3" t="str">
        <f t="shared" si="145"/>
        <v>Enterprise PL-1 for z-OS Programming Guide</v>
      </c>
    </row>
    <row r="1207" spans="1:9" x14ac:dyDescent="0.45">
      <c r="A1207" t="s">
        <v>1547</v>
      </c>
      <c r="B1207" t="str">
        <f t="shared" si="138"/>
        <v>1982</v>
      </c>
      <c r="C1207" t="str">
        <f t="shared" si="139"/>
        <v>Digital Research</v>
      </c>
      <c r="D1207" t="str">
        <f t="shared" si="140"/>
        <v>?</v>
      </c>
      <c r="E1207" s="3" t="str">
        <f t="shared" si="141"/>
        <v/>
      </c>
      <c r="F1207" t="str">
        <f t="shared" si="142"/>
        <v>.pdf</v>
      </c>
      <c r="G1207">
        <f t="shared" si="143"/>
        <v>64</v>
      </c>
      <c r="H1207" s="3">
        <f>LEN(Table1[[#This Row],[Auteur]])</f>
        <v>1</v>
      </c>
      <c r="I1207" s="3" t="str">
        <f t="shared" si="145"/>
        <v>PL-1 Language Programmer's Guide</v>
      </c>
    </row>
    <row r="1208" spans="1:9" x14ac:dyDescent="0.45">
      <c r="A1208" t="s">
        <v>1548</v>
      </c>
      <c r="B1208" t="str">
        <f t="shared" si="138"/>
        <v>1995</v>
      </c>
      <c r="C1208" t="str">
        <f t="shared" si="139"/>
        <v>IBM</v>
      </c>
      <c r="D1208" t="str">
        <f t="shared" si="140"/>
        <v>?</v>
      </c>
      <c r="E1208" s="3" t="str">
        <f t="shared" si="141"/>
        <v/>
      </c>
      <c r="F1208" t="str">
        <f t="shared" si="142"/>
        <v>.pdf</v>
      </c>
      <c r="G1208">
        <f t="shared" si="143"/>
        <v>59</v>
      </c>
      <c r="H1208" s="3">
        <f>LEN(Table1[[#This Row],[Auteur]])</f>
        <v>1</v>
      </c>
      <c r="I1208" s="3" t="str">
        <f t="shared" si="145"/>
        <v>PL-1 MVS &amp; VM Language Reference</v>
      </c>
    </row>
    <row r="1209" spans="1:9" x14ac:dyDescent="0.45">
      <c r="A1209" t="s">
        <v>1549</v>
      </c>
      <c r="B1209" t="str">
        <f t="shared" si="138"/>
        <v>2003</v>
      </c>
      <c r="C1209" t="str">
        <f t="shared" si="139"/>
        <v>?</v>
      </c>
      <c r="D1209" t="str">
        <f t="shared" si="140"/>
        <v>Sanjay Sinha</v>
      </c>
      <c r="E1209" s="3" t="str">
        <f t="shared" si="141"/>
        <v>Presentation</v>
      </c>
      <c r="F1209" s="3" t="str">
        <f t="shared" si="142"/>
        <v>.pdf</v>
      </c>
      <c r="G1209">
        <f t="shared" si="143"/>
        <v>58</v>
      </c>
      <c r="H1209" s="3">
        <f>LEN(Table1[[#This Row],[Auteur]])</f>
        <v>12</v>
      </c>
      <c r="I1209" s="3" t="str">
        <f t="shared" si="145"/>
        <v>PL-1 Presentation</v>
      </c>
    </row>
    <row r="1210" spans="1:9" x14ac:dyDescent="0.45">
      <c r="A1210" t="s">
        <v>1550</v>
      </c>
      <c r="B1210" t="str">
        <f t="shared" si="138"/>
        <v>1978</v>
      </c>
      <c r="C1210" t="str">
        <f t="shared" si="139"/>
        <v>New York University</v>
      </c>
      <c r="D1210" t="str">
        <f t="shared" si="140"/>
        <v>Paul Abrahams</v>
      </c>
      <c r="E1210" s="3" t="str">
        <f t="shared" si="141"/>
        <v>Research Report</v>
      </c>
      <c r="F1210" s="3" t="str">
        <f t="shared" si="142"/>
        <v>.pdf</v>
      </c>
      <c r="G1210">
        <f t="shared" si="143"/>
        <v>98</v>
      </c>
      <c r="H1210" s="3">
        <f>LEN(Table1[[#This Row],[Auteur]])</f>
        <v>13</v>
      </c>
      <c r="I1210" s="3" t="str">
        <f t="shared" si="145"/>
        <v>The PL-1 Programming Language</v>
      </c>
    </row>
    <row r="1211" spans="1:9" x14ac:dyDescent="0.45">
      <c r="A1211" t="s">
        <v>1553</v>
      </c>
      <c r="B1211" t="str">
        <f t="shared" si="138"/>
        <v>2011</v>
      </c>
      <c r="C1211" t="str">
        <f t="shared" si="139"/>
        <v>Springer</v>
      </c>
      <c r="D1211" t="str">
        <f t="shared" si="140"/>
        <v>Hans Petter Langtangen</v>
      </c>
      <c r="E1211" s="3" t="str">
        <f t="shared" si="141"/>
        <v/>
      </c>
      <c r="F1211" t="str">
        <f t="shared" si="142"/>
        <v>.pdf</v>
      </c>
      <c r="G1211">
        <f t="shared" si="143"/>
        <v>103</v>
      </c>
      <c r="H1211" s="3">
        <f>LEN(Table1[[#This Row],[Auteur]])</f>
        <v>22</v>
      </c>
      <c r="I1211" s="3" t="str">
        <f t="shared" si="145"/>
        <v>A Primer on Scientific Programming with Python</v>
      </c>
    </row>
    <row r="1212" spans="1:9" x14ac:dyDescent="0.45">
      <c r="A1212" t="s">
        <v>1554</v>
      </c>
      <c r="B1212" t="str">
        <f t="shared" si="138"/>
        <v>2000</v>
      </c>
      <c r="C1212" t="str">
        <f t="shared" si="139"/>
        <v>?</v>
      </c>
      <c r="D1212" t="str">
        <f t="shared" si="140"/>
        <v>David M. Beazley</v>
      </c>
      <c r="E1212" s="3" t="str">
        <f t="shared" si="141"/>
        <v>Presentation</v>
      </c>
      <c r="F1212" t="str">
        <f t="shared" si="142"/>
        <v>.pdf</v>
      </c>
      <c r="G1212">
        <f t="shared" si="143"/>
        <v>72</v>
      </c>
      <c r="H1212" s="3">
        <f>LEN(Table1[[#This Row],[Auteur]])</f>
        <v>16</v>
      </c>
      <c r="I1212" s="3" t="str">
        <f t="shared" si="145"/>
        <v>Advanced Python Programming</v>
      </c>
    </row>
    <row r="1213" spans="1:9" x14ac:dyDescent="0.45">
      <c r="A1213" t="s">
        <v>1555</v>
      </c>
      <c r="B1213" t="str">
        <f t="shared" si="138"/>
        <v>2016</v>
      </c>
      <c r="C1213" t="str">
        <f t="shared" si="139"/>
        <v>Eyrolles</v>
      </c>
      <c r="D1213" t="str">
        <f t="shared" si="140"/>
        <v>Martin O'Hanlon, David Whale</v>
      </c>
      <c r="E1213" s="3" t="str">
        <f t="shared" si="141"/>
        <v/>
      </c>
      <c r="F1213" s="3" t="str">
        <f t="shared" si="142"/>
        <v>.pdf</v>
      </c>
      <c r="G1213">
        <f t="shared" si="143"/>
        <v>111</v>
      </c>
      <c r="H1213" s="3">
        <f>LEN(Table1[[#This Row],[Auteur]])</f>
        <v>28</v>
      </c>
      <c r="I1213" s="3" t="str">
        <f t="shared" si="145"/>
        <v>Apprendre à coder en Python grâce à Minecraft dès 10 ans</v>
      </c>
    </row>
    <row r="1214" spans="1:9" x14ac:dyDescent="0.45">
      <c r="A1214" t="s">
        <v>1556</v>
      </c>
      <c r="B1214" t="str">
        <f t="shared" si="138"/>
        <v>2016</v>
      </c>
      <c r="C1214" t="str">
        <f t="shared" si="139"/>
        <v>?</v>
      </c>
      <c r="D1214" t="str">
        <f t="shared" si="140"/>
        <v>?</v>
      </c>
      <c r="E1214" s="3" t="str">
        <f t="shared" si="141"/>
        <v/>
      </c>
      <c r="F1214" t="str">
        <f t="shared" si="142"/>
        <v>.rar</v>
      </c>
      <c r="G1214">
        <f t="shared" si="143"/>
        <v>88</v>
      </c>
      <c r="H1214" s="3">
        <f>LEN(Table1[[#This Row],[Auteur]])</f>
        <v>1</v>
      </c>
      <c r="I1214" s="3" t="str">
        <f t="shared" si="145"/>
        <v>Apprendre à coder en Python grâce à Minecraft dès 10 ans</v>
      </c>
    </row>
    <row r="1215" spans="1:9" x14ac:dyDescent="0.45">
      <c r="A1215" t="s">
        <v>1557</v>
      </c>
      <c r="B1215" t="str">
        <f t="shared" si="138"/>
        <v>2008</v>
      </c>
      <c r="C1215" t="str">
        <f t="shared" si="139"/>
        <v>?</v>
      </c>
      <c r="D1215" t="str">
        <f t="shared" si="140"/>
        <v>Gérard Swinnen</v>
      </c>
      <c r="E1215" s="3" t="str">
        <f t="shared" si="141"/>
        <v/>
      </c>
      <c r="F1215" t="str">
        <f t="shared" si="142"/>
        <v>.pdf</v>
      </c>
      <c r="G1215">
        <f t="shared" si="143"/>
        <v>62</v>
      </c>
      <c r="H1215" s="3">
        <f>LEN(Table1[[#This Row],[Auteur]])</f>
        <v>14</v>
      </c>
      <c r="I1215" s="3" t="str">
        <f t="shared" si="145"/>
        <v>Apprendre à programmer avec Phyton</v>
      </c>
    </row>
    <row r="1216" spans="1:9" x14ac:dyDescent="0.45">
      <c r="A1216" t="s">
        <v>1558</v>
      </c>
      <c r="B1216" t="str">
        <f t="shared" si="138"/>
        <v>2009</v>
      </c>
      <c r="C1216" t="str">
        <f t="shared" si="139"/>
        <v>Eyrolles</v>
      </c>
      <c r="D1216" t="str">
        <f t="shared" si="140"/>
        <v>Gérard Swinnen</v>
      </c>
      <c r="E1216" s="3" t="str">
        <f t="shared" si="141"/>
        <v/>
      </c>
      <c r="F1216" s="3" t="str">
        <f t="shared" si="142"/>
        <v>.pdf</v>
      </c>
      <c r="G1216">
        <f t="shared" si="143"/>
        <v>75</v>
      </c>
      <c r="H1216" s="3">
        <f>LEN(Table1[[#This Row],[Auteur]])</f>
        <v>14</v>
      </c>
      <c r="I1216" s="3" t="str">
        <f t="shared" si="145"/>
        <v>Apprendre à programmer avec Python</v>
      </c>
    </row>
    <row r="1217" spans="1:9" x14ac:dyDescent="0.45">
      <c r="A1217" t="s">
        <v>1559</v>
      </c>
      <c r="B1217" t="str">
        <f t="shared" si="138"/>
        <v>2012</v>
      </c>
      <c r="C1217" t="str">
        <f t="shared" si="139"/>
        <v>?</v>
      </c>
      <c r="D1217" t="str">
        <f t="shared" si="140"/>
        <v>Gérard Swinnen</v>
      </c>
      <c r="E1217" s="3" t="str">
        <f t="shared" si="141"/>
        <v/>
      </c>
      <c r="F1217" s="3" t="str">
        <f t="shared" si="142"/>
        <v>.pdf</v>
      </c>
      <c r="G1217">
        <f t="shared" si="143"/>
        <v>64</v>
      </c>
      <c r="H1217" s="3">
        <f>LEN(Table1[[#This Row],[Auteur]])</f>
        <v>14</v>
      </c>
      <c r="I1217" s="3" t="str">
        <f t="shared" si="145"/>
        <v>Apprendre à programmer avec Python 3</v>
      </c>
    </row>
    <row r="1218" spans="1:9" x14ac:dyDescent="0.45">
      <c r="A1218" t="s">
        <v>1560</v>
      </c>
      <c r="B1218" t="str">
        <f t="shared" ref="B1218:B1281" si="146">DatePub(A1218)</f>
        <v>?</v>
      </c>
      <c r="C1218" t="str">
        <f t="shared" ref="C1218:C1281" si="147">Editeur(A1218)</f>
        <v>Le site du zéro</v>
      </c>
      <c r="D1218" t="str">
        <f t="shared" ref="D1218:D1281" si="148">Auteur(A1218)</f>
        <v>Prolixe</v>
      </c>
      <c r="E1218" s="3" t="str">
        <f t="shared" ref="E1218:E1281" si="149">ExtraInfo(A1218)</f>
        <v/>
      </c>
      <c r="F1218" s="3" t="str">
        <f t="shared" ref="F1218:F1281" si="150">Extension(A1218)</f>
        <v>.pdf</v>
      </c>
      <c r="G1218">
        <f t="shared" ref="G1218:G1281" si="151">LenFileName(A1218)</f>
        <v>51</v>
      </c>
      <c r="H1218" s="3">
        <f>LEN(Table1[[#This Row],[Auteur]])</f>
        <v>7</v>
      </c>
      <c r="I1218" s="3" t="str">
        <f t="shared" ref="I1218:I1281" si="152">Title(A1218)</f>
        <v>Apprendre Python!</v>
      </c>
    </row>
    <row r="1219" spans="1:9" x14ac:dyDescent="0.45">
      <c r="A1219" t="s">
        <v>1561</v>
      </c>
      <c r="B1219" t="str">
        <f t="shared" si="146"/>
        <v>2005</v>
      </c>
      <c r="C1219" t="str">
        <f t="shared" si="147"/>
        <v>Wiley</v>
      </c>
      <c r="D1219" t="str">
        <f t="shared" si="148"/>
        <v>Norton et al</v>
      </c>
      <c r="E1219" s="3" t="str">
        <f t="shared" si="149"/>
        <v/>
      </c>
      <c r="F1219" t="str">
        <f t="shared" si="150"/>
        <v>.pdf</v>
      </c>
      <c r="G1219">
        <f t="shared" si="151"/>
        <v>52</v>
      </c>
      <c r="H1219" s="3">
        <f>LEN(Table1[[#This Row],[Auteur]])</f>
        <v>12</v>
      </c>
      <c r="I1219" s="3" t="str">
        <f t="shared" si="152"/>
        <v>Beginning Python</v>
      </c>
    </row>
    <row r="1220" spans="1:9" x14ac:dyDescent="0.45">
      <c r="A1220" t="s">
        <v>1562</v>
      </c>
      <c r="B1220" t="str">
        <f t="shared" si="146"/>
        <v>2016</v>
      </c>
      <c r="C1220" t="str">
        <f t="shared" si="147"/>
        <v>Eyrolles</v>
      </c>
      <c r="D1220" t="str">
        <f t="shared" si="148"/>
        <v>David Weinachter</v>
      </c>
      <c r="E1220" s="3" t="str">
        <f t="shared" si="149"/>
        <v/>
      </c>
      <c r="F1220" s="3" t="str">
        <f t="shared" si="150"/>
        <v>.pdf</v>
      </c>
      <c r="G1220">
        <f t="shared" si="151"/>
        <v>82</v>
      </c>
      <c r="H1220" s="3">
        <f>LEN(Table1[[#This Row],[Auteur]])</f>
        <v>16</v>
      </c>
      <c r="I1220" s="3" t="str">
        <f t="shared" si="152"/>
        <v>Cahier d'activités Python pour les kids</v>
      </c>
    </row>
    <row r="1221" spans="1:9" x14ac:dyDescent="0.45">
      <c r="A1221" t="s">
        <v>1563</v>
      </c>
      <c r="B1221" t="str">
        <f t="shared" si="146"/>
        <v>2012</v>
      </c>
      <c r="C1221" t="str">
        <f t="shared" si="147"/>
        <v>Prentice Hall</v>
      </c>
      <c r="D1221" t="str">
        <f t="shared" si="148"/>
        <v>Wesley J. Chun</v>
      </c>
      <c r="E1221" s="3" t="str">
        <f t="shared" si="149"/>
        <v/>
      </c>
      <c r="F1221" t="str">
        <f t="shared" si="150"/>
        <v>.pdf</v>
      </c>
      <c r="G1221">
        <f t="shared" si="151"/>
        <v>90</v>
      </c>
      <c r="H1221" s="3">
        <f>LEN(Table1[[#This Row],[Auteur]])</f>
        <v>14</v>
      </c>
      <c r="I1221" s="3" t="str">
        <f t="shared" si="152"/>
        <v>Core Python Applications Programming</v>
      </c>
    </row>
    <row r="1222" spans="1:9" x14ac:dyDescent="0.45">
      <c r="A1222" t="s">
        <v>1564</v>
      </c>
      <c r="B1222" t="str">
        <f t="shared" si="146"/>
        <v>2015</v>
      </c>
      <c r="C1222" t="str">
        <f t="shared" si="147"/>
        <v>O'Reilly</v>
      </c>
      <c r="D1222" t="str">
        <f t="shared" si="148"/>
        <v>Joel Grus</v>
      </c>
      <c r="E1222" s="3" t="str">
        <f t="shared" si="149"/>
        <v/>
      </c>
      <c r="F1222" t="str">
        <f t="shared" si="150"/>
        <v>.epub</v>
      </c>
      <c r="G1222">
        <f t="shared" si="151"/>
        <v>92</v>
      </c>
      <c r="H1222" s="3">
        <f>LEN(Table1[[#This Row],[Auteur]])</f>
        <v>9</v>
      </c>
      <c r="I1222" s="3" t="str">
        <f t="shared" si="152"/>
        <v>Data Science from Scratch, First Principles with Python</v>
      </c>
    </row>
    <row r="1223" spans="1:9" x14ac:dyDescent="0.45">
      <c r="A1223" t="s">
        <v>1565</v>
      </c>
      <c r="B1223" t="str">
        <f t="shared" si="146"/>
        <v>2015</v>
      </c>
      <c r="C1223" t="str">
        <f t="shared" si="147"/>
        <v>O'Reilly</v>
      </c>
      <c r="D1223" t="str">
        <f t="shared" si="148"/>
        <v>Joel Grus</v>
      </c>
      <c r="E1223" s="3" t="str">
        <f t="shared" si="149"/>
        <v/>
      </c>
      <c r="F1223" t="str">
        <f t="shared" si="150"/>
        <v>.pdf</v>
      </c>
      <c r="G1223">
        <f t="shared" si="151"/>
        <v>91</v>
      </c>
      <c r="H1223" s="3">
        <f>LEN(Table1[[#This Row],[Auteur]])</f>
        <v>9</v>
      </c>
      <c r="I1223" s="3" t="str">
        <f t="shared" si="152"/>
        <v>Data Science from Scratch, First Principles with Python</v>
      </c>
    </row>
    <row r="1224" spans="1:9" x14ac:dyDescent="0.45">
      <c r="A1224" t="s">
        <v>1566</v>
      </c>
      <c r="B1224" t="str">
        <f t="shared" si="146"/>
        <v>2015</v>
      </c>
      <c r="C1224" t="str">
        <f t="shared" si="147"/>
        <v>Eyrolles</v>
      </c>
      <c r="D1224" t="str">
        <f t="shared" si="148"/>
        <v>Éric Biernat, Michel Lutz</v>
      </c>
      <c r="E1224" s="3" t="str">
        <f t="shared" si="149"/>
        <v/>
      </c>
      <c r="F1224" s="3" t="str">
        <f t="shared" si="150"/>
        <v>.epub</v>
      </c>
      <c r="G1224">
        <f t="shared" si="151"/>
        <v>131</v>
      </c>
      <c r="H1224" s="3">
        <f>LEN(Table1[[#This Row],[Auteur]])</f>
        <v>25</v>
      </c>
      <c r="I1224" s="3" t="str">
        <f t="shared" si="152"/>
        <v>Data Science, Fondamentaux et études de cas, Machine learning avec Python et R</v>
      </c>
    </row>
    <row r="1225" spans="1:9" x14ac:dyDescent="0.45">
      <c r="A1225" t="s">
        <v>1567</v>
      </c>
      <c r="B1225" t="str">
        <f t="shared" si="146"/>
        <v>2015</v>
      </c>
      <c r="C1225" t="str">
        <f t="shared" si="147"/>
        <v>Eyrolles</v>
      </c>
      <c r="D1225" t="str">
        <f t="shared" si="148"/>
        <v>Éric Biernat, Michel Lutz</v>
      </c>
      <c r="E1225" s="3" t="str">
        <f t="shared" si="149"/>
        <v/>
      </c>
      <c r="F1225" s="3" t="str">
        <f t="shared" si="150"/>
        <v>.pdf</v>
      </c>
      <c r="G1225">
        <f t="shared" si="151"/>
        <v>130</v>
      </c>
      <c r="H1225" s="3">
        <f>LEN(Table1[[#This Row],[Auteur]])</f>
        <v>25</v>
      </c>
      <c r="I1225" s="3" t="str">
        <f t="shared" si="152"/>
        <v>Data Science, Fondamentaux et études de cas, Machine learning avec Python et R</v>
      </c>
    </row>
    <row r="1226" spans="1:9" x14ac:dyDescent="0.45">
      <c r="A1226" t="s">
        <v>1568</v>
      </c>
      <c r="B1226" t="str">
        <f t="shared" si="146"/>
        <v>2016</v>
      </c>
      <c r="C1226" t="str">
        <f t="shared" si="147"/>
        <v>O'Reilly</v>
      </c>
      <c r="D1226" t="str">
        <f t="shared" si="148"/>
        <v>Jacqueline Kazil, Katharine Jarmul</v>
      </c>
      <c r="E1226" s="3" t="str">
        <f t="shared" si="149"/>
        <v/>
      </c>
      <c r="F1226" s="3" t="str">
        <f t="shared" si="150"/>
        <v>.pdf</v>
      </c>
      <c r="G1226">
        <f t="shared" si="151"/>
        <v>87</v>
      </c>
      <c r="H1226" s="3">
        <f>LEN(Table1[[#This Row],[Auteur]])</f>
        <v>34</v>
      </c>
      <c r="I1226" s="3" t="str">
        <f t="shared" si="152"/>
        <v>Data Wrangling with Python</v>
      </c>
    </row>
    <row r="1227" spans="1:9" x14ac:dyDescent="0.45">
      <c r="A1227" t="s">
        <v>1569</v>
      </c>
      <c r="B1227" t="str">
        <f t="shared" si="146"/>
        <v>2015</v>
      </c>
      <c r="C1227" t="str">
        <f t="shared" si="147"/>
        <v>No Starch</v>
      </c>
      <c r="D1227" t="str">
        <f t="shared" si="148"/>
        <v>Amit Saha</v>
      </c>
      <c r="E1227" s="3" t="str">
        <f t="shared" si="149"/>
        <v/>
      </c>
      <c r="F1227" t="str">
        <f t="shared" si="150"/>
        <v>.pdf</v>
      </c>
      <c r="G1227">
        <f t="shared" si="151"/>
        <v>59</v>
      </c>
      <c r="H1227" s="3">
        <f>LEN(Table1[[#This Row],[Auteur]])</f>
        <v>9</v>
      </c>
      <c r="I1227" s="3" t="str">
        <f t="shared" si="152"/>
        <v>Doing Math with Python</v>
      </c>
    </row>
    <row r="1228" spans="1:9" x14ac:dyDescent="0.45">
      <c r="A1228" t="s">
        <v>1570</v>
      </c>
      <c r="B1228" t="str">
        <f t="shared" si="146"/>
        <v>2016</v>
      </c>
      <c r="C1228" t="str">
        <f t="shared" si="147"/>
        <v>Packt</v>
      </c>
      <c r="D1228" t="str">
        <f t="shared" si="148"/>
        <v>Michał Jaworski, Tarek Ziadé</v>
      </c>
      <c r="E1228" s="3" t="str">
        <f t="shared" si="149"/>
        <v/>
      </c>
      <c r="F1228" t="str">
        <f t="shared" si="150"/>
        <v>.epub</v>
      </c>
      <c r="G1228">
        <f t="shared" si="151"/>
        <v>86</v>
      </c>
      <c r="H1228" s="3">
        <f>LEN(Table1[[#This Row],[Auteur]])</f>
        <v>28</v>
      </c>
      <c r="I1228" s="3" t="str">
        <f t="shared" si="152"/>
        <v>Expert Python Programming</v>
      </c>
    </row>
    <row r="1229" spans="1:9" x14ac:dyDescent="0.45">
      <c r="A1229" t="s">
        <v>1571</v>
      </c>
      <c r="B1229" t="str">
        <f t="shared" si="146"/>
        <v>2016</v>
      </c>
      <c r="C1229" t="str">
        <f t="shared" si="147"/>
        <v>Packt</v>
      </c>
      <c r="D1229" t="str">
        <f t="shared" si="148"/>
        <v>Michał Jaworski, Tarek Ziadé</v>
      </c>
      <c r="E1229" s="3" t="str">
        <f t="shared" si="149"/>
        <v/>
      </c>
      <c r="F1229" s="3" t="str">
        <f t="shared" si="150"/>
        <v>.pdf</v>
      </c>
      <c r="G1229">
        <f t="shared" si="151"/>
        <v>85</v>
      </c>
      <c r="H1229" s="3">
        <f>LEN(Table1[[#This Row],[Auteur]])</f>
        <v>28</v>
      </c>
      <c r="I1229" s="3" t="str">
        <f t="shared" si="152"/>
        <v>Expert Python Programming</v>
      </c>
    </row>
    <row r="1230" spans="1:9" x14ac:dyDescent="0.45">
      <c r="A1230" t="s">
        <v>1572</v>
      </c>
      <c r="B1230" t="str">
        <f t="shared" si="146"/>
        <v>2015</v>
      </c>
      <c r="C1230" t="str">
        <f t="shared" si="147"/>
        <v>O'Reilly</v>
      </c>
      <c r="D1230" t="str">
        <f t="shared" si="148"/>
        <v>Luciano Ramalho</v>
      </c>
      <c r="E1230" s="3" t="str">
        <f t="shared" si="149"/>
        <v>Early release 7</v>
      </c>
      <c r="F1230" s="3" t="str">
        <f t="shared" si="150"/>
        <v>.epub</v>
      </c>
      <c r="G1230">
        <f t="shared" si="151"/>
        <v>74</v>
      </c>
      <c r="H1230" s="3">
        <f>LEN(Table1[[#This Row],[Auteur]])</f>
        <v>15</v>
      </c>
      <c r="I1230" s="3" t="str">
        <f t="shared" si="152"/>
        <v>Fluent Python</v>
      </c>
    </row>
    <row r="1231" spans="1:9" x14ac:dyDescent="0.45">
      <c r="A1231" t="s">
        <v>1573</v>
      </c>
      <c r="B1231" t="str">
        <f t="shared" si="146"/>
        <v>2015</v>
      </c>
      <c r="C1231" t="str">
        <f t="shared" si="147"/>
        <v>O'Reilly</v>
      </c>
      <c r="D1231" t="str">
        <f t="shared" si="148"/>
        <v>Luciano Ramalho</v>
      </c>
      <c r="E1231" s="3" t="str">
        <f t="shared" si="149"/>
        <v>Early release 7</v>
      </c>
      <c r="F1231" t="str">
        <f t="shared" si="150"/>
        <v>.pdf</v>
      </c>
      <c r="G1231">
        <f t="shared" si="151"/>
        <v>73</v>
      </c>
      <c r="H1231" s="3">
        <f>LEN(Table1[[#This Row],[Auteur]])</f>
        <v>15</v>
      </c>
      <c r="I1231" s="3" t="str">
        <f t="shared" si="152"/>
        <v>Fluent Python</v>
      </c>
    </row>
    <row r="1232" spans="1:9" x14ac:dyDescent="0.45">
      <c r="A1232" t="s">
        <v>1574</v>
      </c>
      <c r="B1232" t="str">
        <f t="shared" si="146"/>
        <v>2010</v>
      </c>
      <c r="C1232" t="str">
        <f t="shared" si="147"/>
        <v>Apress</v>
      </c>
      <c r="D1232" t="str">
        <f t="shared" si="148"/>
        <v>Brandon Rhodes, John Goerzen</v>
      </c>
      <c r="E1232" s="3" t="str">
        <f t="shared" si="149"/>
        <v/>
      </c>
      <c r="F1232" t="str">
        <f t="shared" si="150"/>
        <v>.pdf</v>
      </c>
      <c r="G1232">
        <f t="shared" si="151"/>
        <v>102</v>
      </c>
      <c r="H1232" s="3">
        <f>LEN(Table1[[#This Row],[Auteur]])</f>
        <v>28</v>
      </c>
      <c r="I1232" s="3" t="str">
        <f t="shared" si="152"/>
        <v>Foundations of Python Network Programming</v>
      </c>
    </row>
    <row r="1233" spans="1:9" x14ac:dyDescent="0.45">
      <c r="A1233" t="s">
        <v>1575</v>
      </c>
      <c r="B1233" t="str">
        <f t="shared" si="146"/>
        <v>2010</v>
      </c>
      <c r="C1233" t="str">
        <f t="shared" si="147"/>
        <v>Course Technology, Cengage Learning</v>
      </c>
      <c r="D1233" t="str">
        <f t="shared" si="148"/>
        <v>Kenneth A. Lambert</v>
      </c>
      <c r="E1233" s="3" t="str">
        <f t="shared" si="149"/>
        <v/>
      </c>
      <c r="F1233" s="3" t="str">
        <f t="shared" si="150"/>
        <v>.pdf</v>
      </c>
      <c r="G1233">
        <f t="shared" si="151"/>
        <v>138</v>
      </c>
      <c r="H1233" s="3">
        <f>LEN(Table1[[#This Row],[Auteur]])</f>
        <v>18</v>
      </c>
      <c r="I1233" s="3" t="str">
        <f t="shared" si="152"/>
        <v>Fundamentals of Python from First Programs through Data Structures</v>
      </c>
    </row>
    <row r="1234" spans="1:9" x14ac:dyDescent="0.45">
      <c r="A1234" t="s">
        <v>1576</v>
      </c>
      <c r="B1234" t="str">
        <f t="shared" si="146"/>
        <v>2011</v>
      </c>
      <c r="C1234" t="str">
        <f t="shared" si="147"/>
        <v>O'Reilly</v>
      </c>
      <c r="D1234" t="str">
        <f t="shared" si="148"/>
        <v>Paul Barry</v>
      </c>
      <c r="E1234" s="3" t="str">
        <f t="shared" si="149"/>
        <v/>
      </c>
      <c r="F1234" t="str">
        <f t="shared" si="150"/>
        <v>.pdf</v>
      </c>
      <c r="G1234">
        <f t="shared" si="151"/>
        <v>54</v>
      </c>
      <c r="H1234" s="3">
        <f>LEN(Table1[[#This Row],[Auteur]])</f>
        <v>10</v>
      </c>
      <c r="I1234" s="3" t="str">
        <f t="shared" si="152"/>
        <v>Head First Python</v>
      </c>
    </row>
    <row r="1235" spans="1:9" x14ac:dyDescent="0.45">
      <c r="A1235" t="s">
        <v>1577</v>
      </c>
      <c r="B1235" t="str">
        <f t="shared" si="146"/>
        <v>2012</v>
      </c>
      <c r="C1235" t="str">
        <f t="shared" si="147"/>
        <v>Manning</v>
      </c>
      <c r="D1235" t="str">
        <f t="shared" si="148"/>
        <v>Anthony Briggs</v>
      </c>
      <c r="E1235" s="3" t="str">
        <f t="shared" si="149"/>
        <v/>
      </c>
      <c r="F1235" s="3" t="str">
        <f t="shared" si="150"/>
        <v>.pdf</v>
      </c>
      <c r="G1235">
        <f t="shared" si="151"/>
        <v>52</v>
      </c>
      <c r="H1235" s="3">
        <f>LEN(Table1[[#This Row],[Auteur]])</f>
        <v>14</v>
      </c>
      <c r="I1235" s="3" t="str">
        <f t="shared" si="152"/>
        <v>Hello Python</v>
      </c>
    </row>
    <row r="1236" spans="1:9" x14ac:dyDescent="0.45">
      <c r="A1236" t="s">
        <v>1578</v>
      </c>
      <c r="B1236" t="str">
        <f t="shared" si="146"/>
        <v>2009</v>
      </c>
      <c r="C1236" t="str">
        <f t="shared" si="147"/>
        <v>Pearson</v>
      </c>
      <c r="D1236" t="str">
        <f t="shared" si="148"/>
        <v>Yves Bailly</v>
      </c>
      <c r="E1236" s="3" t="str">
        <f t="shared" si="149"/>
        <v/>
      </c>
      <c r="F1236" t="str">
        <f t="shared" si="150"/>
        <v>.pdf</v>
      </c>
      <c r="G1236">
        <f t="shared" si="151"/>
        <v>85</v>
      </c>
      <c r="H1236" s="3">
        <f>LEN(Table1[[#This Row],[Auteur]])</f>
        <v>11</v>
      </c>
      <c r="I1236" s="3" t="str">
        <f t="shared" si="152"/>
        <v>Initiation à la programmation avec Python et C++</v>
      </c>
    </row>
    <row r="1237" spans="1:9" x14ac:dyDescent="0.45">
      <c r="A1237" t="s">
        <v>1579</v>
      </c>
      <c r="B1237" t="str">
        <f t="shared" si="146"/>
        <v>2015</v>
      </c>
      <c r="C1237" t="str">
        <f t="shared" si="147"/>
        <v>O'Reilly</v>
      </c>
      <c r="D1237" t="str">
        <f t="shared" si="148"/>
        <v>Bill Lubanovic</v>
      </c>
      <c r="E1237" s="3" t="str">
        <f t="shared" si="149"/>
        <v/>
      </c>
      <c r="F1237" s="3" t="str">
        <f t="shared" si="150"/>
        <v>.epub</v>
      </c>
      <c r="G1237">
        <f t="shared" si="151"/>
        <v>97</v>
      </c>
      <c r="H1237" s="3">
        <f>LEN(Table1[[#This Row],[Auteur]])</f>
        <v>14</v>
      </c>
      <c r="I1237" s="3" t="str">
        <f t="shared" si="152"/>
        <v>Introducing Python, Modern Computing in Simple Packages</v>
      </c>
    </row>
    <row r="1238" spans="1:9" x14ac:dyDescent="0.45">
      <c r="A1238" t="s">
        <v>1580</v>
      </c>
      <c r="B1238" t="str">
        <f t="shared" si="146"/>
        <v>2013</v>
      </c>
      <c r="C1238" t="str">
        <f t="shared" si="147"/>
        <v>Pearson</v>
      </c>
      <c r="D1238" t="str">
        <f t="shared" si="148"/>
        <v>Y. Daniel Liang</v>
      </c>
      <c r="E1238" s="3" t="str">
        <f t="shared" si="149"/>
        <v/>
      </c>
      <c r="F1238" t="str">
        <f t="shared" si="150"/>
        <v>.pdf</v>
      </c>
      <c r="G1238">
        <f t="shared" si="151"/>
        <v>81</v>
      </c>
      <c r="H1238" s="3">
        <f>LEN(Table1[[#This Row],[Auteur]])</f>
        <v>15</v>
      </c>
      <c r="I1238" s="3" t="str">
        <f t="shared" si="152"/>
        <v>Introduction to Programming Using Python</v>
      </c>
    </row>
    <row r="1239" spans="1:9" x14ac:dyDescent="0.45">
      <c r="A1239" t="s">
        <v>1581</v>
      </c>
      <c r="B1239" t="str">
        <f t="shared" si="146"/>
        <v>2015</v>
      </c>
      <c r="C1239" t="str">
        <f t="shared" si="147"/>
        <v>Acodemy</v>
      </c>
      <c r="D1239" t="str">
        <f t="shared" si="148"/>
        <v>?</v>
      </c>
      <c r="E1239" s="3" t="str">
        <f t="shared" si="149"/>
        <v/>
      </c>
      <c r="F1239" t="str">
        <f t="shared" si="150"/>
        <v>.pdf</v>
      </c>
      <c r="G1239">
        <f t="shared" si="151"/>
        <v>44</v>
      </c>
      <c r="H1239" s="3">
        <f>LEN(Table1[[#This Row],[Auteur]])</f>
        <v>1</v>
      </c>
      <c r="I1239" s="3" t="str">
        <f t="shared" si="152"/>
        <v>Learn Python in a Day</v>
      </c>
    </row>
    <row r="1240" spans="1:9" x14ac:dyDescent="0.45">
      <c r="A1240" t="s">
        <v>1582</v>
      </c>
      <c r="B1240" t="str">
        <f t="shared" si="146"/>
        <v>2009</v>
      </c>
      <c r="C1240" t="str">
        <f t="shared" si="147"/>
        <v>O'Reilly</v>
      </c>
      <c r="D1240" t="str">
        <f t="shared" si="148"/>
        <v>Mark Lutz</v>
      </c>
      <c r="E1240" s="3" t="str">
        <f t="shared" si="149"/>
        <v/>
      </c>
      <c r="F1240" t="str">
        <f t="shared" si="150"/>
        <v>.pdf</v>
      </c>
      <c r="G1240">
        <f t="shared" si="151"/>
        <v>59</v>
      </c>
      <c r="H1240" s="3">
        <f>LEN(Table1[[#This Row],[Auteur]])</f>
        <v>9</v>
      </c>
      <c r="I1240" s="3" t="str">
        <f t="shared" si="152"/>
        <v>Learning Python</v>
      </c>
    </row>
    <row r="1241" spans="1:9" x14ac:dyDescent="0.45">
      <c r="A1241" t="s">
        <v>1583</v>
      </c>
      <c r="B1241" t="str">
        <f t="shared" si="146"/>
        <v>2013</v>
      </c>
      <c r="C1241" t="str">
        <f t="shared" si="147"/>
        <v>O'Reilly</v>
      </c>
      <c r="D1241" t="str">
        <f t="shared" si="148"/>
        <v>Mark Lutz</v>
      </c>
      <c r="E1241" s="3" t="str">
        <f t="shared" si="149"/>
        <v/>
      </c>
      <c r="F1241" s="3" t="str">
        <f t="shared" si="150"/>
        <v>.pdf</v>
      </c>
      <c r="G1241">
        <f t="shared" si="151"/>
        <v>59</v>
      </c>
      <c r="H1241" s="3">
        <f>LEN(Table1[[#This Row],[Auteur]])</f>
        <v>9</v>
      </c>
      <c r="I1241" s="3" t="str">
        <f t="shared" si="152"/>
        <v>Learning Python</v>
      </c>
    </row>
    <row r="1242" spans="1:9" x14ac:dyDescent="0.45">
      <c r="A1242" t="s">
        <v>1584</v>
      </c>
      <c r="B1242" t="str">
        <f t="shared" si="146"/>
        <v>2016</v>
      </c>
      <c r="C1242" t="str">
        <f t="shared" si="147"/>
        <v>Packt</v>
      </c>
      <c r="D1242" t="str">
        <f t="shared" si="148"/>
        <v>Chetan Giridhar</v>
      </c>
      <c r="E1242" s="3" t="str">
        <f t="shared" si="149"/>
        <v/>
      </c>
      <c r="F1242" s="3" t="str">
        <f t="shared" si="150"/>
        <v>.epub</v>
      </c>
      <c r="G1242">
        <f t="shared" si="151"/>
        <v>79</v>
      </c>
      <c r="H1242" s="3">
        <f>LEN(Table1[[#This Row],[Auteur]])</f>
        <v>15</v>
      </c>
      <c r="I1242" s="3" t="str">
        <f t="shared" si="152"/>
        <v>Learning Python Design Patterns</v>
      </c>
    </row>
    <row r="1243" spans="1:9" x14ac:dyDescent="0.45">
      <c r="A1243" t="s">
        <v>1585</v>
      </c>
      <c r="B1243" t="str">
        <f t="shared" si="146"/>
        <v>2016</v>
      </c>
      <c r="C1243" t="str">
        <f t="shared" si="147"/>
        <v>Packt</v>
      </c>
      <c r="D1243" t="str">
        <f t="shared" si="148"/>
        <v>Chetan Giridhar</v>
      </c>
      <c r="E1243" s="3" t="str">
        <f t="shared" si="149"/>
        <v/>
      </c>
      <c r="F1243" s="3" t="str">
        <f t="shared" si="150"/>
        <v>.pdf</v>
      </c>
      <c r="G1243">
        <f t="shared" si="151"/>
        <v>78</v>
      </c>
      <c r="H1243" s="3">
        <f>LEN(Table1[[#This Row],[Auteur]])</f>
        <v>15</v>
      </c>
      <c r="I1243" s="3" t="str">
        <f t="shared" si="152"/>
        <v>Learning Python Design Patterns</v>
      </c>
    </row>
    <row r="1244" spans="1:9" x14ac:dyDescent="0.45">
      <c r="A1244" t="s">
        <v>1586</v>
      </c>
      <c r="B1244" t="str">
        <f t="shared" si="146"/>
        <v>2002</v>
      </c>
      <c r="C1244" t="str">
        <f t="shared" si="147"/>
        <v>Wiley</v>
      </c>
      <c r="D1244" t="str">
        <f t="shared" si="148"/>
        <v>Rashi Gupta</v>
      </c>
      <c r="E1244" s="3" t="str">
        <f t="shared" si="149"/>
        <v/>
      </c>
      <c r="F1244" t="str">
        <f t="shared" si="150"/>
        <v>.pdf</v>
      </c>
      <c r="G1244">
        <f t="shared" si="151"/>
        <v>55</v>
      </c>
      <c r="H1244" s="3">
        <f>LEN(Table1[[#This Row],[Auteur]])</f>
        <v>11</v>
      </c>
      <c r="I1244" s="3" t="str">
        <f t="shared" si="152"/>
        <v>Making Use of Python</v>
      </c>
    </row>
    <row r="1245" spans="1:9" x14ac:dyDescent="0.45">
      <c r="A1245" t="s">
        <v>1587</v>
      </c>
      <c r="B1245" t="str">
        <f t="shared" si="146"/>
        <v>2015</v>
      </c>
      <c r="C1245" t="str">
        <f t="shared" si="147"/>
        <v>Packt</v>
      </c>
      <c r="D1245" t="str">
        <f t="shared" si="148"/>
        <v>Kirthi Raman</v>
      </c>
      <c r="E1245" s="3" t="str">
        <f t="shared" si="149"/>
        <v/>
      </c>
      <c r="F1245" t="str">
        <f t="shared" si="150"/>
        <v>.pdf</v>
      </c>
      <c r="G1245">
        <f t="shared" si="151"/>
        <v>71</v>
      </c>
      <c r="H1245" s="3">
        <f>LEN(Table1[[#This Row],[Auteur]])</f>
        <v>12</v>
      </c>
      <c r="I1245" s="3" t="str">
        <f t="shared" si="152"/>
        <v>Mastering Python Data Visualization</v>
      </c>
    </row>
    <row r="1246" spans="1:9" x14ac:dyDescent="0.45">
      <c r="A1246" t="s">
        <v>1588</v>
      </c>
      <c r="B1246" t="str">
        <f t="shared" si="146"/>
        <v>2015</v>
      </c>
      <c r="C1246" t="str">
        <f t="shared" si="147"/>
        <v>Packt</v>
      </c>
      <c r="D1246" t="str">
        <f t="shared" si="148"/>
        <v>Sakis Kasampalis</v>
      </c>
      <c r="E1246" s="3" t="str">
        <f t="shared" si="149"/>
        <v/>
      </c>
      <c r="F1246" t="str">
        <f t="shared" si="150"/>
        <v>.epub</v>
      </c>
      <c r="G1246">
        <f t="shared" si="151"/>
        <v>73</v>
      </c>
      <c r="H1246" s="3">
        <f>LEN(Table1[[#This Row],[Auteur]])</f>
        <v>16</v>
      </c>
      <c r="I1246" s="3" t="str">
        <f t="shared" si="152"/>
        <v>Mastering Python Design Patterns</v>
      </c>
    </row>
    <row r="1247" spans="1:9" x14ac:dyDescent="0.45">
      <c r="A1247" t="s">
        <v>1589</v>
      </c>
      <c r="B1247" t="str">
        <f t="shared" si="146"/>
        <v>2015</v>
      </c>
      <c r="C1247" t="str">
        <f t="shared" si="147"/>
        <v>Packt</v>
      </c>
      <c r="D1247" t="str">
        <f t="shared" si="148"/>
        <v>Hemant Kumar Mehta</v>
      </c>
      <c r="E1247" s="3" t="str">
        <f t="shared" si="149"/>
        <v/>
      </c>
      <c r="F1247" t="str">
        <f t="shared" si="150"/>
        <v>.epub</v>
      </c>
      <c r="G1247">
        <f t="shared" si="151"/>
        <v>80</v>
      </c>
      <c r="H1247" s="3">
        <f>LEN(Table1[[#This Row],[Auteur]])</f>
        <v>18</v>
      </c>
      <c r="I1247" s="3" t="str">
        <f t="shared" si="152"/>
        <v>Mastering Python Scientific Computing</v>
      </c>
    </row>
    <row r="1248" spans="1:9" x14ac:dyDescent="0.45">
      <c r="A1248" t="s">
        <v>1590</v>
      </c>
      <c r="B1248" t="str">
        <f t="shared" si="146"/>
        <v>2010</v>
      </c>
      <c r="C1248" t="str">
        <f t="shared" si="147"/>
        <v>Cambridge</v>
      </c>
      <c r="D1248" t="str">
        <f t="shared" si="148"/>
        <v>Jaan Kiusalaas</v>
      </c>
      <c r="E1248" s="3" t="str">
        <f t="shared" si="149"/>
        <v/>
      </c>
      <c r="F1248" t="str">
        <f t="shared" si="150"/>
        <v>.pdf</v>
      </c>
      <c r="G1248">
        <f t="shared" si="151"/>
        <v>94</v>
      </c>
      <c r="H1248" s="3">
        <f>LEN(Table1[[#This Row],[Auteur]])</f>
        <v>14</v>
      </c>
      <c r="I1248" s="3" t="str">
        <f t="shared" si="152"/>
        <v>Numerical Methods in Engineering with Python</v>
      </c>
    </row>
    <row r="1249" spans="1:9" x14ac:dyDescent="0.45">
      <c r="A1249" t="s">
        <v>1591</v>
      </c>
      <c r="B1249" t="str">
        <f t="shared" si="146"/>
        <v>2011</v>
      </c>
      <c r="C1249" t="str">
        <f t="shared" si="147"/>
        <v>Apress</v>
      </c>
      <c r="D1249" t="str">
        <f t="shared" si="148"/>
        <v>Paul Ferrill</v>
      </c>
      <c r="E1249" s="3" t="str">
        <f t="shared" si="149"/>
        <v/>
      </c>
      <c r="F1249" t="str">
        <f t="shared" si="150"/>
        <v>.pdf</v>
      </c>
      <c r="G1249">
        <f t="shared" si="151"/>
        <v>65</v>
      </c>
      <c r="H1249" s="3">
        <f>LEN(Table1[[#This Row],[Auteur]])</f>
        <v>12</v>
      </c>
      <c r="I1249" s="3" t="str">
        <f t="shared" si="152"/>
        <v>Pro Android Python with SL4A</v>
      </c>
    </row>
    <row r="1250" spans="1:9" x14ac:dyDescent="0.45">
      <c r="A1250" t="s">
        <v>1592</v>
      </c>
      <c r="B1250" t="str">
        <f t="shared" si="146"/>
        <v>2010</v>
      </c>
      <c r="C1250" t="str">
        <f t="shared" si="147"/>
        <v>Apress</v>
      </c>
      <c r="D1250" t="str">
        <f t="shared" si="148"/>
        <v>Marty Alchin</v>
      </c>
      <c r="E1250" s="3" t="str">
        <f t="shared" si="149"/>
        <v/>
      </c>
      <c r="F1250" t="str">
        <f t="shared" si="150"/>
        <v>.pdf</v>
      </c>
      <c r="G1250">
        <f t="shared" si="151"/>
        <v>47</v>
      </c>
      <c r="H1250" s="3">
        <f>LEN(Table1[[#This Row],[Auteur]])</f>
        <v>12</v>
      </c>
      <c r="I1250" s="3" t="str">
        <f t="shared" si="152"/>
        <v>Pro Python</v>
      </c>
    </row>
    <row r="1251" spans="1:9" x14ac:dyDescent="0.45">
      <c r="A1251" t="s">
        <v>1593</v>
      </c>
      <c r="B1251" t="str">
        <f t="shared" si="146"/>
        <v>2010</v>
      </c>
      <c r="C1251" t="str">
        <f t="shared" si="147"/>
        <v>Apress</v>
      </c>
      <c r="D1251" t="str">
        <f t="shared" si="148"/>
        <v>Rytis Sileika</v>
      </c>
      <c r="E1251" s="3" t="str">
        <f t="shared" si="149"/>
        <v/>
      </c>
      <c r="F1251" t="str">
        <f t="shared" si="150"/>
        <v>.pdf</v>
      </c>
      <c r="G1251">
        <f t="shared" si="151"/>
        <v>70</v>
      </c>
      <c r="H1251" s="3">
        <f>LEN(Table1[[#This Row],[Auteur]])</f>
        <v>13</v>
      </c>
      <c r="I1251" s="3" t="str">
        <f t="shared" si="152"/>
        <v>Pro Python System Administration</v>
      </c>
    </row>
    <row r="1252" spans="1:9" x14ac:dyDescent="0.45">
      <c r="A1252" t="s">
        <v>1594</v>
      </c>
      <c r="B1252" t="str">
        <f t="shared" si="146"/>
        <v>2016</v>
      </c>
      <c r="C1252" t="str">
        <f t="shared" si="147"/>
        <v>Dunod</v>
      </c>
      <c r="D1252" t="str">
        <f t="shared" si="148"/>
        <v>Casamou-Boucau, Chauvin, Connan</v>
      </c>
      <c r="E1252" s="3" t="str">
        <f t="shared" si="149"/>
        <v/>
      </c>
      <c r="F1252" s="3" t="str">
        <f t="shared" si="150"/>
        <v>.pdf</v>
      </c>
      <c r="G1252">
        <f t="shared" si="151"/>
        <v>108</v>
      </c>
      <c r="H1252" s="3">
        <f>LEN(Table1[[#This Row],[Auteur]])</f>
        <v>31</v>
      </c>
      <c r="I1252" s="3" t="str">
        <f t="shared" si="152"/>
        <v>Programmation en Python pour les mathématiques</v>
      </c>
    </row>
    <row r="1253" spans="1:9" x14ac:dyDescent="0.45">
      <c r="A1253" t="s">
        <v>1595</v>
      </c>
      <c r="B1253" t="str">
        <f t="shared" si="146"/>
        <v>2009</v>
      </c>
      <c r="C1253" t="str">
        <f t="shared" si="147"/>
        <v>Eyrolles</v>
      </c>
      <c r="D1253" t="str">
        <f t="shared" si="148"/>
        <v>Tarek Ziadé</v>
      </c>
      <c r="E1253" s="3" t="str">
        <f t="shared" si="149"/>
        <v/>
      </c>
      <c r="F1253" t="str">
        <f t="shared" si="150"/>
        <v>.pdf</v>
      </c>
      <c r="G1253">
        <f t="shared" si="151"/>
        <v>93</v>
      </c>
      <c r="H1253" s="3">
        <f>LEN(Table1[[#This Row],[Auteur]])</f>
        <v>11</v>
      </c>
      <c r="I1253" s="3" t="str">
        <f t="shared" si="152"/>
        <v>Programmation Python, Conception et optimisation</v>
      </c>
    </row>
    <row r="1254" spans="1:9" x14ac:dyDescent="0.45">
      <c r="A1254" t="s">
        <v>1596</v>
      </c>
      <c r="B1254" t="str">
        <f t="shared" si="146"/>
        <v>2012</v>
      </c>
      <c r="C1254" t="str">
        <f t="shared" si="147"/>
        <v>O'Reilly</v>
      </c>
      <c r="D1254" t="str">
        <f t="shared" si="148"/>
        <v>Jan Erik Solem</v>
      </c>
      <c r="E1254" s="3" t="str">
        <f t="shared" si="149"/>
        <v/>
      </c>
      <c r="F1254" s="3" t="str">
        <f t="shared" si="150"/>
        <v>.pdf</v>
      </c>
      <c r="G1254" s="3">
        <f t="shared" si="151"/>
        <v>80</v>
      </c>
      <c r="H1254" s="3">
        <f>LEN(Table1[[#This Row],[Auteur]])</f>
        <v>14</v>
      </c>
      <c r="I1254" s="3" t="str">
        <f t="shared" si="152"/>
        <v>Programming Computer Vision with Python</v>
      </c>
    </row>
    <row r="1255" spans="1:9" x14ac:dyDescent="0.45">
      <c r="A1255" t="s">
        <v>1597</v>
      </c>
      <c r="B1255" t="str">
        <f t="shared" si="146"/>
        <v>2009</v>
      </c>
      <c r="C1255" t="str">
        <f t="shared" si="147"/>
        <v>Addison-Wesley</v>
      </c>
      <c r="D1255" t="str">
        <f t="shared" si="148"/>
        <v>Mark Summerfield</v>
      </c>
      <c r="E1255" s="3" t="str">
        <f t="shared" si="149"/>
        <v/>
      </c>
      <c r="F1255" s="3" t="str">
        <f t="shared" si="150"/>
        <v>.pdf</v>
      </c>
      <c r="G1255">
        <f t="shared" si="151"/>
        <v>80</v>
      </c>
      <c r="H1255" s="3">
        <f>LEN(Table1[[#This Row],[Auteur]])</f>
        <v>16</v>
      </c>
      <c r="I1255" s="3" t="str">
        <f t="shared" si="152"/>
        <v>Programming in Python 3</v>
      </c>
    </row>
    <row r="1256" spans="1:9" x14ac:dyDescent="0.45">
      <c r="A1256" t="s">
        <v>1598</v>
      </c>
      <c r="B1256" t="str">
        <f t="shared" si="146"/>
        <v>2010</v>
      </c>
      <c r="C1256" t="str">
        <f t="shared" si="147"/>
        <v>Addison-Wesley</v>
      </c>
      <c r="D1256" t="str">
        <f t="shared" si="148"/>
        <v>Mark Summerfield</v>
      </c>
      <c r="E1256" s="3" t="str">
        <f t="shared" si="149"/>
        <v/>
      </c>
      <c r="F1256" t="str">
        <f t="shared" si="150"/>
        <v>.pdf</v>
      </c>
      <c r="G1256">
        <f t="shared" si="151"/>
        <v>80</v>
      </c>
      <c r="H1256" s="3">
        <f>LEN(Table1[[#This Row],[Auteur]])</f>
        <v>16</v>
      </c>
      <c r="I1256" s="3" t="str">
        <f t="shared" si="152"/>
        <v>Programming in Python 3</v>
      </c>
    </row>
    <row r="1257" spans="1:9" x14ac:dyDescent="0.45">
      <c r="A1257" t="s">
        <v>1599</v>
      </c>
      <c r="B1257" t="str">
        <f t="shared" si="146"/>
        <v>2010</v>
      </c>
      <c r="C1257" t="str">
        <f t="shared" si="147"/>
        <v>O'Reilly</v>
      </c>
      <c r="D1257" t="str">
        <f t="shared" si="148"/>
        <v>Mark Lutz</v>
      </c>
      <c r="E1257" s="3" t="str">
        <f t="shared" si="149"/>
        <v/>
      </c>
      <c r="F1257" t="str">
        <f t="shared" si="150"/>
        <v>.pdf</v>
      </c>
      <c r="G1257">
        <f t="shared" si="151"/>
        <v>62</v>
      </c>
      <c r="H1257" s="3">
        <f>LEN(Table1[[#This Row],[Auteur]])</f>
        <v>9</v>
      </c>
      <c r="I1257" s="3" t="str">
        <f t="shared" si="152"/>
        <v>Programming Python</v>
      </c>
    </row>
    <row r="1258" spans="1:9" x14ac:dyDescent="0.45">
      <c r="A1258" t="s">
        <v>1600</v>
      </c>
      <c r="B1258" t="str">
        <f t="shared" si="146"/>
        <v>2002</v>
      </c>
      <c r="C1258" t="str">
        <f t="shared" si="147"/>
        <v>O'Reilly</v>
      </c>
      <c r="D1258" t="str">
        <f t="shared" si="148"/>
        <v>Christopher A. Jones</v>
      </c>
      <c r="E1258" s="3" t="str">
        <f t="shared" si="149"/>
        <v>Dump</v>
      </c>
      <c r="F1258" t="str">
        <f t="shared" si="150"/>
        <v>.pdf</v>
      </c>
      <c r="G1258">
        <f t="shared" si="151"/>
        <v>66</v>
      </c>
      <c r="H1258" s="3">
        <f>LEN(Table1[[#This Row],[Auteur]])</f>
        <v>20</v>
      </c>
      <c r="I1258" s="3" t="str">
        <f t="shared" si="152"/>
        <v>Python &amp; XML</v>
      </c>
    </row>
    <row r="1259" spans="1:9" x14ac:dyDescent="0.45">
      <c r="A1259" t="s">
        <v>1601</v>
      </c>
      <c r="B1259" t="str">
        <f t="shared" si="146"/>
        <v>2010</v>
      </c>
      <c r="C1259" t="str">
        <f t="shared" si="147"/>
        <v>Packt</v>
      </c>
      <c r="D1259" t="str">
        <f t="shared" si="148"/>
        <v>Mike Ohlson de Fine</v>
      </c>
      <c r="E1259" s="3" t="str">
        <f t="shared" si="149"/>
        <v/>
      </c>
      <c r="F1259" s="3" t="str">
        <f t="shared" si="150"/>
        <v>.pdf</v>
      </c>
      <c r="G1259">
        <f t="shared" si="151"/>
        <v>71</v>
      </c>
      <c r="H1259" s="3">
        <f>LEN(Table1[[#This Row],[Auteur]])</f>
        <v>19</v>
      </c>
      <c r="I1259" s="3" t="str">
        <f t="shared" si="152"/>
        <v>Python 2.6 Graphics Cookbook</v>
      </c>
    </row>
    <row r="1260" spans="1:9" x14ac:dyDescent="0.45">
      <c r="A1260" t="s">
        <v>1602</v>
      </c>
      <c r="B1260" t="str">
        <f t="shared" si="146"/>
        <v>2011</v>
      </c>
      <c r="C1260" t="str">
        <f t="shared" si="147"/>
        <v>Packt</v>
      </c>
      <c r="D1260" t="str">
        <f t="shared" si="148"/>
        <v>Michel Anders</v>
      </c>
      <c r="E1260" s="3" t="str">
        <f t="shared" si="149"/>
        <v/>
      </c>
      <c r="F1260" t="str">
        <f t="shared" si="150"/>
        <v>.pdf</v>
      </c>
      <c r="G1260">
        <f t="shared" si="151"/>
        <v>79</v>
      </c>
      <c r="H1260" s="3">
        <f>LEN(Table1[[#This Row],[Auteur]])</f>
        <v>13</v>
      </c>
      <c r="I1260" s="3" t="str">
        <f t="shared" si="152"/>
        <v>Python 3 Web Development, Beginner's Guide</v>
      </c>
    </row>
    <row r="1261" spans="1:9" x14ac:dyDescent="0.45">
      <c r="A1261" t="s">
        <v>1603</v>
      </c>
      <c r="B1261" t="str">
        <f t="shared" si="146"/>
        <v>2015</v>
      </c>
      <c r="C1261" t="str">
        <f t="shared" si="147"/>
        <v>Python Software Foundation</v>
      </c>
      <c r="D1261" t="str">
        <f t="shared" si="148"/>
        <v>Guido van Rossum</v>
      </c>
      <c r="E1261" s="3" t="str">
        <f t="shared" si="149"/>
        <v/>
      </c>
      <c r="F1261" t="str">
        <f t="shared" si="150"/>
        <v>.pdf</v>
      </c>
      <c r="G1261">
        <f t="shared" si="151"/>
        <v>91</v>
      </c>
      <c r="H1261" s="3">
        <f>LEN(Table1[[#This Row],[Auteur]])</f>
        <v>16</v>
      </c>
      <c r="I1261" s="3" t="str">
        <f t="shared" si="152"/>
        <v>Python 3.4.3 Library Reference</v>
      </c>
    </row>
    <row r="1262" spans="1:9" x14ac:dyDescent="0.45">
      <c r="A1262" t="s">
        <v>1604</v>
      </c>
      <c r="B1262" t="str">
        <f t="shared" si="146"/>
        <v>2016</v>
      </c>
      <c r="C1262" t="str">
        <f t="shared" si="147"/>
        <v>Python Software Foundation</v>
      </c>
      <c r="D1262" t="str">
        <f t="shared" si="148"/>
        <v>Guido van Rossum</v>
      </c>
      <c r="E1262" s="3" t="str">
        <f t="shared" si="149"/>
        <v/>
      </c>
      <c r="F1262" s="3" t="str">
        <f t="shared" si="150"/>
        <v>.pdf</v>
      </c>
      <c r="G1262">
        <f t="shared" si="151"/>
        <v>91</v>
      </c>
      <c r="H1262" s="3">
        <f>LEN(Table1[[#This Row],[Auteur]])</f>
        <v>16</v>
      </c>
      <c r="I1262" s="3" t="str">
        <f t="shared" si="152"/>
        <v>Python 3.5.2 Library Reference</v>
      </c>
    </row>
    <row r="1263" spans="1:9" x14ac:dyDescent="0.45">
      <c r="A1263" t="s">
        <v>1605</v>
      </c>
      <c r="B1263" t="str">
        <f t="shared" si="146"/>
        <v>2010</v>
      </c>
      <c r="C1263" t="str">
        <f t="shared" si="147"/>
        <v>Apress</v>
      </c>
      <c r="D1263" t="str">
        <f t="shared" si="148"/>
        <v>Magnus Lie Hetland</v>
      </c>
      <c r="E1263" s="3" t="str">
        <f t="shared" si="149"/>
        <v/>
      </c>
      <c r="F1263" t="str">
        <f t="shared" si="150"/>
        <v>.pdf</v>
      </c>
      <c r="G1263">
        <f t="shared" si="151"/>
        <v>111</v>
      </c>
      <c r="H1263" s="3">
        <f>LEN(Table1[[#This Row],[Auteur]])</f>
        <v>18</v>
      </c>
      <c r="I1263" s="3" t="str">
        <f t="shared" si="152"/>
        <v>Python Algorithms, Mastering Basic Algorithms in the Python Language</v>
      </c>
    </row>
    <row r="1264" spans="1:9" x14ac:dyDescent="0.45">
      <c r="A1264" t="s">
        <v>1606</v>
      </c>
      <c r="B1264" t="str">
        <f t="shared" si="146"/>
        <v>2006</v>
      </c>
      <c r="C1264" t="str">
        <f t="shared" si="147"/>
        <v>Sams</v>
      </c>
      <c r="D1264" t="str">
        <f t="shared" si="148"/>
        <v>Beazley</v>
      </c>
      <c r="E1264" s="3" t="str">
        <f t="shared" si="149"/>
        <v/>
      </c>
      <c r="F1264" t="str">
        <f t="shared" si="150"/>
        <v>.pdf</v>
      </c>
      <c r="G1264">
        <f t="shared" si="151"/>
        <v>64</v>
      </c>
      <c r="H1264" s="3">
        <f>LEN(Table1[[#This Row],[Auteur]])</f>
        <v>7</v>
      </c>
      <c r="I1264" s="3" t="str">
        <f t="shared" si="152"/>
        <v>Python Essential Reference</v>
      </c>
    </row>
    <row r="1265" spans="1:9" x14ac:dyDescent="0.45">
      <c r="A1265" t="s">
        <v>1607</v>
      </c>
      <c r="B1265" t="str">
        <f t="shared" si="146"/>
        <v>2013</v>
      </c>
      <c r="C1265" t="str">
        <f t="shared" si="147"/>
        <v>?</v>
      </c>
      <c r="D1265" t="str">
        <f t="shared" si="148"/>
        <v>Wes McKinney</v>
      </c>
      <c r="E1265" s="3" t="str">
        <f t="shared" si="149"/>
        <v/>
      </c>
      <c r="F1265" t="str">
        <f t="shared" si="150"/>
        <v>.pdf</v>
      </c>
      <c r="G1265">
        <f t="shared" si="151"/>
        <v>50</v>
      </c>
      <c r="H1265" s="3">
        <f>LEN(Table1[[#This Row],[Auteur]])</f>
        <v>12</v>
      </c>
      <c r="I1265" s="3" t="str">
        <f t="shared" si="152"/>
        <v>Python for Data Analysis</v>
      </c>
    </row>
    <row r="1266" spans="1:9" x14ac:dyDescent="0.45">
      <c r="A1266" t="s">
        <v>1608</v>
      </c>
      <c r="B1266" t="str">
        <f t="shared" si="146"/>
        <v>2010</v>
      </c>
      <c r="C1266" t="str">
        <f t="shared" si="147"/>
        <v>?</v>
      </c>
      <c r="D1266" t="str">
        <f t="shared" si="148"/>
        <v>Ninad Sathaye</v>
      </c>
      <c r="E1266" s="3" t="str">
        <f t="shared" si="149"/>
        <v/>
      </c>
      <c r="F1266" t="str">
        <f t="shared" si="150"/>
        <v>.pdf</v>
      </c>
      <c r="G1266">
        <f t="shared" si="151"/>
        <v>62</v>
      </c>
      <c r="H1266" s="3">
        <f>LEN(Table1[[#This Row],[Auteur]])</f>
        <v>13</v>
      </c>
      <c r="I1266" s="3" t="str">
        <f t="shared" si="152"/>
        <v>Python Multimedia, Beginner's Guide</v>
      </c>
    </row>
    <row r="1267" spans="1:9" x14ac:dyDescent="0.45">
      <c r="A1267" t="s">
        <v>1609</v>
      </c>
      <c r="B1267" t="str">
        <f t="shared" si="146"/>
        <v>2015</v>
      </c>
      <c r="C1267" t="str">
        <f t="shared" si="147"/>
        <v>Eyrolles</v>
      </c>
      <c r="D1267" t="str">
        <f t="shared" si="148"/>
        <v>Jason Briggs</v>
      </c>
      <c r="E1267" s="3" t="str">
        <f t="shared" si="149"/>
        <v/>
      </c>
      <c r="F1267" t="str">
        <f t="shared" si="150"/>
        <v>.pdf</v>
      </c>
      <c r="G1267">
        <f t="shared" si="151"/>
        <v>59</v>
      </c>
      <c r="H1267" s="3">
        <f>LEN(Table1[[#This Row],[Auteur]])</f>
        <v>12</v>
      </c>
      <c r="I1267" s="3" t="str">
        <f t="shared" si="152"/>
        <v>Python pour les kids</v>
      </c>
    </row>
    <row r="1268" spans="1:9" x14ac:dyDescent="0.45">
      <c r="A1268" t="s">
        <v>1610</v>
      </c>
      <c r="B1268" t="str">
        <f t="shared" si="146"/>
        <v>2011</v>
      </c>
      <c r="C1268" t="str">
        <f t="shared" si="147"/>
        <v>Springer</v>
      </c>
      <c r="D1268" t="str">
        <f t="shared" si="148"/>
        <v>Kent D. Lee</v>
      </c>
      <c r="E1268" s="3" t="str">
        <f t="shared" si="149"/>
        <v/>
      </c>
      <c r="F1268" s="3" t="str">
        <f t="shared" si="150"/>
        <v>.pdf</v>
      </c>
      <c r="G1268">
        <f t="shared" si="151"/>
        <v>69</v>
      </c>
      <c r="H1268" s="3">
        <f>LEN(Table1[[#This Row],[Auteur]])</f>
        <v>11</v>
      </c>
      <c r="I1268" s="3" t="str">
        <f t="shared" si="152"/>
        <v>Python Programming Fundamentals</v>
      </c>
    </row>
    <row r="1269" spans="1:9" x14ac:dyDescent="0.45">
      <c r="A1269" t="s">
        <v>1611</v>
      </c>
      <c r="B1269" t="str">
        <f t="shared" si="146"/>
        <v>2011</v>
      </c>
      <c r="C1269" t="str">
        <f t="shared" si="147"/>
        <v>Packt</v>
      </c>
      <c r="D1269" t="str">
        <f t="shared" si="148"/>
        <v>Greg L. Turnquist</v>
      </c>
      <c r="E1269" s="3" t="str">
        <f t="shared" si="149"/>
        <v/>
      </c>
      <c r="F1269" s="3" t="str">
        <f t="shared" si="150"/>
        <v>.pdf</v>
      </c>
      <c r="G1269">
        <f t="shared" si="151"/>
        <v>64</v>
      </c>
      <c r="H1269" s="3">
        <f>LEN(Table1[[#This Row],[Auteur]])</f>
        <v>17</v>
      </c>
      <c r="I1269" s="3" t="str">
        <f t="shared" si="152"/>
        <v>Python Testing Cookbook</v>
      </c>
    </row>
    <row r="1270" spans="1:9" x14ac:dyDescent="0.45">
      <c r="A1270" t="s">
        <v>1612</v>
      </c>
      <c r="B1270" t="str">
        <f t="shared" si="146"/>
        <v>2010</v>
      </c>
      <c r="C1270" t="str">
        <f t="shared" si="147"/>
        <v>Packt</v>
      </c>
      <c r="D1270" t="str">
        <f t="shared" si="148"/>
        <v>Greg Lee Turnquist</v>
      </c>
      <c r="E1270" s="3" t="str">
        <f t="shared" si="149"/>
        <v/>
      </c>
      <c r="F1270" t="str">
        <f t="shared" si="150"/>
        <v>.pdf</v>
      </c>
      <c r="G1270">
        <f t="shared" si="151"/>
        <v>59</v>
      </c>
      <c r="H1270" s="3">
        <f>LEN(Table1[[#This Row],[Auteur]])</f>
        <v>18</v>
      </c>
      <c r="I1270" s="3" t="str">
        <f t="shared" si="152"/>
        <v>Spring Python 1.1</v>
      </c>
    </row>
    <row r="1271" spans="1:9" x14ac:dyDescent="0.45">
      <c r="A1271" t="s">
        <v>1613</v>
      </c>
      <c r="B1271" t="str">
        <f t="shared" si="146"/>
        <v>2012</v>
      </c>
      <c r="C1271" t="str">
        <f t="shared" si="147"/>
        <v>Addison-Wesley</v>
      </c>
      <c r="D1271" t="str">
        <f t="shared" si="148"/>
        <v>Tony Gaddis</v>
      </c>
      <c r="E1271" s="3" t="str">
        <f t="shared" si="149"/>
        <v/>
      </c>
      <c r="F1271" s="3" t="str">
        <f t="shared" si="150"/>
        <v>.pdf</v>
      </c>
      <c r="G1271">
        <f t="shared" si="151"/>
        <v>76</v>
      </c>
      <c r="H1271" s="3">
        <f>LEN(Table1[[#This Row],[Auteur]])</f>
        <v>11</v>
      </c>
      <c r="I1271" s="3" t="str">
        <f t="shared" si="152"/>
        <v>Starting Out with Python</v>
      </c>
    </row>
    <row r="1272" spans="1:9" x14ac:dyDescent="0.45">
      <c r="A1272" t="s">
        <v>1614</v>
      </c>
      <c r="B1272" t="str">
        <f t="shared" si="146"/>
        <v>2011</v>
      </c>
      <c r="C1272" t="str">
        <f t="shared" si="147"/>
        <v>Addison-Wesley</v>
      </c>
      <c r="D1272" t="str">
        <f t="shared" si="148"/>
        <v>Doug Hellmann</v>
      </c>
      <c r="E1272" s="3" t="str">
        <f t="shared" si="149"/>
        <v/>
      </c>
      <c r="F1272" t="str">
        <f t="shared" si="150"/>
        <v>.pdf</v>
      </c>
      <c r="G1272">
        <f t="shared" si="151"/>
        <v>84</v>
      </c>
      <c r="H1272" s="3">
        <f>LEN(Table1[[#This Row],[Auteur]])</f>
        <v>13</v>
      </c>
      <c r="I1272" s="3" t="str">
        <f t="shared" si="152"/>
        <v>The Python Standard Library by Example</v>
      </c>
    </row>
    <row r="1273" spans="1:9" x14ac:dyDescent="0.45">
      <c r="A1273" t="s">
        <v>1615</v>
      </c>
      <c r="B1273" t="str">
        <f t="shared" si="146"/>
        <v>2010</v>
      </c>
      <c r="C1273" t="str">
        <f t="shared" si="147"/>
        <v>Manning</v>
      </c>
      <c r="D1273" t="str">
        <f t="shared" si="148"/>
        <v>Vernon L. Ceder</v>
      </c>
      <c r="E1273" s="3" t="str">
        <f t="shared" si="149"/>
        <v/>
      </c>
      <c r="F1273" s="3" t="str">
        <f t="shared" si="150"/>
        <v>.pdf</v>
      </c>
      <c r="G1273">
        <f t="shared" si="151"/>
        <v>78</v>
      </c>
      <c r="H1273" s="3">
        <f>LEN(Table1[[#This Row],[Auteur]])</f>
        <v>15</v>
      </c>
      <c r="I1273" s="3" t="str">
        <f t="shared" si="152"/>
        <v>The Quick Python Book 2nd Ed.</v>
      </c>
    </row>
    <row r="1274" spans="1:9" x14ac:dyDescent="0.45">
      <c r="A1274" t="s">
        <v>1616</v>
      </c>
      <c r="B1274" t="str">
        <f t="shared" si="146"/>
        <v>2012</v>
      </c>
      <c r="C1274" t="str">
        <f t="shared" si="147"/>
        <v>O'Reilly</v>
      </c>
      <c r="D1274" t="str">
        <f t="shared" si="148"/>
        <v>Allen B. Downey</v>
      </c>
      <c r="E1274" s="3" t="str">
        <f t="shared" si="149"/>
        <v/>
      </c>
      <c r="F1274" t="str">
        <f t="shared" si="150"/>
        <v>.pdf</v>
      </c>
      <c r="G1274">
        <f t="shared" si="151"/>
        <v>54</v>
      </c>
      <c r="H1274" s="3">
        <f>LEN(Table1[[#This Row],[Auteur]])</f>
        <v>15</v>
      </c>
      <c r="I1274" s="3" t="str">
        <f t="shared" si="152"/>
        <v>Think Python</v>
      </c>
    </row>
    <row r="1275" spans="1:9" x14ac:dyDescent="0.45">
      <c r="A1275" t="s">
        <v>1617</v>
      </c>
      <c r="B1275" t="str">
        <f t="shared" si="146"/>
        <v>2008</v>
      </c>
      <c r="C1275" t="str">
        <f t="shared" si="147"/>
        <v>Green Tea</v>
      </c>
      <c r="D1275" t="str">
        <f t="shared" si="148"/>
        <v>Downey</v>
      </c>
      <c r="E1275" s="3" t="str">
        <f t="shared" si="149"/>
        <v/>
      </c>
      <c r="F1275" t="str">
        <f t="shared" si="150"/>
        <v>.pdf</v>
      </c>
      <c r="G1275">
        <f t="shared" si="151"/>
        <v>94</v>
      </c>
      <c r="H1275" s="3">
        <f>LEN(Table1[[#This Row],[Auteur]])</f>
        <v>6</v>
      </c>
      <c r="I1275" s="3" t="str">
        <f t="shared" si="152"/>
        <v>Think Python, How to Think Like a Computer Scientist</v>
      </c>
    </row>
    <row r="1276" spans="1:9" x14ac:dyDescent="0.45">
      <c r="A1276" t="s">
        <v>1618</v>
      </c>
      <c r="B1276" t="str">
        <f t="shared" si="146"/>
        <v>2010</v>
      </c>
      <c r="C1276" t="str">
        <f t="shared" si="147"/>
        <v>?</v>
      </c>
      <c r="D1276" t="str">
        <f t="shared" si="148"/>
        <v>John W. Shipman</v>
      </c>
      <c r="E1276" s="3" t="str">
        <f t="shared" si="149"/>
        <v/>
      </c>
      <c r="F1276" t="str">
        <f t="shared" si="150"/>
        <v>.pdf</v>
      </c>
      <c r="G1276">
        <f t="shared" si="151"/>
        <v>68</v>
      </c>
      <c r="H1276" s="3">
        <f>LEN(Table1[[#This Row],[Auteur]])</f>
        <v>15</v>
      </c>
      <c r="I1276" s="3" t="str">
        <f t="shared" si="152"/>
        <v>Tkinter 8.4 reference, A GUI for Python</v>
      </c>
    </row>
    <row r="1277" spans="1:9" x14ac:dyDescent="0.45">
      <c r="A1277" t="s">
        <v>1619</v>
      </c>
      <c r="B1277" t="str">
        <f t="shared" si="146"/>
        <v>2013</v>
      </c>
      <c r="C1277" t="str">
        <f t="shared" si="147"/>
        <v>Syngress</v>
      </c>
      <c r="D1277" t="str">
        <f t="shared" si="148"/>
        <v>TJ. O'Connor</v>
      </c>
      <c r="E1277" s="3" t="str">
        <f t="shared" si="149"/>
        <v/>
      </c>
      <c r="F1277" s="3" t="str">
        <f t="shared" si="150"/>
        <v>.pdf</v>
      </c>
      <c r="G1277">
        <f t="shared" si="151"/>
        <v>140</v>
      </c>
      <c r="H1277" s="3">
        <f>LEN(Table1[[#This Row],[Auteur]])</f>
        <v>12</v>
      </c>
      <c r="I1277" s="3" t="str">
        <f t="shared" si="152"/>
        <v>Violent Python, A Cookbook for Hackers, Forensic Analysts, Penetration Testers and Security Engineers</v>
      </c>
    </row>
    <row r="1278" spans="1:9" x14ac:dyDescent="0.45">
      <c r="A1278" t="s">
        <v>1620</v>
      </c>
      <c r="B1278" t="str">
        <f t="shared" si="146"/>
        <v>2010</v>
      </c>
      <c r="C1278" t="str">
        <f t="shared" si="147"/>
        <v>Packt</v>
      </c>
      <c r="D1278" t="str">
        <f t="shared" si="148"/>
        <v>Cody Precord</v>
      </c>
      <c r="E1278" s="3" t="str">
        <f t="shared" si="149"/>
        <v/>
      </c>
      <c r="F1278" t="str">
        <f t="shared" si="150"/>
        <v>.pdf</v>
      </c>
      <c r="G1278">
        <f t="shared" si="151"/>
        <v>81</v>
      </c>
      <c r="H1278" s="3">
        <f>LEN(Table1[[#This Row],[Auteur]])</f>
        <v>12</v>
      </c>
      <c r="I1278" s="3" t="str">
        <f t="shared" si="152"/>
        <v>wxPython 2.8 Application Development Cookbook</v>
      </c>
    </row>
    <row r="1279" spans="1:9" x14ac:dyDescent="0.45">
      <c r="A1279" t="s">
        <v>1621</v>
      </c>
      <c r="B1279" t="str">
        <f t="shared" si="146"/>
        <v>2015</v>
      </c>
      <c r="C1279" t="str">
        <f t="shared" si="147"/>
        <v>Apress</v>
      </c>
      <c r="D1279" t="str">
        <f t="shared" si="148"/>
        <v>Wiley, Pace</v>
      </c>
      <c r="E1279" s="3" t="str">
        <f t="shared" si="149"/>
        <v/>
      </c>
      <c r="F1279" t="str">
        <f t="shared" si="150"/>
        <v>.pdf</v>
      </c>
      <c r="G1279">
        <f t="shared" si="151"/>
        <v>99</v>
      </c>
      <c r="H1279" s="3">
        <f>LEN(Table1[[#This Row],[Auteur]])</f>
        <v>11</v>
      </c>
      <c r="I1279" s="3" t="str">
        <f t="shared" si="152"/>
        <v>Beginning R, An Introduction to Statistical Programming</v>
      </c>
    </row>
    <row r="1280" spans="1:9" x14ac:dyDescent="0.45">
      <c r="A1280" t="s">
        <v>1622</v>
      </c>
      <c r="B1280" t="str">
        <f t="shared" si="146"/>
        <v>2015</v>
      </c>
      <c r="C1280" t="str">
        <f t="shared" si="147"/>
        <v>Wiley</v>
      </c>
      <c r="D1280" t="str">
        <f t="shared" si="148"/>
        <v>Paweł Cichosz</v>
      </c>
      <c r="E1280" s="3" t="str">
        <f t="shared" si="149"/>
        <v/>
      </c>
      <c r="F1280" t="str">
        <f t="shared" si="150"/>
        <v>.pdf</v>
      </c>
      <c r="G1280">
        <f t="shared" si="151"/>
        <v>77</v>
      </c>
      <c r="H1280" s="3">
        <f>LEN(Table1[[#This Row],[Auteur]])</f>
        <v>13</v>
      </c>
      <c r="I1280" s="3" t="str">
        <f t="shared" si="152"/>
        <v>Data Mining Algorithms Explained Using R</v>
      </c>
    </row>
    <row r="1281" spans="1:9" x14ac:dyDescent="0.45">
      <c r="A1281" t="s">
        <v>1623</v>
      </c>
      <c r="B1281" t="str">
        <f t="shared" si="146"/>
        <v>2014</v>
      </c>
      <c r="C1281" t="str">
        <f t="shared" si="147"/>
        <v>CRC Press</v>
      </c>
      <c r="D1281" t="str">
        <f t="shared" si="148"/>
        <v>Claus Weihs, Olaf Mersmann, Uwe Ligges</v>
      </c>
      <c r="E1281" s="3" t="str">
        <f t="shared" si="149"/>
        <v/>
      </c>
      <c r="F1281" t="str">
        <f t="shared" si="150"/>
        <v>.pdf</v>
      </c>
      <c r="G1281">
        <f t="shared" si="151"/>
        <v>103</v>
      </c>
      <c r="H1281" s="3">
        <f>LEN(Table1[[#This Row],[Auteur]])</f>
        <v>38</v>
      </c>
      <c r="I1281" s="3" t="str">
        <f t="shared" si="152"/>
        <v>Foundations of Statistical Algorithms</v>
      </c>
    </row>
    <row r="1282" spans="1:9" x14ac:dyDescent="0.45">
      <c r="A1282" t="s">
        <v>1624</v>
      </c>
      <c r="B1282" t="str">
        <f t="shared" ref="B1282:B1345" si="153">DatePub(A1282)</f>
        <v>2015</v>
      </c>
      <c r="C1282" t="str">
        <f t="shared" ref="C1282:C1345" si="154">Editeur(A1282)</f>
        <v>Acodemy</v>
      </c>
      <c r="D1282" t="str">
        <f t="shared" ref="D1282:D1345" si="155">Auteur(A1282)</f>
        <v>?</v>
      </c>
      <c r="E1282" s="3" t="str">
        <f t="shared" ref="E1282:E1345" si="156">ExtraInfo(A1282)</f>
        <v/>
      </c>
      <c r="F1282" t="str">
        <f t="shared" ref="F1282:F1345" si="157">Extension(A1282)</f>
        <v>.pdf</v>
      </c>
      <c r="G1282">
        <f t="shared" ref="G1282:G1345" si="158">LenFileName(A1282)</f>
        <v>51</v>
      </c>
      <c r="H1282" s="3">
        <f>LEN(Table1[[#This Row],[Auteur]])</f>
        <v>1</v>
      </c>
      <c r="I1282" s="3" t="str">
        <f t="shared" ref="I1282:I1345" si="159">Title(A1282)</f>
        <v>Learn R Programming in a Day</v>
      </c>
    </row>
    <row r="1283" spans="1:9" x14ac:dyDescent="0.45">
      <c r="A1283" t="s">
        <v>1625</v>
      </c>
      <c r="B1283" t="str">
        <f t="shared" si="153"/>
        <v>2012</v>
      </c>
      <c r="C1283" t="str">
        <f t="shared" si="154"/>
        <v>Wiley</v>
      </c>
      <c r="D1283" t="str">
        <f t="shared" si="155"/>
        <v>Andrie de Vries, Joris Meys</v>
      </c>
      <c r="E1283" s="3" t="str">
        <f t="shared" si="156"/>
        <v/>
      </c>
      <c r="F1283" t="str">
        <f t="shared" si="157"/>
        <v>.pdf</v>
      </c>
      <c r="G1283">
        <f t="shared" si="158"/>
        <v>64</v>
      </c>
      <c r="H1283" s="3">
        <f>LEN(Table1[[#This Row],[Auteur]])</f>
        <v>27</v>
      </c>
      <c r="I1283" s="3" t="str">
        <f t="shared" si="159"/>
        <v>R for Dummies</v>
      </c>
    </row>
    <row r="1284" spans="1:9" x14ac:dyDescent="0.45">
      <c r="A1284" t="s">
        <v>1626</v>
      </c>
      <c r="B1284" t="str">
        <f t="shared" si="153"/>
        <v>2011</v>
      </c>
      <c r="C1284" t="str">
        <f t="shared" si="154"/>
        <v>Springer</v>
      </c>
      <c r="D1284" t="str">
        <f t="shared" si="155"/>
        <v>Pierre-André Cornillon, Eric Matzner-Løber</v>
      </c>
      <c r="E1284" s="3" t="str">
        <f t="shared" si="156"/>
        <v/>
      </c>
      <c r="F1284" s="3" t="str">
        <f t="shared" si="157"/>
        <v>.pdf</v>
      </c>
      <c r="G1284" s="3">
        <f t="shared" si="158"/>
        <v>86</v>
      </c>
      <c r="H1284" s="3">
        <f>LEN(Table1[[#This Row],[Auteur]])</f>
        <v>42</v>
      </c>
      <c r="I1284" s="3" t="str">
        <f t="shared" si="159"/>
        <v>Régression avec R</v>
      </c>
    </row>
    <row r="1285" spans="1:9" x14ac:dyDescent="0.45">
      <c r="A1285" t="s">
        <v>1627</v>
      </c>
      <c r="B1285" t="str">
        <f t="shared" si="153"/>
        <v>?</v>
      </c>
      <c r="C1285" t="str">
        <f t="shared" si="154"/>
        <v>?</v>
      </c>
      <c r="D1285" t="str">
        <f t="shared" si="155"/>
        <v>?</v>
      </c>
      <c r="E1285" s="3" t="str">
        <f t="shared" si="156"/>
        <v/>
      </c>
      <c r="F1285" t="str">
        <f t="shared" si="157"/>
        <v>.pdf</v>
      </c>
      <c r="G1285">
        <f t="shared" si="158"/>
        <v>43</v>
      </c>
      <c r="H1285" s="3">
        <f>LEN(Table1[[#This Row],[Auteur]])</f>
        <v>1</v>
      </c>
      <c r="I1285" s="3" t="str">
        <f t="shared" si="159"/>
        <v>Régression avec R, Correction exercices</v>
      </c>
    </row>
    <row r="1286" spans="1:9" x14ac:dyDescent="0.45">
      <c r="A1286" t="s">
        <v>1628</v>
      </c>
      <c r="B1286" t="str">
        <f t="shared" si="153"/>
        <v>2007</v>
      </c>
      <c r="C1286" t="str">
        <f t="shared" si="154"/>
        <v>The Pragmatic Programmers</v>
      </c>
      <c r="D1286" t="str">
        <f t="shared" si="155"/>
        <v>Dave Thomas, David Heinemeier Hansson</v>
      </c>
      <c r="E1286" s="3" t="str">
        <f t="shared" si="156"/>
        <v/>
      </c>
      <c r="F1286" t="str">
        <f t="shared" si="157"/>
        <v>.pdf</v>
      </c>
      <c r="G1286">
        <f t="shared" si="158"/>
        <v>121</v>
      </c>
      <c r="H1286" s="3">
        <f>LEN(Table1[[#This Row],[Auteur]])</f>
        <v>37</v>
      </c>
      <c r="I1286" s="3" t="str">
        <f t="shared" si="159"/>
        <v>Agile Web Development with Rails</v>
      </c>
    </row>
    <row r="1287" spans="1:9" x14ac:dyDescent="0.45">
      <c r="A1287" t="s">
        <v>1629</v>
      </c>
      <c r="B1287" t="str">
        <f t="shared" si="153"/>
        <v>2010</v>
      </c>
      <c r="C1287" t="str">
        <f t="shared" si="154"/>
        <v>Apress</v>
      </c>
      <c r="D1287" t="str">
        <f t="shared" si="155"/>
        <v>Cloves Carneiro Jr, Rida Al Barazi</v>
      </c>
      <c r="E1287" s="3" t="str">
        <f t="shared" si="156"/>
        <v/>
      </c>
      <c r="F1287" t="str">
        <f t="shared" si="157"/>
        <v>.pdf</v>
      </c>
      <c r="G1287">
        <f t="shared" si="158"/>
        <v>76</v>
      </c>
      <c r="H1287" s="3">
        <f>LEN(Table1[[#This Row],[Auteur]])</f>
        <v>34</v>
      </c>
      <c r="I1287" s="3" t="str">
        <f t="shared" si="159"/>
        <v>Beginning Rails 3</v>
      </c>
    </row>
    <row r="1288" spans="1:9" x14ac:dyDescent="0.45">
      <c r="A1288" t="s">
        <v>1630</v>
      </c>
      <c r="B1288" t="str">
        <f t="shared" si="153"/>
        <v>2006</v>
      </c>
      <c r="C1288" t="str">
        <f t="shared" si="154"/>
        <v>The Pragmatic Programmers</v>
      </c>
      <c r="D1288" t="str">
        <f t="shared" si="155"/>
        <v>James Edward Gray II</v>
      </c>
      <c r="E1288" s="3" t="str">
        <f t="shared" si="156"/>
        <v/>
      </c>
      <c r="F1288" s="3" t="str">
        <f t="shared" si="157"/>
        <v>.pdf</v>
      </c>
      <c r="G1288">
        <f t="shared" si="158"/>
        <v>81</v>
      </c>
      <c r="H1288" s="3">
        <f>LEN(Table1[[#This Row],[Auteur]])</f>
        <v>20</v>
      </c>
      <c r="I1288" s="3" t="str">
        <f t="shared" si="159"/>
        <v>Best of Ruby Quiz</v>
      </c>
    </row>
    <row r="1289" spans="1:9" x14ac:dyDescent="0.45">
      <c r="A1289" t="s">
        <v>1631</v>
      </c>
      <c r="B1289" t="str">
        <f t="shared" si="153"/>
        <v>2010</v>
      </c>
      <c r="C1289" t="str">
        <f t="shared" si="154"/>
        <v>Packt</v>
      </c>
      <c r="D1289" t="str">
        <f t="shared" si="155"/>
        <v>Chang Sau Sheong</v>
      </c>
      <c r="E1289" s="3" t="str">
        <f t="shared" si="156"/>
        <v/>
      </c>
      <c r="F1289" s="3" t="str">
        <f t="shared" si="157"/>
        <v>.pdf</v>
      </c>
      <c r="G1289">
        <f t="shared" si="158"/>
        <v>79</v>
      </c>
      <c r="H1289" s="3">
        <f>LEN(Table1[[#This Row],[Auteur]])</f>
        <v>16</v>
      </c>
      <c r="I1289" s="3" t="str">
        <f t="shared" si="159"/>
        <v>Cloning Internet Applications with Ruby</v>
      </c>
    </row>
    <row r="1290" spans="1:9" x14ac:dyDescent="0.45">
      <c r="A1290" t="s">
        <v>1632</v>
      </c>
      <c r="B1290" t="str">
        <f t="shared" si="153"/>
        <v>2011</v>
      </c>
      <c r="C1290" t="str">
        <f t="shared" si="154"/>
        <v>The Pragmatic Programmers</v>
      </c>
      <c r="D1290" t="str">
        <f t="shared" si="155"/>
        <v>Ben Rady, Rod Coffin</v>
      </c>
      <c r="E1290" s="3" t="str">
        <f t="shared" si="156"/>
        <v/>
      </c>
      <c r="F1290" s="3" t="str">
        <f t="shared" si="157"/>
        <v>.pdf</v>
      </c>
      <c r="G1290" s="3">
        <f t="shared" si="158"/>
        <v>113</v>
      </c>
      <c r="H1290" s="3">
        <f>LEN(Table1[[#This Row],[Auteur]])</f>
        <v>20</v>
      </c>
      <c r="I1290" s="3" t="str">
        <f t="shared" si="159"/>
        <v>Continuous Testing with Ruby Rails and JavaScript</v>
      </c>
    </row>
    <row r="1291" spans="1:9" x14ac:dyDescent="0.45">
      <c r="A1291" t="s">
        <v>1633</v>
      </c>
      <c r="B1291" t="str">
        <f t="shared" si="153"/>
        <v>2008</v>
      </c>
      <c r="C1291" t="str">
        <f t="shared" si="154"/>
        <v>The Pragmatic Programmers</v>
      </c>
      <c r="D1291" t="str">
        <f t="shared" si="155"/>
        <v>Ezra Zygmuntowicz, Bruce A. Tate, Clinton Begin</v>
      </c>
      <c r="E1291" s="3" t="str">
        <f t="shared" si="156"/>
        <v/>
      </c>
      <c r="F1291" s="3" t="str">
        <f t="shared" si="157"/>
        <v>.pdf</v>
      </c>
      <c r="G1291" s="3">
        <f t="shared" si="158"/>
        <v>119</v>
      </c>
      <c r="H1291" s="3">
        <f>LEN(Table1[[#This Row],[Auteur]])</f>
        <v>47</v>
      </c>
      <c r="I1291" s="3" t="str">
        <f t="shared" si="159"/>
        <v>Deploying Rails Applications</v>
      </c>
    </row>
    <row r="1292" spans="1:9" x14ac:dyDescent="0.45">
      <c r="A1292" t="s">
        <v>1634</v>
      </c>
      <c r="B1292" t="str">
        <f t="shared" si="153"/>
        <v>2008</v>
      </c>
      <c r="C1292" t="str">
        <f t="shared" si="154"/>
        <v>Addison-Wesley</v>
      </c>
      <c r="D1292" t="str">
        <f t="shared" si="155"/>
        <v>Russ Olsen</v>
      </c>
      <c r="E1292" s="3" t="str">
        <f t="shared" si="156"/>
        <v/>
      </c>
      <c r="F1292" s="3" t="str">
        <f t="shared" si="157"/>
        <v>.pdf</v>
      </c>
      <c r="G1292" s="3">
        <f t="shared" si="158"/>
        <v>66</v>
      </c>
      <c r="H1292" s="3">
        <f>LEN(Table1[[#This Row],[Auteur]])</f>
        <v>10</v>
      </c>
      <c r="I1292" s="3" t="str">
        <f t="shared" si="159"/>
        <v>Design Patterns in Ruby</v>
      </c>
    </row>
    <row r="1293" spans="1:9" x14ac:dyDescent="0.45">
      <c r="A1293" t="s">
        <v>1635</v>
      </c>
      <c r="B1293" t="str">
        <f t="shared" si="153"/>
        <v>2011</v>
      </c>
      <c r="C1293" t="str">
        <f t="shared" si="154"/>
        <v>Addison-Wesley</v>
      </c>
      <c r="D1293" t="str">
        <f t="shared" si="155"/>
        <v>Russ Olsen</v>
      </c>
      <c r="E1293" s="3" t="str">
        <f t="shared" si="156"/>
        <v/>
      </c>
      <c r="F1293" t="str">
        <f t="shared" si="157"/>
        <v>.pdf</v>
      </c>
      <c r="G1293">
        <f t="shared" si="158"/>
        <v>56</v>
      </c>
      <c r="H1293" s="3">
        <f>LEN(Table1[[#This Row],[Auteur]])</f>
        <v>10</v>
      </c>
      <c r="I1293" s="3" t="str">
        <f t="shared" si="159"/>
        <v>Eloquent Ruby</v>
      </c>
    </row>
    <row r="1294" spans="1:9" x14ac:dyDescent="0.45">
      <c r="A1294" t="s">
        <v>1636</v>
      </c>
      <c r="B1294" t="str">
        <f t="shared" si="153"/>
        <v>2006</v>
      </c>
      <c r="C1294" t="str">
        <f t="shared" si="154"/>
        <v>The Pragmatic Programmers</v>
      </c>
      <c r="D1294" t="str">
        <f t="shared" si="155"/>
        <v>Maik Schmidt</v>
      </c>
      <c r="E1294" s="3" t="str">
        <f t="shared" si="156"/>
        <v/>
      </c>
      <c r="F1294" t="str">
        <f t="shared" si="157"/>
        <v>.pdf</v>
      </c>
      <c r="G1294">
        <f t="shared" si="158"/>
        <v>88</v>
      </c>
      <c r="H1294" s="3">
        <f>LEN(Table1[[#This Row],[Auteur]])</f>
        <v>12</v>
      </c>
      <c r="I1294" s="3" t="str">
        <f t="shared" si="159"/>
        <v>Enterprise Integration with Ruby</v>
      </c>
    </row>
    <row r="1295" spans="1:9" x14ac:dyDescent="0.45">
      <c r="A1295" t="s">
        <v>1637</v>
      </c>
      <c r="B1295" t="str">
        <f t="shared" si="153"/>
        <v>2008</v>
      </c>
      <c r="C1295" t="str">
        <f t="shared" si="154"/>
        <v>The Pragmatic Programmers</v>
      </c>
      <c r="D1295" t="str">
        <f t="shared" si="155"/>
        <v>Maik Schmidt</v>
      </c>
      <c r="E1295" s="3" t="str">
        <f t="shared" si="156"/>
        <v/>
      </c>
      <c r="F1295" s="3" t="str">
        <f t="shared" si="157"/>
        <v>.pdf</v>
      </c>
      <c r="G1295">
        <f t="shared" si="158"/>
        <v>94</v>
      </c>
      <c r="H1295" s="3">
        <f>LEN(Table1[[#This Row],[Auteur]])</f>
        <v>12</v>
      </c>
      <c r="I1295" s="3" t="str">
        <f t="shared" si="159"/>
        <v>Enterprise Recipes with Ruby and Rails</v>
      </c>
    </row>
    <row r="1296" spans="1:9" x14ac:dyDescent="0.45">
      <c r="A1296" t="s">
        <v>1638</v>
      </c>
      <c r="B1296" t="str">
        <f t="shared" si="153"/>
        <v>2006</v>
      </c>
      <c r="C1296" t="str">
        <f t="shared" si="154"/>
        <v>The Pragmatic Programmers</v>
      </c>
      <c r="D1296" t="str">
        <f t="shared" si="155"/>
        <v>Brian Marick</v>
      </c>
      <c r="E1296" s="3" t="str">
        <f t="shared" si="156"/>
        <v/>
      </c>
      <c r="F1296" t="str">
        <f t="shared" si="157"/>
        <v>.pdf</v>
      </c>
      <c r="G1296">
        <f t="shared" si="158"/>
        <v>84</v>
      </c>
      <c r="H1296" s="3">
        <f>LEN(Table1[[#This Row],[Auteur]])</f>
        <v>12</v>
      </c>
      <c r="I1296" s="3" t="str">
        <f t="shared" si="159"/>
        <v>Everyday Scripting with Ruby</v>
      </c>
    </row>
    <row r="1297" spans="1:9" x14ac:dyDescent="0.45">
      <c r="A1297" t="s">
        <v>1639</v>
      </c>
      <c r="B1297" t="str">
        <f t="shared" si="153"/>
        <v>2006</v>
      </c>
      <c r="C1297" t="str">
        <f t="shared" si="154"/>
        <v>The Pragmatic Programmers</v>
      </c>
      <c r="D1297" t="str">
        <f t="shared" si="155"/>
        <v>Bruce Tate</v>
      </c>
      <c r="E1297" s="3" t="str">
        <f t="shared" si="156"/>
        <v/>
      </c>
      <c r="F1297" t="str">
        <f t="shared" si="157"/>
        <v>.pdf</v>
      </c>
      <c r="G1297">
        <f t="shared" si="158"/>
        <v>71</v>
      </c>
      <c r="H1297" s="3">
        <f>LEN(Table1[[#This Row],[Auteur]])</f>
        <v>10</v>
      </c>
      <c r="I1297" s="3" t="str">
        <f t="shared" si="159"/>
        <v>From Java to Ruby</v>
      </c>
    </row>
    <row r="1298" spans="1:9" x14ac:dyDescent="0.45">
      <c r="A1298" t="s">
        <v>1640</v>
      </c>
      <c r="B1298" t="str">
        <f t="shared" si="153"/>
        <v>2008</v>
      </c>
      <c r="C1298" t="str">
        <f t="shared" si="154"/>
        <v>The Pragmatic Programmers</v>
      </c>
      <c r="D1298" t="str">
        <f t="shared" si="155"/>
        <v>Lyle Johnson</v>
      </c>
      <c r="E1298" s="3" t="str">
        <f t="shared" si="156"/>
        <v/>
      </c>
      <c r="F1298" t="str">
        <f t="shared" si="157"/>
        <v>.pdf</v>
      </c>
      <c r="G1298">
        <f t="shared" si="158"/>
        <v>99</v>
      </c>
      <c r="H1298" s="3">
        <f>LEN(Table1[[#This Row],[Auteur]])</f>
        <v>12</v>
      </c>
      <c r="I1298" s="3" t="str">
        <f t="shared" si="159"/>
        <v>FXRuby, Create Lean and Mean GUIs with Ruby</v>
      </c>
    </row>
    <row r="1299" spans="1:9" x14ac:dyDescent="0.45">
      <c r="A1299" t="s">
        <v>1641</v>
      </c>
      <c r="B1299" t="str">
        <f t="shared" si="153"/>
        <v>2015</v>
      </c>
      <c r="C1299" t="str">
        <f t="shared" si="154"/>
        <v>?</v>
      </c>
      <c r="D1299" t="str">
        <f t="shared" si="155"/>
        <v>Karthikeyan</v>
      </c>
      <c r="E1299" s="3" t="str">
        <f t="shared" si="156"/>
        <v/>
      </c>
      <c r="F1299" t="str">
        <f t="shared" si="157"/>
        <v>.pdf</v>
      </c>
      <c r="G1299">
        <f t="shared" si="158"/>
        <v>36</v>
      </c>
      <c r="H1299" s="3">
        <f>LEN(Table1[[#This Row],[Auteur]])</f>
        <v>11</v>
      </c>
      <c r="I1299" s="3" t="str">
        <f t="shared" si="159"/>
        <v>I Love Ruby</v>
      </c>
    </row>
    <row r="1300" spans="1:9" x14ac:dyDescent="0.45">
      <c r="A1300" t="s">
        <v>1642</v>
      </c>
      <c r="B1300" t="str">
        <f t="shared" si="153"/>
        <v>2007</v>
      </c>
      <c r="C1300" t="str">
        <f t="shared" si="154"/>
        <v>Apress</v>
      </c>
      <c r="D1300" t="str">
        <f t="shared" si="155"/>
        <v>Ola Bini</v>
      </c>
      <c r="E1300" s="3" t="str">
        <f t="shared" si="156"/>
        <v/>
      </c>
      <c r="F1300" s="3" t="str">
        <f t="shared" si="157"/>
        <v>.pdf</v>
      </c>
      <c r="G1300">
        <f t="shared" si="158"/>
        <v>47</v>
      </c>
      <c r="H1300" s="3">
        <f>LEN(Table1[[#This Row],[Auteur]])</f>
        <v>8</v>
      </c>
      <c r="I1300" s="3" t="str">
        <f t="shared" si="159"/>
        <v>JRuby on Rails</v>
      </c>
    </row>
    <row r="1301" spans="1:9" x14ac:dyDescent="0.45">
      <c r="A1301" t="s">
        <v>1643</v>
      </c>
      <c r="B1301" t="str">
        <f t="shared" si="153"/>
        <v>2008</v>
      </c>
      <c r="C1301" t="str">
        <f t="shared" si="154"/>
        <v>Pearson</v>
      </c>
      <c r="D1301" t="str">
        <f t="shared" si="155"/>
        <v>Russ Olsen</v>
      </c>
      <c r="E1301" s="3" t="str">
        <f t="shared" si="156"/>
        <v/>
      </c>
      <c r="F1301" s="3" t="str">
        <f t="shared" si="157"/>
        <v>.pdf</v>
      </c>
      <c r="G1301">
        <f t="shared" si="158"/>
        <v>63</v>
      </c>
      <c r="H1301" s="3">
        <f>LEN(Table1[[#This Row],[Auteur]])</f>
        <v>10</v>
      </c>
      <c r="I1301" s="3" t="str">
        <f t="shared" si="159"/>
        <v>Les design patterns en Ruby</v>
      </c>
    </row>
    <row r="1302" spans="1:9" x14ac:dyDescent="0.45">
      <c r="A1302" t="s">
        <v>1644</v>
      </c>
      <c r="B1302" t="str">
        <f t="shared" si="153"/>
        <v>2011</v>
      </c>
      <c r="C1302" t="str">
        <f t="shared" si="154"/>
        <v>O'Reilly</v>
      </c>
      <c r="D1302" t="str">
        <f t="shared" si="155"/>
        <v>Matt Aimonetti</v>
      </c>
      <c r="E1302" s="3" t="str">
        <f t="shared" si="156"/>
        <v/>
      </c>
      <c r="F1302" s="3" t="str">
        <f t="shared" si="157"/>
        <v>.pdf</v>
      </c>
      <c r="G1302">
        <f t="shared" si="158"/>
        <v>70</v>
      </c>
      <c r="H1302" s="3">
        <f>LEN(Table1[[#This Row],[Auteur]])</f>
        <v>14</v>
      </c>
      <c r="I1302" s="3" t="str">
        <f t="shared" si="159"/>
        <v>MacRuby, The Definitive Guide</v>
      </c>
    </row>
    <row r="1303" spans="1:9" x14ac:dyDescent="0.45">
      <c r="A1303" t="s">
        <v>1645</v>
      </c>
      <c r="B1303" t="str">
        <f t="shared" si="153"/>
        <v>2010</v>
      </c>
      <c r="C1303" t="str">
        <f t="shared" si="154"/>
        <v>The Pragmatic Programmers</v>
      </c>
      <c r="D1303" t="str">
        <f t="shared" si="155"/>
        <v>Paolo Perrotta</v>
      </c>
      <c r="E1303" s="3" t="str">
        <f t="shared" si="156"/>
        <v/>
      </c>
      <c r="F1303" t="str">
        <f t="shared" si="157"/>
        <v>.pdf</v>
      </c>
      <c r="G1303">
        <f t="shared" si="158"/>
        <v>78</v>
      </c>
      <c r="H1303" s="3">
        <f>LEN(Table1[[#This Row],[Auteur]])</f>
        <v>14</v>
      </c>
      <c r="I1303" s="3" t="str">
        <f t="shared" si="159"/>
        <v>Metaprogramming Ruby</v>
      </c>
    </row>
    <row r="1304" spans="1:9" x14ac:dyDescent="0.45">
      <c r="A1304" t="s">
        <v>1646</v>
      </c>
      <c r="B1304" t="str">
        <f t="shared" si="153"/>
        <v>2008</v>
      </c>
      <c r="C1304" t="str">
        <f t="shared" si="154"/>
        <v>Apress</v>
      </c>
      <c r="D1304" t="str">
        <f t="shared" si="155"/>
        <v>Topher Cyll</v>
      </c>
      <c r="E1304" s="3" t="str">
        <f t="shared" si="156"/>
        <v/>
      </c>
      <c r="F1304" s="3" t="str">
        <f t="shared" si="157"/>
        <v>.pdf</v>
      </c>
      <c r="G1304">
        <f t="shared" si="158"/>
        <v>59</v>
      </c>
      <c r="H1304" s="3">
        <f>LEN(Table1[[#This Row],[Auteur]])</f>
        <v>11</v>
      </c>
      <c r="I1304" s="3" t="str">
        <f t="shared" si="159"/>
        <v>Practical Ruby Projects</v>
      </c>
    </row>
    <row r="1305" spans="1:9" x14ac:dyDescent="0.45">
      <c r="A1305" t="s">
        <v>1647</v>
      </c>
      <c r="B1305" t="str">
        <f t="shared" si="153"/>
        <v>2007</v>
      </c>
      <c r="C1305" t="str">
        <f t="shared" si="154"/>
        <v>Apress</v>
      </c>
      <c r="D1305" t="str">
        <f t="shared" si="155"/>
        <v>Kevin Marshall, Chad Pytel, Jon Yurek</v>
      </c>
      <c r="E1305" s="3" t="str">
        <f t="shared" si="156"/>
        <v/>
      </c>
      <c r="F1305" s="3" t="str">
        <f t="shared" si="157"/>
        <v>.pdf</v>
      </c>
      <c r="G1305">
        <f t="shared" si="158"/>
        <v>110</v>
      </c>
      <c r="H1305" s="3">
        <f>LEN(Table1[[#This Row],[Auteur]])</f>
        <v>37</v>
      </c>
      <c r="I1305" s="3" t="str">
        <f t="shared" si="159"/>
        <v>Pro Active Record, Databases with Ruby and Rails</v>
      </c>
    </row>
    <row r="1306" spans="1:9" x14ac:dyDescent="0.45">
      <c r="A1306" t="s">
        <v>1648</v>
      </c>
      <c r="B1306" t="str">
        <f t="shared" si="153"/>
        <v>2008</v>
      </c>
      <c r="C1306" t="str">
        <f t="shared" si="154"/>
        <v>Wiley</v>
      </c>
      <c r="D1306" t="str">
        <f t="shared" si="155"/>
        <v>Noel Rappin</v>
      </c>
      <c r="E1306" s="3" t="str">
        <f t="shared" si="156"/>
        <v/>
      </c>
      <c r="F1306" t="str">
        <f t="shared" si="157"/>
        <v>.pdf</v>
      </c>
      <c r="G1306">
        <f t="shared" si="158"/>
        <v>61</v>
      </c>
      <c r="H1306" s="3">
        <f>LEN(Table1[[#This Row],[Auteur]])</f>
        <v>11</v>
      </c>
      <c r="I1306" s="3" t="str">
        <f t="shared" si="159"/>
        <v>Professional Ruby on Rails</v>
      </c>
    </row>
    <row r="1307" spans="1:9" x14ac:dyDescent="0.45">
      <c r="A1307" t="s">
        <v>1649</v>
      </c>
      <c r="B1307" t="str">
        <f t="shared" si="153"/>
        <v>2010</v>
      </c>
      <c r="C1307" t="str">
        <f t="shared" si="154"/>
        <v>The Pragmatic Programmers</v>
      </c>
      <c r="D1307" t="str">
        <f t="shared" si="155"/>
        <v>Dave Thomas</v>
      </c>
      <c r="E1307" s="3" t="str">
        <f t="shared" si="156"/>
        <v/>
      </c>
      <c r="F1307" t="str">
        <f t="shared" si="157"/>
        <v>.pdf</v>
      </c>
      <c r="G1307">
        <f t="shared" si="158"/>
        <v>75</v>
      </c>
      <c r="H1307" s="3">
        <f>LEN(Table1[[#This Row],[Auteur]])</f>
        <v>11</v>
      </c>
      <c r="I1307" s="3" t="str">
        <f t="shared" si="159"/>
        <v>Programming Ruby 1.9</v>
      </c>
    </row>
    <row r="1308" spans="1:9" x14ac:dyDescent="0.45">
      <c r="A1308" t="s">
        <v>1650</v>
      </c>
      <c r="B1308" t="str">
        <f t="shared" si="153"/>
        <v>2012</v>
      </c>
      <c r="C1308" t="str">
        <f t="shared" si="154"/>
        <v>Manning</v>
      </c>
      <c r="D1308" t="str">
        <f t="shared" si="155"/>
        <v>Ryan Bigg, Yehuda Katz</v>
      </c>
      <c r="E1308" s="3" t="str">
        <f t="shared" si="156"/>
        <v/>
      </c>
      <c r="F1308" t="str">
        <f t="shared" si="157"/>
        <v>.pdf</v>
      </c>
      <c r="G1308">
        <f t="shared" si="158"/>
        <v>65</v>
      </c>
      <c r="H1308" s="3">
        <f>LEN(Table1[[#This Row],[Auteur]])</f>
        <v>22</v>
      </c>
      <c r="I1308" s="3" t="str">
        <f t="shared" si="159"/>
        <v>Rails 3 in Action</v>
      </c>
    </row>
    <row r="1309" spans="1:9" x14ac:dyDescent="0.45">
      <c r="A1309" t="s">
        <v>1651</v>
      </c>
      <c r="B1309" t="str">
        <f t="shared" si="153"/>
        <v>2006</v>
      </c>
      <c r="C1309" t="str">
        <f t="shared" si="154"/>
        <v>The Pragmatic Programmers</v>
      </c>
      <c r="D1309" t="str">
        <f t="shared" si="155"/>
        <v>Chad Fowler</v>
      </c>
      <c r="E1309" s="3" t="str">
        <f t="shared" si="156"/>
        <v/>
      </c>
      <c r="F1309" t="str">
        <f t="shared" si="157"/>
        <v>.pdf</v>
      </c>
      <c r="G1309">
        <f t="shared" si="158"/>
        <v>68</v>
      </c>
      <c r="H1309" s="3">
        <f>LEN(Table1[[#This Row],[Auteur]])</f>
        <v>11</v>
      </c>
      <c r="I1309" s="3" t="str">
        <f t="shared" si="159"/>
        <v>Rails Recipes</v>
      </c>
    </row>
    <row r="1310" spans="1:9" x14ac:dyDescent="0.45">
      <c r="A1310" t="s">
        <v>1652</v>
      </c>
      <c r="B1310" t="str">
        <f t="shared" si="153"/>
        <v>2010</v>
      </c>
      <c r="C1310" t="str">
        <f t="shared" si="154"/>
        <v>Addison-Wesley</v>
      </c>
      <c r="D1310" t="str">
        <f t="shared" si="155"/>
        <v>Wake, Rutherford</v>
      </c>
      <c r="E1310" s="3" t="str">
        <f t="shared" si="156"/>
        <v/>
      </c>
      <c r="F1310" s="3" t="str">
        <f t="shared" si="157"/>
        <v>.pdf</v>
      </c>
      <c r="G1310">
        <f t="shared" si="158"/>
        <v>68</v>
      </c>
      <c r="H1310" s="3">
        <f>LEN(Table1[[#This Row],[Auteur]])</f>
        <v>16</v>
      </c>
      <c r="I1310" s="3" t="str">
        <f t="shared" si="159"/>
        <v>Refactoring in Ruby</v>
      </c>
    </row>
    <row r="1311" spans="1:9" x14ac:dyDescent="0.45">
      <c r="A1311" t="s">
        <v>1653</v>
      </c>
      <c r="B1311" t="str">
        <f t="shared" si="153"/>
        <v>2009</v>
      </c>
      <c r="C1311" t="str">
        <f t="shared" si="154"/>
        <v>Addison-Wesley</v>
      </c>
      <c r="D1311" t="str">
        <f t="shared" si="155"/>
        <v>Jay Fields, Shane Harvie, Martin Fowler</v>
      </c>
      <c r="E1311" s="3" t="str">
        <f t="shared" si="156"/>
        <v/>
      </c>
      <c r="F1311" t="str">
        <f t="shared" si="157"/>
        <v>.pdf</v>
      </c>
      <c r="G1311">
        <f t="shared" si="158"/>
        <v>97</v>
      </c>
      <c r="H1311" s="3">
        <f>LEN(Table1[[#This Row],[Auteur]])</f>
        <v>39</v>
      </c>
      <c r="I1311" s="3" t="str">
        <f t="shared" si="159"/>
        <v>Refactoring, Ruby Edition</v>
      </c>
    </row>
    <row r="1312" spans="1:9" x14ac:dyDescent="0.45">
      <c r="A1312" t="s">
        <v>1654</v>
      </c>
      <c r="B1312" t="str">
        <f t="shared" si="153"/>
        <v>2009</v>
      </c>
      <c r="C1312" t="str">
        <f t="shared" si="154"/>
        <v>O'Reilly</v>
      </c>
      <c r="D1312" t="str">
        <f t="shared" si="155"/>
        <v>Gregory Brown</v>
      </c>
      <c r="E1312" s="3" t="str">
        <f t="shared" si="156"/>
        <v/>
      </c>
      <c r="F1312" s="3" t="str">
        <f t="shared" si="157"/>
        <v>.pdf</v>
      </c>
      <c r="G1312">
        <f t="shared" si="158"/>
        <v>59</v>
      </c>
      <c r="H1312" s="3">
        <f>LEN(Table1[[#This Row],[Auteur]])</f>
        <v>13</v>
      </c>
      <c r="I1312" s="3" t="str">
        <f t="shared" si="159"/>
        <v>Ruby Best Practices</v>
      </c>
    </row>
    <row r="1313" spans="1:9" x14ac:dyDescent="0.45">
      <c r="A1313" t="s">
        <v>1655</v>
      </c>
      <c r="B1313" t="str">
        <f t="shared" si="153"/>
        <v>2006</v>
      </c>
      <c r="C1313" t="str">
        <f t="shared" si="154"/>
        <v>Manning</v>
      </c>
      <c r="D1313" t="str">
        <f t="shared" si="155"/>
        <v>David Black</v>
      </c>
      <c r="E1313" s="3" t="str">
        <f t="shared" si="156"/>
        <v/>
      </c>
      <c r="F1313" t="str">
        <f t="shared" si="157"/>
        <v>.pdf</v>
      </c>
      <c r="G1313">
        <f t="shared" si="158"/>
        <v>51</v>
      </c>
      <c r="H1313" s="3">
        <f>LEN(Table1[[#This Row],[Auteur]])</f>
        <v>11</v>
      </c>
      <c r="I1313" s="3" t="str">
        <f t="shared" si="159"/>
        <v>Ruby for Rails</v>
      </c>
    </row>
    <row r="1314" spans="1:9" x14ac:dyDescent="0.45">
      <c r="A1314" t="s">
        <v>1656</v>
      </c>
      <c r="B1314" t="str">
        <f t="shared" si="153"/>
        <v>2007</v>
      </c>
      <c r="C1314" t="str">
        <f t="shared" si="154"/>
        <v>Apress</v>
      </c>
      <c r="D1314" t="str">
        <f t="shared" si="155"/>
        <v>André Ben Hamou</v>
      </c>
      <c r="E1314" s="3" t="str">
        <f t="shared" si="156"/>
        <v/>
      </c>
      <c r="F1314" t="str">
        <f t="shared" si="157"/>
        <v>.pdf</v>
      </c>
      <c r="G1314">
        <f t="shared" si="158"/>
        <v>70</v>
      </c>
      <c r="H1314" s="3">
        <f>LEN(Table1[[#This Row],[Auteur]])</f>
        <v>15</v>
      </c>
      <c r="I1314" s="3" t="str">
        <f t="shared" si="159"/>
        <v>Ruby for System Administration</v>
      </c>
    </row>
    <row r="1315" spans="1:9" x14ac:dyDescent="0.45">
      <c r="A1315" t="s">
        <v>1657</v>
      </c>
      <c r="B1315" t="str">
        <f t="shared" si="153"/>
        <v>2011</v>
      </c>
      <c r="C1315" t="str">
        <f t="shared" si="154"/>
        <v>Addison-Wesley</v>
      </c>
      <c r="D1315" t="str">
        <f t="shared" si="155"/>
        <v>Michael Hartl</v>
      </c>
      <c r="E1315" s="3" t="str">
        <f t="shared" si="156"/>
        <v/>
      </c>
      <c r="F1315" t="str">
        <f t="shared" si="157"/>
        <v>.pdf</v>
      </c>
      <c r="G1315">
        <f t="shared" si="158"/>
        <v>70</v>
      </c>
      <c r="H1315" s="3">
        <f>LEN(Table1[[#This Row],[Auteur]])</f>
        <v>13</v>
      </c>
      <c r="I1315" s="3" t="str">
        <f t="shared" si="159"/>
        <v>Ruby on Rails 3 Tutorial</v>
      </c>
    </row>
    <row r="1316" spans="1:9" x14ac:dyDescent="0.45">
      <c r="A1316" t="s">
        <v>1658</v>
      </c>
      <c r="B1316" t="str">
        <f t="shared" si="153"/>
        <v>2016</v>
      </c>
      <c r="C1316" t="str">
        <f t="shared" si="154"/>
        <v>?</v>
      </c>
      <c r="D1316" t="str">
        <f t="shared" si="155"/>
        <v>Stefan Wintermeyer</v>
      </c>
      <c r="E1316" s="3" t="str">
        <f t="shared" si="156"/>
        <v/>
      </c>
      <c r="F1316" s="3" t="str">
        <f t="shared" si="157"/>
        <v>.pdf</v>
      </c>
      <c r="G1316">
        <f t="shared" si="158"/>
        <v>95</v>
      </c>
      <c r="H1316" s="3">
        <f>LEN(Table1[[#This Row],[Auteur]])</f>
        <v>18</v>
      </c>
      <c r="I1316" s="3" t="str">
        <f t="shared" si="159"/>
        <v>Ruby on Rails 5.0 for Autodidacts, Learn Ruby 2.3 and Rails 5.0</v>
      </c>
    </row>
    <row r="1317" spans="1:9" x14ac:dyDescent="0.45">
      <c r="A1317" t="s">
        <v>1659</v>
      </c>
      <c r="B1317" t="str">
        <f t="shared" si="153"/>
        <v>2007</v>
      </c>
      <c r="C1317" t="str">
        <f t="shared" si="154"/>
        <v>O'Reilly</v>
      </c>
      <c r="D1317" t="str">
        <f t="shared" si="155"/>
        <v>Michael Fitzgerald</v>
      </c>
      <c r="E1317" s="3" t="str">
        <f t="shared" si="156"/>
        <v/>
      </c>
      <c r="F1317" t="str">
        <f t="shared" si="157"/>
        <v>.pdf</v>
      </c>
      <c r="G1317">
        <f t="shared" si="158"/>
        <v>66</v>
      </c>
      <c r="H1317" s="3">
        <f>LEN(Table1[[#This Row],[Auteur]])</f>
        <v>18</v>
      </c>
      <c r="I1317" s="3" t="str">
        <f t="shared" si="159"/>
        <v>Ruby Pocket Reference</v>
      </c>
    </row>
    <row r="1318" spans="1:9" x14ac:dyDescent="0.45">
      <c r="A1318" t="s">
        <v>1660</v>
      </c>
      <c r="B1318" t="str">
        <f t="shared" si="153"/>
        <v>2011</v>
      </c>
      <c r="C1318" t="str">
        <f t="shared" si="154"/>
        <v>Cengage Learning</v>
      </c>
      <c r="D1318" t="str">
        <f t="shared" si="155"/>
        <v>Jerry Ford</v>
      </c>
      <c r="E1318" s="3" t="str">
        <f t="shared" si="156"/>
        <v/>
      </c>
      <c r="F1318" t="str">
        <f t="shared" si="157"/>
        <v>.pdf</v>
      </c>
      <c r="G1318">
        <f t="shared" si="158"/>
        <v>61</v>
      </c>
      <c r="H1318" s="3">
        <f>LEN(Table1[[#This Row],[Auteur]])</f>
        <v>10</v>
      </c>
      <c r="I1318" s="3" t="str">
        <f t="shared" si="159"/>
        <v>Ruby Programming</v>
      </c>
    </row>
    <row r="1319" spans="1:9" x14ac:dyDescent="0.45">
      <c r="A1319" t="s">
        <v>1661</v>
      </c>
      <c r="B1319" t="str">
        <f t="shared" si="153"/>
        <v>2012</v>
      </c>
      <c r="C1319" t="str">
        <f t="shared" si="154"/>
        <v>O'Reilly</v>
      </c>
      <c r="D1319" t="str">
        <f t="shared" si="155"/>
        <v>Alan Harris and Konstantin Haase</v>
      </c>
      <c r="E1319" s="3" t="str">
        <f t="shared" si="156"/>
        <v/>
      </c>
      <c r="F1319" t="str">
        <f t="shared" si="157"/>
        <v>.pdf</v>
      </c>
      <c r="G1319">
        <f t="shared" si="158"/>
        <v>81</v>
      </c>
      <c r="H1319" s="3">
        <f>LEN(Table1[[#This Row],[Auteur]])</f>
        <v>32</v>
      </c>
      <c r="I1319" s="3" t="str">
        <f t="shared" si="159"/>
        <v>Sinatra up and Running</v>
      </c>
    </row>
    <row r="1320" spans="1:9" x14ac:dyDescent="0.45">
      <c r="A1320" t="s">
        <v>1662</v>
      </c>
      <c r="B1320" t="str">
        <f t="shared" si="153"/>
        <v>2011</v>
      </c>
      <c r="C1320" t="str">
        <f t="shared" si="154"/>
        <v>No Starch</v>
      </c>
      <c r="D1320" t="str">
        <f t="shared" si="155"/>
        <v>Huw Collingbourne</v>
      </c>
      <c r="E1320" s="3" t="str">
        <f t="shared" si="156"/>
        <v/>
      </c>
      <c r="F1320" t="str">
        <f t="shared" si="157"/>
        <v>.pdf</v>
      </c>
      <c r="G1320">
        <f t="shared" si="158"/>
        <v>61</v>
      </c>
      <c r="H1320" s="3">
        <f>LEN(Table1[[#This Row],[Auteur]])</f>
        <v>17</v>
      </c>
      <c r="I1320" s="3" t="str">
        <f t="shared" si="159"/>
        <v>The Book of Ruby</v>
      </c>
    </row>
    <row r="1321" spans="1:9" x14ac:dyDescent="0.45">
      <c r="A1321" t="s">
        <v>1663</v>
      </c>
      <c r="B1321" t="str">
        <f t="shared" si="153"/>
        <v>2012</v>
      </c>
      <c r="C1321" t="str">
        <f t="shared" si="154"/>
        <v>The Pragmatic Programmers</v>
      </c>
      <c r="D1321" t="str">
        <f t="shared" si="155"/>
        <v>John Athayde, Bruce Williams</v>
      </c>
      <c r="E1321" s="3" t="str">
        <f t="shared" si="156"/>
        <v/>
      </c>
      <c r="F1321" t="str">
        <f t="shared" si="157"/>
        <v>.pdf</v>
      </c>
      <c r="G1321">
        <f t="shared" si="158"/>
        <v>141</v>
      </c>
      <c r="H1321" s="3">
        <f>LEN(Table1[[#This Row],[Auteur]])</f>
        <v>28</v>
      </c>
      <c r="I1321" s="3" t="str">
        <f t="shared" si="159"/>
        <v>The Rails View, Creating a Beautiful and Maintainable User Experience</v>
      </c>
    </row>
    <row r="1322" spans="1:9" x14ac:dyDescent="0.45">
      <c r="A1322" t="s">
        <v>1664</v>
      </c>
      <c r="B1322" t="str">
        <f t="shared" si="153"/>
        <v>2008</v>
      </c>
      <c r="C1322" t="str">
        <f t="shared" si="154"/>
        <v>Addison-Wesley</v>
      </c>
      <c r="D1322" t="str">
        <f t="shared" si="155"/>
        <v>Obie Fernandez</v>
      </c>
      <c r="E1322" s="3" t="str">
        <f t="shared" si="156"/>
        <v/>
      </c>
      <c r="F1322" t="str">
        <f t="shared" si="157"/>
        <v>.pdf</v>
      </c>
      <c r="G1322">
        <f t="shared" si="158"/>
        <v>60</v>
      </c>
      <c r="H1322" s="3">
        <f>LEN(Table1[[#This Row],[Auteur]])</f>
        <v>14</v>
      </c>
      <c r="I1322" s="3" t="str">
        <f t="shared" si="159"/>
        <v>The Rails Way</v>
      </c>
    </row>
    <row r="1323" spans="1:9" x14ac:dyDescent="0.45">
      <c r="A1323" t="s">
        <v>1665</v>
      </c>
      <c r="B1323" t="str">
        <f t="shared" si="153"/>
        <v>2009</v>
      </c>
      <c r="C1323" t="str">
        <f t="shared" si="154"/>
        <v>Manning</v>
      </c>
      <c r="D1323" t="str">
        <f t="shared" si="155"/>
        <v>David Black</v>
      </c>
      <c r="E1323" s="3" t="str">
        <f t="shared" si="156"/>
        <v/>
      </c>
      <c r="F1323" s="3" t="str">
        <f t="shared" si="157"/>
        <v>.pdf</v>
      </c>
      <c r="G1323">
        <f t="shared" si="158"/>
        <v>62</v>
      </c>
      <c r="H1323" s="3">
        <f>LEN(Table1[[#This Row],[Auteur]])</f>
        <v>11</v>
      </c>
      <c r="I1323" s="3" t="str">
        <f t="shared" si="159"/>
        <v>The Well Grounded Rubyist</v>
      </c>
    </row>
    <row r="1324" spans="1:9" x14ac:dyDescent="0.45">
      <c r="A1324" t="s">
        <v>1666</v>
      </c>
      <c r="B1324" t="str">
        <f t="shared" si="153"/>
        <v>2011</v>
      </c>
      <c r="C1324" t="str">
        <f t="shared" si="154"/>
        <v>The Pragmatic Programmers</v>
      </c>
      <c r="D1324" t="str">
        <f t="shared" si="155"/>
        <v>Nutter, Sieger, Enebo, Bini, Dees</v>
      </c>
      <c r="E1324" s="3" t="str">
        <f t="shared" si="156"/>
        <v/>
      </c>
      <c r="F1324" s="3" t="str">
        <f t="shared" si="157"/>
        <v>.pdf</v>
      </c>
      <c r="G1324">
        <f t="shared" si="158"/>
        <v>88</v>
      </c>
      <c r="H1324" s="3">
        <f>LEN(Table1[[#This Row],[Auteur]])</f>
        <v>33</v>
      </c>
      <c r="I1324" s="3" t="str">
        <f t="shared" si="159"/>
        <v>Using JRuby</v>
      </c>
    </row>
    <row r="1325" spans="1:9" x14ac:dyDescent="0.45">
      <c r="A1325" t="s">
        <v>1667</v>
      </c>
      <c r="B1325" t="str">
        <f t="shared" si="153"/>
        <v>2015</v>
      </c>
      <c r="C1325" t="str">
        <f t="shared" si="154"/>
        <v>Apress</v>
      </c>
      <c r="D1325" t="str">
        <f t="shared" si="155"/>
        <v>Vishal Layka, David Pollak</v>
      </c>
      <c r="E1325" s="3" t="str">
        <f t="shared" si="156"/>
        <v/>
      </c>
      <c r="F1325" t="str">
        <f t="shared" si="157"/>
        <v>.pdf</v>
      </c>
      <c r="G1325">
        <f t="shared" si="158"/>
        <v>74</v>
      </c>
      <c r="H1325" s="3">
        <f>LEN(Table1[[#This Row],[Auteur]])</f>
        <v>26</v>
      </c>
      <c r="I1325" s="3" t="str">
        <f t="shared" si="159"/>
        <v>Beginning Scala</v>
      </c>
    </row>
    <row r="1326" spans="1:9" x14ac:dyDescent="0.45">
      <c r="A1326" t="s">
        <v>1668</v>
      </c>
      <c r="B1326" t="str">
        <f t="shared" si="153"/>
        <v>2009</v>
      </c>
      <c r="C1326" t="str">
        <f t="shared" si="154"/>
        <v>O'Reilly</v>
      </c>
      <c r="D1326" t="str">
        <f t="shared" si="155"/>
        <v>Dean Wampler Alex Payne</v>
      </c>
      <c r="E1326" s="3" t="str">
        <f t="shared" si="156"/>
        <v/>
      </c>
      <c r="F1326" t="str">
        <f t="shared" si="157"/>
        <v>.pdf</v>
      </c>
      <c r="G1326">
        <f t="shared" si="158"/>
        <v>75</v>
      </c>
      <c r="H1326" s="3">
        <f>LEN(Table1[[#This Row],[Auteur]])</f>
        <v>23</v>
      </c>
      <c r="I1326" s="3" t="str">
        <f t="shared" si="159"/>
        <v>Programming Scala</v>
      </c>
    </row>
    <row r="1327" spans="1:9" x14ac:dyDescent="0.45">
      <c r="A1327" t="s">
        <v>1669</v>
      </c>
      <c r="B1327" t="str">
        <f t="shared" si="153"/>
        <v>2014</v>
      </c>
      <c r="C1327" t="str">
        <f t="shared" si="154"/>
        <v>O'Reilly</v>
      </c>
      <c r="D1327" t="str">
        <f t="shared" si="155"/>
        <v>Dean Wampler, Alex Payne</v>
      </c>
      <c r="E1327" s="3" t="str">
        <f t="shared" si="156"/>
        <v/>
      </c>
      <c r="F1327" s="3" t="str">
        <f t="shared" si="157"/>
        <v>.pdf</v>
      </c>
      <c r="G1327">
        <f t="shared" si="158"/>
        <v>76</v>
      </c>
      <c r="H1327" s="3">
        <f>LEN(Table1[[#This Row],[Auteur]])</f>
        <v>24</v>
      </c>
      <c r="I1327" s="3" t="str">
        <f t="shared" si="159"/>
        <v>Programming Scala</v>
      </c>
    </row>
    <row r="1328" spans="1:9" x14ac:dyDescent="0.45">
      <c r="A1328" t="s">
        <v>1670</v>
      </c>
      <c r="B1328" t="str">
        <f t="shared" si="153"/>
        <v>2015</v>
      </c>
      <c r="C1328" t="str">
        <f t="shared" si="154"/>
        <v>Packt</v>
      </c>
      <c r="D1328" t="str">
        <f t="shared" si="155"/>
        <v>Atul S.Khot</v>
      </c>
      <c r="E1328" s="3" t="str">
        <f t="shared" si="156"/>
        <v/>
      </c>
      <c r="F1328" t="str">
        <f t="shared" si="157"/>
        <v>.pdf</v>
      </c>
      <c r="G1328">
        <f t="shared" si="158"/>
        <v>72</v>
      </c>
      <c r="H1328" s="3">
        <f>LEN(Table1[[#This Row],[Auteur]])</f>
        <v>11</v>
      </c>
      <c r="I1328" s="3" t="str">
        <f t="shared" si="159"/>
        <v>Scala Functional Programming Patterns</v>
      </c>
    </row>
    <row r="1329" spans="1:9" x14ac:dyDescent="0.45">
      <c r="A1329" t="s">
        <v>1671</v>
      </c>
      <c r="B1329" t="str">
        <f t="shared" si="153"/>
        <v>2016</v>
      </c>
      <c r="C1329" t="str">
        <f t="shared" si="154"/>
        <v>Packt</v>
      </c>
      <c r="D1329" t="str">
        <f t="shared" si="155"/>
        <v>Vincent Theron, Michael Diamant</v>
      </c>
      <c r="E1329" s="3" t="str">
        <f t="shared" si="156"/>
        <v/>
      </c>
      <c r="F1329" t="str">
        <f t="shared" si="157"/>
        <v>.pdf</v>
      </c>
      <c r="G1329">
        <f t="shared" si="158"/>
        <v>89</v>
      </c>
      <c r="H1329" s="3">
        <f>LEN(Table1[[#This Row],[Auteur]])</f>
        <v>31</v>
      </c>
      <c r="I1329" s="3" t="str">
        <f t="shared" si="159"/>
        <v>Scala High Performance Programming</v>
      </c>
    </row>
    <row r="1330" spans="1:9" x14ac:dyDescent="0.45">
      <c r="A1330" t="s">
        <v>1672</v>
      </c>
      <c r="B1330" t="str">
        <f t="shared" si="153"/>
        <v>1997</v>
      </c>
      <c r="C1330" t="str">
        <f t="shared" si="154"/>
        <v>?</v>
      </c>
      <c r="D1330" t="str">
        <f t="shared" si="155"/>
        <v>?</v>
      </c>
      <c r="E1330" s="3" t="str">
        <f t="shared" si="156"/>
        <v>Webdump</v>
      </c>
      <c r="F1330" s="3" t="str">
        <f t="shared" si="157"/>
        <v>.pdf</v>
      </c>
      <c r="G1330" s="3">
        <f t="shared" si="158"/>
        <v>69</v>
      </c>
      <c r="H1330" s="3">
        <f>LEN(Table1[[#This Row],[Auteur]])</f>
        <v>1</v>
      </c>
      <c r="I1330" s="3" t="str">
        <f t="shared" si="159"/>
        <v>An Introduction to Scheme and its Implementation</v>
      </c>
    </row>
    <row r="1331" spans="1:9" x14ac:dyDescent="0.45">
      <c r="A1331" t="s">
        <v>1673</v>
      </c>
      <c r="B1331" t="str">
        <f t="shared" si="153"/>
        <v>1999</v>
      </c>
      <c r="C1331" t="str">
        <f t="shared" si="154"/>
        <v>Brroks-Cole</v>
      </c>
      <c r="D1331" t="str">
        <f t="shared" si="155"/>
        <v>Hailperin, Kaiser, Knight</v>
      </c>
      <c r="E1331" s="3" t="str">
        <f t="shared" si="156"/>
        <v/>
      </c>
      <c r="F1331" t="str">
        <f t="shared" si="157"/>
        <v>.pdf</v>
      </c>
      <c r="G1331">
        <f t="shared" si="158"/>
        <v>126</v>
      </c>
      <c r="H1331" s="3">
        <f>LEN(Table1[[#This Row],[Auteur]])</f>
        <v>25</v>
      </c>
      <c r="I1331" s="3" t="str">
        <f t="shared" si="159"/>
        <v>Concrete Abstractions, An Introduction to Computer Science Using Scheme</v>
      </c>
    </row>
    <row r="1332" spans="1:9" x14ac:dyDescent="0.45">
      <c r="A1332" t="s">
        <v>1674</v>
      </c>
      <c r="B1332" t="str">
        <f t="shared" si="153"/>
        <v>1990</v>
      </c>
      <c r="C1332" t="str">
        <f t="shared" si="154"/>
        <v>MIT Press</v>
      </c>
      <c r="D1332" t="str">
        <f t="shared" si="155"/>
        <v>Eisenberg, Abelson</v>
      </c>
      <c r="E1332" s="3" t="str">
        <f t="shared" si="156"/>
        <v/>
      </c>
      <c r="F1332" t="str">
        <f t="shared" si="157"/>
        <v>.djvu</v>
      </c>
      <c r="G1332">
        <f t="shared" si="158"/>
        <v>68</v>
      </c>
      <c r="H1332" s="3">
        <f>LEN(Table1[[#This Row],[Auteur]])</f>
        <v>18</v>
      </c>
      <c r="I1332" s="3" t="str">
        <f t="shared" si="159"/>
        <v>Programming in Scheme</v>
      </c>
    </row>
    <row r="1333" spans="1:9" x14ac:dyDescent="0.45">
      <c r="A1333" t="s">
        <v>1675</v>
      </c>
      <c r="B1333" t="str">
        <f t="shared" si="153"/>
        <v>1999</v>
      </c>
      <c r="C1333" t="str">
        <f t="shared" si="154"/>
        <v>MIT Press</v>
      </c>
      <c r="D1333" t="str">
        <f t="shared" si="155"/>
        <v>Brian Harvey, Matthew Wright</v>
      </c>
      <c r="E1333" s="3" t="str">
        <f t="shared" si="156"/>
        <v>Dump</v>
      </c>
      <c r="F1333" t="str">
        <f t="shared" si="157"/>
        <v>.pdf</v>
      </c>
      <c r="G1333">
        <f t="shared" si="158"/>
        <v>114</v>
      </c>
      <c r="H1333" s="3">
        <f>LEN(Table1[[#This Row],[Auteur]])</f>
        <v>28</v>
      </c>
      <c r="I1333" s="3" t="str">
        <f t="shared" si="159"/>
        <v>Simply Scheme, Introducing Computer Science</v>
      </c>
    </row>
    <row r="1334" spans="1:9" x14ac:dyDescent="0.45">
      <c r="A1334" t="s">
        <v>1676</v>
      </c>
      <c r="B1334" t="str">
        <f t="shared" si="153"/>
        <v>2004</v>
      </c>
      <c r="C1334" t="str">
        <f t="shared" si="154"/>
        <v>?</v>
      </c>
      <c r="D1334" t="str">
        <f t="shared" si="155"/>
        <v>Dorai Sitaram</v>
      </c>
      <c r="E1334" s="3" t="str">
        <f t="shared" si="156"/>
        <v/>
      </c>
      <c r="F1334" t="str">
        <f t="shared" si="157"/>
        <v>.pdf</v>
      </c>
      <c r="G1334">
        <f t="shared" si="158"/>
        <v>63</v>
      </c>
      <c r="H1334" s="3">
        <f>LEN(Table1[[#This Row],[Auteur]])</f>
        <v>13</v>
      </c>
      <c r="I1334" s="3" t="str">
        <f t="shared" si="159"/>
        <v>Teach Yourself Scheme in Fixnum Days</v>
      </c>
    </row>
    <row r="1335" spans="1:9" x14ac:dyDescent="0.45">
      <c r="A1335" t="s">
        <v>1677</v>
      </c>
      <c r="B1335" t="str">
        <f t="shared" si="153"/>
        <v>1996</v>
      </c>
      <c r="C1335" t="str">
        <f t="shared" si="154"/>
        <v>?</v>
      </c>
      <c r="D1335" t="str">
        <f t="shared" si="155"/>
        <v>Daniel P. Friedman, Matthias Felleisen</v>
      </c>
      <c r="E1335" s="3" t="str">
        <f t="shared" si="156"/>
        <v>Scan</v>
      </c>
      <c r="F1335" t="str">
        <f t="shared" si="157"/>
        <v>.pdf</v>
      </c>
      <c r="G1335">
        <f t="shared" si="158"/>
        <v>85</v>
      </c>
      <c r="H1335" s="3">
        <f>LEN(Table1[[#This Row],[Auteur]])</f>
        <v>38</v>
      </c>
      <c r="I1335" s="3" t="str">
        <f t="shared" si="159"/>
        <v>The Little Schemer</v>
      </c>
    </row>
    <row r="1336" spans="1:9" x14ac:dyDescent="0.45">
      <c r="A1336" t="s">
        <v>1678</v>
      </c>
      <c r="B1336" t="str">
        <f t="shared" si="153"/>
        <v>1995</v>
      </c>
      <c r="C1336" t="str">
        <f t="shared" si="154"/>
        <v>?</v>
      </c>
      <c r="D1336" t="str">
        <f t="shared" si="155"/>
        <v>Daniel P. Friedman, Matthias Felleisen</v>
      </c>
      <c r="E1336" s="3" t="str">
        <f t="shared" si="156"/>
        <v>Scan</v>
      </c>
      <c r="F1336" s="3" t="str">
        <f t="shared" si="157"/>
        <v>.pdf</v>
      </c>
      <c r="G1336">
        <f t="shared" si="158"/>
        <v>87</v>
      </c>
      <c r="H1336" s="3">
        <f>LEN(Table1[[#This Row],[Auteur]])</f>
        <v>38</v>
      </c>
      <c r="I1336" s="3" t="str">
        <f t="shared" si="159"/>
        <v>The Seasoned Schemer</v>
      </c>
    </row>
    <row r="1337" spans="1:9" x14ac:dyDescent="0.45">
      <c r="A1337" t="s">
        <v>1679</v>
      </c>
      <c r="B1337" t="str">
        <f t="shared" si="153"/>
        <v>2015</v>
      </c>
      <c r="C1337" t="str">
        <f t="shared" si="154"/>
        <v>Eyrolles</v>
      </c>
      <c r="D1337" t="str">
        <f t="shared" si="155"/>
        <v>Frédéric Pain</v>
      </c>
      <c r="E1337" s="3" t="str">
        <f t="shared" si="156"/>
        <v/>
      </c>
      <c r="F1337" s="3" t="str">
        <f t="shared" si="157"/>
        <v>.pdf</v>
      </c>
      <c r="G1337">
        <f t="shared" si="158"/>
        <v>91</v>
      </c>
      <c r="H1337" s="3">
        <f>LEN(Table1[[#This Row],[Auteur]])</f>
        <v>13</v>
      </c>
      <c r="I1337" s="3" t="str">
        <f t="shared" si="159"/>
        <v>Cahier d'activités Scratch pour les kids, dès 8 ans</v>
      </c>
    </row>
    <row r="1338" spans="1:9" x14ac:dyDescent="0.45">
      <c r="A1338" t="s">
        <v>1680</v>
      </c>
      <c r="B1338" t="str">
        <f t="shared" si="153"/>
        <v>?</v>
      </c>
      <c r="C1338" t="str">
        <f t="shared" si="154"/>
        <v>Magbook</v>
      </c>
      <c r="D1338" t="str">
        <f t="shared" si="155"/>
        <v>?</v>
      </c>
      <c r="E1338" s="3" t="str">
        <f t="shared" si="156"/>
        <v/>
      </c>
      <c r="F1338" s="3" t="str">
        <f t="shared" si="157"/>
        <v>.pdf</v>
      </c>
      <c r="G1338">
        <f t="shared" si="158"/>
        <v>40</v>
      </c>
      <c r="H1338" s="3">
        <f>LEN(Table1[[#This Row],[Auteur]])</f>
        <v>1</v>
      </c>
      <c r="I1338" s="3" t="str">
        <f t="shared" si="159"/>
        <v>Coding for Kids, Scratch</v>
      </c>
    </row>
    <row r="1339" spans="1:9" x14ac:dyDescent="0.45">
      <c r="A1339" t="s">
        <v>1681</v>
      </c>
      <c r="B1339" t="str">
        <f t="shared" si="153"/>
        <v>2016</v>
      </c>
      <c r="C1339" t="str">
        <f t="shared" si="154"/>
        <v>Eyrolles</v>
      </c>
      <c r="D1339" t="str">
        <f t="shared" si="155"/>
        <v>Majed Marji</v>
      </c>
      <c r="E1339" s="3" t="str">
        <f t="shared" si="156"/>
        <v/>
      </c>
      <c r="F1339" t="str">
        <f t="shared" si="157"/>
        <v>.pdf</v>
      </c>
      <c r="G1339">
        <f t="shared" si="158"/>
        <v>63</v>
      </c>
      <c r="H1339" s="3">
        <f>LEN(Table1[[#This Row],[Auteur]])</f>
        <v>11</v>
      </c>
      <c r="I1339" s="3" t="str">
        <f t="shared" si="159"/>
        <v>Le grand livre de Scratch</v>
      </c>
    </row>
    <row r="1340" spans="1:9" x14ac:dyDescent="0.45">
      <c r="A1340" t="s">
        <v>1682</v>
      </c>
      <c r="B1340" t="str">
        <f t="shared" si="153"/>
        <v>2014</v>
      </c>
      <c r="C1340" t="str">
        <f t="shared" si="154"/>
        <v>No Starch</v>
      </c>
      <c r="D1340" t="str">
        <f t="shared" si="155"/>
        <v>Majed Marji</v>
      </c>
      <c r="E1340" s="3" t="str">
        <f t="shared" si="156"/>
        <v/>
      </c>
      <c r="F1340" t="str">
        <f t="shared" si="157"/>
        <v>.pdf</v>
      </c>
      <c r="G1340">
        <f t="shared" si="158"/>
        <v>68</v>
      </c>
      <c r="H1340" s="3">
        <f>LEN(Table1[[#This Row],[Auteur]])</f>
        <v>11</v>
      </c>
      <c r="I1340" s="3" t="str">
        <f t="shared" si="159"/>
        <v>Learn to Program with Scratch</v>
      </c>
    </row>
    <row r="1341" spans="1:9" x14ac:dyDescent="0.45">
      <c r="A1341" t="s">
        <v>1683</v>
      </c>
      <c r="B1341" t="str">
        <f t="shared" si="153"/>
        <v>2014</v>
      </c>
      <c r="C1341" t="str">
        <f t="shared" si="154"/>
        <v>Packt</v>
      </c>
      <c r="D1341" t="str">
        <f t="shared" si="155"/>
        <v>Michael Badger</v>
      </c>
      <c r="E1341" s="3" t="str">
        <f t="shared" si="156"/>
        <v/>
      </c>
      <c r="F1341" t="str">
        <f t="shared" si="157"/>
        <v>.pdf</v>
      </c>
      <c r="G1341">
        <f t="shared" si="158"/>
        <v>74</v>
      </c>
      <c r="H1341" s="3">
        <f>LEN(Table1[[#This Row],[Auteur]])</f>
        <v>14</v>
      </c>
      <c r="I1341" s="3" t="str">
        <f t="shared" si="159"/>
        <v>Scratch 2.0 Beginner's Guide</v>
      </c>
    </row>
    <row r="1342" spans="1:9" x14ac:dyDescent="0.45">
      <c r="A1342" t="s">
        <v>1684</v>
      </c>
      <c r="B1342" t="str">
        <f t="shared" si="153"/>
        <v>2016</v>
      </c>
      <c r="C1342" t="str">
        <f t="shared" si="154"/>
        <v>Eyrolles</v>
      </c>
      <c r="D1342" t="str">
        <f t="shared" si="155"/>
        <v>Marina Umaschi Bers, Mitchel Resnik</v>
      </c>
      <c r="E1342" s="3" t="str">
        <f t="shared" si="156"/>
        <v/>
      </c>
      <c r="F1342" t="str">
        <f t="shared" si="157"/>
        <v>.pdf</v>
      </c>
      <c r="G1342">
        <f t="shared" si="158"/>
        <v>85</v>
      </c>
      <c r="H1342" s="3">
        <f>LEN(Table1[[#This Row],[Auteur]])</f>
        <v>35</v>
      </c>
      <c r="I1342" s="3" t="str">
        <f t="shared" si="159"/>
        <v>ScratchJr pour les kids</v>
      </c>
    </row>
    <row r="1343" spans="1:9" x14ac:dyDescent="0.45">
      <c r="A1343" t="s">
        <v>1687</v>
      </c>
      <c r="B1343" t="str">
        <f t="shared" si="153"/>
        <v>2001</v>
      </c>
      <c r="C1343" t="str">
        <f t="shared" si="154"/>
        <v>Sams</v>
      </c>
      <c r="D1343" t="str">
        <f t="shared" si="155"/>
        <v>Craig Utley</v>
      </c>
      <c r="E1343" s="3" t="str">
        <f t="shared" si="156"/>
        <v/>
      </c>
      <c r="F1343" s="3" t="str">
        <f t="shared" si="157"/>
        <v>.pdf</v>
      </c>
      <c r="G1343">
        <f t="shared" si="158"/>
        <v>71</v>
      </c>
      <c r="H1343" s="3">
        <f>LEN(Table1[[#This Row],[Auteur]])</f>
        <v>11</v>
      </c>
      <c r="I1343" s="3" t="str">
        <f t="shared" si="159"/>
        <v>A programmer's introduction to VB.Net</v>
      </c>
    </row>
    <row r="1344" spans="1:9" x14ac:dyDescent="0.45">
      <c r="A1344" t="s">
        <v>1688</v>
      </c>
      <c r="B1344" t="str">
        <f t="shared" si="153"/>
        <v>2006</v>
      </c>
      <c r="C1344" t="str">
        <f t="shared" si="154"/>
        <v>Apress</v>
      </c>
      <c r="D1344" t="str">
        <f t="shared" si="155"/>
        <v>Daniel R. Clark</v>
      </c>
      <c r="E1344" s="3" t="str">
        <f t="shared" si="156"/>
        <v/>
      </c>
      <c r="F1344" s="3" t="str">
        <f t="shared" si="157"/>
        <v>.pdf</v>
      </c>
      <c r="G1344">
        <f t="shared" si="158"/>
        <v>119</v>
      </c>
      <c r="H1344" s="3">
        <f>LEN(Table1[[#This Row],[Auteur]])</f>
        <v>15</v>
      </c>
      <c r="I1344" s="3" t="str">
        <f t="shared" si="159"/>
        <v>Beginning Object Oriented Programming with VB 2005, From Novice to Professional</v>
      </c>
    </row>
    <row r="1345" spans="1:9" x14ac:dyDescent="0.45">
      <c r="A1345" t="s">
        <v>1689</v>
      </c>
      <c r="B1345" t="str">
        <f t="shared" si="153"/>
        <v>2006</v>
      </c>
      <c r="C1345" t="str">
        <f t="shared" si="154"/>
        <v>Wiley</v>
      </c>
      <c r="D1345" t="str">
        <f t="shared" si="155"/>
        <v>Thearon Willis, Bryan Newsome</v>
      </c>
      <c r="E1345" s="3" t="str">
        <f t="shared" si="156"/>
        <v/>
      </c>
      <c r="F1345" t="str">
        <f t="shared" si="157"/>
        <v>.pdf</v>
      </c>
      <c r="G1345">
        <f t="shared" si="158"/>
        <v>80</v>
      </c>
      <c r="H1345" s="3">
        <f>LEN(Table1[[#This Row],[Auteur]])</f>
        <v>29</v>
      </c>
      <c r="I1345" s="3" t="str">
        <f t="shared" si="159"/>
        <v>Beginning Visual Basic 2005</v>
      </c>
    </row>
    <row r="1346" spans="1:9" x14ac:dyDescent="0.45">
      <c r="A1346" t="s">
        <v>1690</v>
      </c>
      <c r="B1346" t="str">
        <f t="shared" ref="B1346:B1409" si="160">DatePub(A1346)</f>
        <v>2010</v>
      </c>
      <c r="C1346" t="str">
        <f t="shared" ref="C1346:C1409" si="161">Editeur(A1346)</f>
        <v>Wiley</v>
      </c>
      <c r="D1346" t="str">
        <f t="shared" ref="D1346:D1409" si="162">Auteur(A1346)</f>
        <v>Thearon Willis, Bryan Newsome</v>
      </c>
      <c r="E1346" s="3" t="str">
        <f t="shared" ref="E1346:E1409" si="163">ExtraInfo(A1346)</f>
        <v/>
      </c>
      <c r="F1346" t="str">
        <f t="shared" ref="F1346:F1409" si="164">Extension(A1346)</f>
        <v>.pdf</v>
      </c>
      <c r="G1346">
        <f t="shared" ref="G1346:G1409" si="165">LenFileName(A1346)</f>
        <v>80</v>
      </c>
      <c r="H1346" s="3">
        <f>LEN(Table1[[#This Row],[Auteur]])</f>
        <v>29</v>
      </c>
      <c r="I1346" s="3" t="str">
        <f t="shared" ref="I1346:I1379" si="166">Title(A1346)</f>
        <v>Beginning Visual Basic 2010</v>
      </c>
    </row>
    <row r="1347" spans="1:9" x14ac:dyDescent="0.45">
      <c r="A1347" t="s">
        <v>1691</v>
      </c>
      <c r="B1347" t="str">
        <f t="shared" si="160"/>
        <v>2003</v>
      </c>
      <c r="C1347" t="str">
        <f t="shared" si="161"/>
        <v>Apress</v>
      </c>
      <c r="D1347" t="str">
        <f t="shared" si="162"/>
        <v>Nick Symmonds</v>
      </c>
      <c r="E1347" s="3" t="str">
        <f t="shared" si="163"/>
        <v>Dump</v>
      </c>
      <c r="F1347" s="3" t="str">
        <f t="shared" si="164"/>
        <v>.pdf</v>
      </c>
      <c r="G1347">
        <f t="shared" si="165"/>
        <v>109</v>
      </c>
      <c r="H1347" s="3">
        <f>LEN(Table1[[#This Row],[Auteur]])</f>
        <v>13</v>
      </c>
      <c r="I1347" s="3" t="str">
        <f t="shared" si="166"/>
        <v>Data Entry and Validation with C Sharp and VB .Net Windows Forms</v>
      </c>
    </row>
    <row r="1348" spans="1:9" x14ac:dyDescent="0.45">
      <c r="A1348" t="s">
        <v>1692</v>
      </c>
      <c r="B1348" t="str">
        <f t="shared" si="160"/>
        <v>2002</v>
      </c>
      <c r="C1348" t="str">
        <f t="shared" si="161"/>
        <v>Loze-Dion</v>
      </c>
      <c r="D1348" t="str">
        <f t="shared" si="162"/>
        <v>Carole Lamontagne</v>
      </c>
      <c r="E1348" s="3" t="str">
        <f t="shared" si="163"/>
        <v/>
      </c>
      <c r="F1348" t="str">
        <f t="shared" si="164"/>
        <v>.pdf</v>
      </c>
      <c r="G1348">
        <f t="shared" si="165"/>
        <v>82</v>
      </c>
      <c r="H1348" s="3">
        <f>LEN(Table1[[#This Row],[Auteur]])</f>
        <v>17</v>
      </c>
      <c r="I1348" s="3" t="str">
        <f t="shared" si="166"/>
        <v>Découvrir et maîtriser Visual Basic 6</v>
      </c>
    </row>
    <row r="1349" spans="1:9" x14ac:dyDescent="0.45">
      <c r="A1349" t="s">
        <v>1693</v>
      </c>
      <c r="B1349" t="str">
        <f t="shared" si="160"/>
        <v>2002</v>
      </c>
      <c r="C1349" t="str">
        <f t="shared" si="161"/>
        <v>Sybex</v>
      </c>
      <c r="D1349" t="str">
        <f t="shared" si="162"/>
        <v>Evangelos Petroutsos</v>
      </c>
      <c r="E1349" s="3" t="str">
        <f t="shared" si="163"/>
        <v/>
      </c>
      <c r="F1349" t="str">
        <f t="shared" si="164"/>
        <v>.pdf</v>
      </c>
      <c r="G1349">
        <f t="shared" si="165"/>
        <v>71</v>
      </c>
      <c r="H1349" s="3">
        <f>LEN(Table1[[#This Row],[Auteur]])</f>
        <v>20</v>
      </c>
      <c r="I1349" s="3" t="str">
        <f t="shared" si="166"/>
        <v>Mastering Visual Basic .Net</v>
      </c>
    </row>
    <row r="1350" spans="1:9" x14ac:dyDescent="0.45">
      <c r="A1350" t="s">
        <v>1694</v>
      </c>
      <c r="B1350" t="str">
        <f t="shared" si="160"/>
        <v>2002</v>
      </c>
      <c r="C1350" t="str">
        <f t="shared" si="161"/>
        <v>Premier Press</v>
      </c>
      <c r="D1350" t="str">
        <f t="shared" si="162"/>
        <v>Duane Birnbaum</v>
      </c>
      <c r="E1350" s="3" t="str">
        <f t="shared" si="163"/>
        <v/>
      </c>
      <c r="F1350" s="3" t="str">
        <f t="shared" si="164"/>
        <v>.pdf</v>
      </c>
      <c r="G1350">
        <f t="shared" si="165"/>
        <v>103</v>
      </c>
      <c r="H1350" s="3">
        <f>LEN(Table1[[#This Row],[Auteur]])</f>
        <v>14</v>
      </c>
      <c r="I1350" s="3" t="str">
        <f t="shared" si="166"/>
        <v>Microsoft Excel VBA Programming for the Absolute Beginner</v>
      </c>
    </row>
    <row r="1351" spans="1:9" x14ac:dyDescent="0.45">
      <c r="A1351" t="s">
        <v>1695</v>
      </c>
      <c r="B1351" t="str">
        <f t="shared" si="160"/>
        <v>2006</v>
      </c>
      <c r="C1351" t="str">
        <f t="shared" si="161"/>
        <v>Microsoft Press</v>
      </c>
      <c r="D1351" t="str">
        <f t="shared" si="162"/>
        <v>?</v>
      </c>
      <c r="E1351" s="3" t="str">
        <f t="shared" si="163"/>
        <v/>
      </c>
      <c r="F1351" t="str">
        <f t="shared" si="164"/>
        <v>.pdf</v>
      </c>
      <c r="G1351">
        <f t="shared" si="165"/>
        <v>95</v>
      </c>
      <c r="H1351" s="3">
        <f>LEN(Table1[[#This Row],[Auteur]])</f>
        <v>1</v>
      </c>
      <c r="I1351" s="3" t="str">
        <f t="shared" si="166"/>
        <v>Microsoft Visual Basic 2005 Express Edition, Build a Program Now</v>
      </c>
    </row>
    <row r="1352" spans="1:9" x14ac:dyDescent="0.45">
      <c r="A1352" t="s">
        <v>1696</v>
      </c>
      <c r="B1352" t="str">
        <f t="shared" si="160"/>
        <v>1999</v>
      </c>
      <c r="C1352" t="str">
        <f t="shared" si="161"/>
        <v>New Riders</v>
      </c>
      <c r="D1352" t="str">
        <f t="shared" si="162"/>
        <v>Hawhee et al</v>
      </c>
      <c r="E1352" s="3" t="str">
        <f t="shared" si="163"/>
        <v/>
      </c>
      <c r="F1352" s="3" t="str">
        <f t="shared" si="164"/>
        <v>.pdf</v>
      </c>
      <c r="G1352">
        <f t="shared" si="165"/>
        <v>84</v>
      </c>
      <c r="H1352" s="3">
        <f>LEN(Table1[[#This Row],[Auteur]])</f>
        <v>12</v>
      </c>
      <c r="I1352" s="3" t="str">
        <f t="shared" si="166"/>
        <v>MSCD Visual Basic 6 Exams 70-175 and 70-176</v>
      </c>
    </row>
    <row r="1353" spans="1:9" x14ac:dyDescent="0.45">
      <c r="A1353" t="s">
        <v>1697</v>
      </c>
      <c r="B1353" t="str">
        <f t="shared" si="160"/>
        <v>2004</v>
      </c>
      <c r="C1353" t="str">
        <f t="shared" si="161"/>
        <v>Elsevier</v>
      </c>
      <c r="D1353" t="str">
        <f t="shared" si="162"/>
        <v>Fiach Reid</v>
      </c>
      <c r="E1353" s="3" t="str">
        <f t="shared" si="163"/>
        <v/>
      </c>
      <c r="F1353" t="str">
        <f t="shared" si="164"/>
        <v>.pdf</v>
      </c>
      <c r="G1353">
        <f t="shared" si="165"/>
        <v>85</v>
      </c>
      <c r="H1353" s="3">
        <f>LEN(Table1[[#This Row],[Auteur]])</f>
        <v>10</v>
      </c>
      <c r="I1353" s="3" t="str">
        <f t="shared" si="166"/>
        <v>Network programming .Net with C Sharp and VB.Net</v>
      </c>
    </row>
    <row r="1354" spans="1:9" x14ac:dyDescent="0.45">
      <c r="A1354" t="s">
        <v>1698</v>
      </c>
      <c r="B1354" t="str">
        <f t="shared" si="160"/>
        <v>2002</v>
      </c>
      <c r="C1354" t="str">
        <f t="shared" si="161"/>
        <v>Microsoft Press</v>
      </c>
      <c r="D1354" t="str">
        <f t="shared" si="162"/>
        <v>Robin A. Reynolds-Haertle</v>
      </c>
      <c r="E1354" s="3" t="str">
        <f t="shared" si="163"/>
        <v>Dump</v>
      </c>
      <c r="F1354" t="str">
        <f t="shared" si="164"/>
        <v>.pdf</v>
      </c>
      <c r="G1354">
        <f t="shared" si="165"/>
        <v>144</v>
      </c>
      <c r="H1354" s="3">
        <f>LEN(Table1[[#This Row],[Auteur]])</f>
        <v>25</v>
      </c>
      <c r="I1354" s="3" t="str">
        <f t="shared" si="166"/>
        <v>OOP with Microsoft Visual Basic .Net and Microsoft Visual C Sharp Step by Step</v>
      </c>
    </row>
    <row r="1355" spans="1:9" x14ac:dyDescent="0.45">
      <c r="A1355" t="s">
        <v>1699</v>
      </c>
      <c r="B1355" t="str">
        <f t="shared" si="160"/>
        <v>2008</v>
      </c>
      <c r="C1355" t="str">
        <f t="shared" si="161"/>
        <v>Apress</v>
      </c>
      <c r="D1355" t="str">
        <f t="shared" si="162"/>
        <v>Andrew Troelsen</v>
      </c>
      <c r="E1355" s="3" t="str">
        <f t="shared" si="163"/>
        <v/>
      </c>
      <c r="F1355" s="3" t="str">
        <f t="shared" si="164"/>
        <v>.pdf</v>
      </c>
      <c r="G1355" s="3">
        <f t="shared" si="165"/>
        <v>77</v>
      </c>
      <c r="H1355" s="3">
        <f>LEN(Table1[[#This Row],[Auteur]])</f>
        <v>15</v>
      </c>
      <c r="I1355" s="3" t="str">
        <f t="shared" si="166"/>
        <v>Pro VB 2008 and the .Net 3.5 Platform</v>
      </c>
    </row>
    <row r="1356" spans="1:9" x14ac:dyDescent="0.45">
      <c r="A1356" t="s">
        <v>1700</v>
      </c>
      <c r="B1356" t="str">
        <f t="shared" si="160"/>
        <v>2006</v>
      </c>
      <c r="C1356" t="str">
        <f t="shared" si="161"/>
        <v>Wiley</v>
      </c>
      <c r="D1356" t="str">
        <f t="shared" si="162"/>
        <v>Evjen et al</v>
      </c>
      <c r="E1356" s="3" t="str">
        <f t="shared" si="163"/>
        <v/>
      </c>
      <c r="F1356" t="str">
        <f t="shared" si="164"/>
        <v>.pdf</v>
      </c>
      <c r="G1356">
        <f t="shared" si="165"/>
        <v>55</v>
      </c>
      <c r="H1356" s="3">
        <f>LEN(Table1[[#This Row],[Auteur]])</f>
        <v>11</v>
      </c>
      <c r="I1356" s="3" t="str">
        <f t="shared" si="166"/>
        <v>Professional VB 2005</v>
      </c>
    </row>
    <row r="1357" spans="1:9" x14ac:dyDescent="0.45">
      <c r="A1357" t="s">
        <v>1701</v>
      </c>
      <c r="B1357" t="str">
        <f t="shared" si="160"/>
        <v>2013</v>
      </c>
      <c r="C1357" t="str">
        <f t="shared" si="161"/>
        <v>Wiley</v>
      </c>
      <c r="D1357" t="str">
        <f t="shared" si="162"/>
        <v>Sheldon, Hollis, Windsor, McCarter, Hillar, Herman</v>
      </c>
      <c r="E1357" s="3" t="str">
        <f t="shared" si="163"/>
        <v/>
      </c>
      <c r="F1357" t="str">
        <f t="shared" si="164"/>
        <v>.pdf</v>
      </c>
      <c r="G1357">
        <f t="shared" si="165"/>
        <v>128</v>
      </c>
      <c r="H1357" s="3">
        <f>LEN(Table1[[#This Row],[Auteur]])</f>
        <v>50</v>
      </c>
      <c r="I1357" s="3" t="str">
        <f t="shared" si="166"/>
        <v>Professional Visual Basic 2012 and NET.4.5 Programming</v>
      </c>
    </row>
    <row r="1358" spans="1:9" x14ac:dyDescent="0.45">
      <c r="A1358" t="s">
        <v>1702</v>
      </c>
      <c r="B1358" t="str">
        <f t="shared" si="160"/>
        <v>2002</v>
      </c>
      <c r="C1358" t="str">
        <f t="shared" si="161"/>
        <v>O'Reilly</v>
      </c>
      <c r="D1358" t="str">
        <f t="shared" si="162"/>
        <v>Dave Grundgeiger</v>
      </c>
      <c r="E1358" s="3" t="str">
        <f t="shared" si="163"/>
        <v>Dump</v>
      </c>
      <c r="F1358" s="3" t="str">
        <f t="shared" si="164"/>
        <v>.pdf</v>
      </c>
      <c r="G1358">
        <f t="shared" si="165"/>
        <v>79</v>
      </c>
      <c r="H1358" s="3">
        <f>LEN(Table1[[#This Row],[Auteur]])</f>
        <v>16</v>
      </c>
      <c r="I1358" s="3" t="str">
        <f t="shared" si="166"/>
        <v>Programming Visual Basic .Net</v>
      </c>
    </row>
    <row r="1359" spans="1:9" x14ac:dyDescent="0.45">
      <c r="A1359" t="s">
        <v>1703</v>
      </c>
      <c r="B1359" t="str">
        <f t="shared" si="160"/>
        <v>2003</v>
      </c>
      <c r="C1359" t="str">
        <f t="shared" si="161"/>
        <v>Microsoft Press</v>
      </c>
      <c r="D1359" t="str">
        <f t="shared" si="162"/>
        <v>Charles Petzold</v>
      </c>
      <c r="E1359" s="3" t="str">
        <f t="shared" si="163"/>
        <v/>
      </c>
      <c r="F1359" s="3" t="str">
        <f t="shared" si="164"/>
        <v>.pdf</v>
      </c>
      <c r="G1359" s="3">
        <f t="shared" si="165"/>
        <v>101</v>
      </c>
      <c r="H1359" s="3">
        <f>LEN(Table1[[#This Row],[Auteur]])</f>
        <v>15</v>
      </c>
      <c r="I1359" s="3" t="str">
        <f t="shared" si="166"/>
        <v>Programming Windows with Visual Basic Core Reference</v>
      </c>
    </row>
    <row r="1360" spans="1:9" x14ac:dyDescent="0.45">
      <c r="A1360" t="s">
        <v>1704</v>
      </c>
      <c r="B1360" t="str">
        <f t="shared" si="160"/>
        <v>2004</v>
      </c>
      <c r="C1360" t="str">
        <f t="shared" si="161"/>
        <v>Sams</v>
      </c>
      <c r="D1360" t="str">
        <f t="shared" si="162"/>
        <v>Greg Perry</v>
      </c>
      <c r="E1360" s="3" t="str">
        <f t="shared" si="163"/>
        <v>Dump</v>
      </c>
      <c r="F1360" s="3" t="str">
        <f t="shared" si="164"/>
        <v>.pdf</v>
      </c>
      <c r="G1360">
        <f t="shared" si="165"/>
        <v>80</v>
      </c>
      <c r="H1360" s="3">
        <f>LEN(Table1[[#This Row],[Auteur]])</f>
        <v>10</v>
      </c>
      <c r="I1360" s="3" t="str">
        <f t="shared" si="166"/>
        <v>Teach Yourself Visual Basic 6 in 21 Days</v>
      </c>
    </row>
    <row r="1361" spans="1:9" x14ac:dyDescent="0.45">
      <c r="A1361" t="s">
        <v>1705</v>
      </c>
      <c r="B1361" t="str">
        <f t="shared" si="160"/>
        <v>2006</v>
      </c>
      <c r="C1361" t="str">
        <f t="shared" si="161"/>
        <v>No Starch</v>
      </c>
      <c r="D1361" t="str">
        <f t="shared" si="162"/>
        <v>Matthew MacDonald</v>
      </c>
      <c r="E1361" s="3" t="str">
        <f t="shared" si="163"/>
        <v/>
      </c>
      <c r="F1361" s="3" t="str">
        <f t="shared" si="164"/>
        <v>.pdf</v>
      </c>
      <c r="G1361" s="3">
        <f t="shared" si="165"/>
        <v>114</v>
      </c>
      <c r="H1361" s="3">
        <f>LEN(Table1[[#This Row],[Auteur]])</f>
        <v>17</v>
      </c>
      <c r="I1361" s="3" t="str">
        <f t="shared" si="166"/>
        <v>The Book of Visual Basic 2005, .Net Insight for Classic VB Developers</v>
      </c>
    </row>
    <row r="1362" spans="1:9" x14ac:dyDescent="0.45">
      <c r="A1362" t="s">
        <v>1706</v>
      </c>
      <c r="B1362" t="str">
        <f t="shared" si="160"/>
        <v>1998</v>
      </c>
      <c r="C1362" t="str">
        <f t="shared" si="161"/>
        <v>Que</v>
      </c>
      <c r="D1362" t="str">
        <f t="shared" si="162"/>
        <v>Brian Siler, Jeff Spotts</v>
      </c>
      <c r="E1362" s="3" t="str">
        <f t="shared" si="163"/>
        <v/>
      </c>
      <c r="F1362" t="str">
        <f t="shared" si="164"/>
        <v>.pdf</v>
      </c>
      <c r="G1362">
        <f t="shared" si="165"/>
        <v>66</v>
      </c>
      <c r="H1362" s="3">
        <f>LEN(Table1[[#This Row],[Auteur]])</f>
        <v>24</v>
      </c>
      <c r="I1362" s="3" t="str">
        <f t="shared" si="166"/>
        <v>Using Visual Basic 6</v>
      </c>
    </row>
    <row r="1363" spans="1:9" x14ac:dyDescent="0.45">
      <c r="A1363" t="s">
        <v>1707</v>
      </c>
      <c r="B1363" t="str">
        <f t="shared" si="160"/>
        <v>2001</v>
      </c>
      <c r="C1363" t="str">
        <f t="shared" si="161"/>
        <v>Syngress</v>
      </c>
      <c r="D1363" t="str">
        <f t="shared" si="162"/>
        <v>?</v>
      </c>
      <c r="E1363" s="3" t="str">
        <f t="shared" si="163"/>
        <v/>
      </c>
      <c r="F1363" s="3" t="str">
        <f t="shared" si="164"/>
        <v>.pdf</v>
      </c>
      <c r="G1363">
        <f t="shared" si="165"/>
        <v>47</v>
      </c>
      <c r="H1363" s="3">
        <f>LEN(Table1[[#This Row],[Auteur]])</f>
        <v>1</v>
      </c>
      <c r="I1363" s="3" t="str">
        <f t="shared" si="166"/>
        <v>VB.Net Developers guide</v>
      </c>
    </row>
    <row r="1364" spans="1:9" x14ac:dyDescent="0.45">
      <c r="A1364" t="s">
        <v>1708</v>
      </c>
      <c r="B1364" t="str">
        <f t="shared" si="160"/>
        <v>?</v>
      </c>
      <c r="C1364" t="str">
        <f t="shared" si="161"/>
        <v>?</v>
      </c>
      <c r="D1364" t="str">
        <f t="shared" si="162"/>
        <v>?</v>
      </c>
      <c r="E1364" s="3" t="str">
        <f t="shared" si="163"/>
        <v/>
      </c>
      <c r="F1364" t="str">
        <f t="shared" si="164"/>
        <v>.pdf</v>
      </c>
      <c r="G1364">
        <f t="shared" si="165"/>
        <v>36</v>
      </c>
      <c r="H1364" s="3">
        <f>LEN(Table1[[#This Row],[Auteur]])</f>
        <v>1</v>
      </c>
      <c r="I1364" s="3" t="str">
        <f t="shared" si="166"/>
        <v>Visual Basic .Net How to Program</v>
      </c>
    </row>
    <row r="1365" spans="1:9" x14ac:dyDescent="0.45">
      <c r="A1365" t="s">
        <v>1709</v>
      </c>
      <c r="B1365" t="str">
        <f t="shared" si="160"/>
        <v>2001</v>
      </c>
      <c r="C1365" t="str">
        <f t="shared" si="161"/>
        <v>O'Reilly</v>
      </c>
      <c r="D1365" t="str">
        <f t="shared" si="162"/>
        <v>Steven Roman, Ron Petrusha, Paul Lomax</v>
      </c>
      <c r="E1365" s="3" t="str">
        <f t="shared" si="163"/>
        <v/>
      </c>
      <c r="F1365" s="3" t="str">
        <f t="shared" si="164"/>
        <v>.pdf</v>
      </c>
      <c r="G1365" s="3">
        <f t="shared" si="165"/>
        <v>105</v>
      </c>
      <c r="H1365" s="3">
        <f>LEN(Table1[[#This Row],[Auteur]])</f>
        <v>38</v>
      </c>
      <c r="I1365" s="3" t="str">
        <f t="shared" si="166"/>
        <v>Visual Basic .Net Language in a Nutshell</v>
      </c>
    </row>
    <row r="1366" spans="1:9" x14ac:dyDescent="0.45">
      <c r="A1366" t="s">
        <v>1710</v>
      </c>
      <c r="B1366" t="str">
        <f t="shared" si="160"/>
        <v>1998</v>
      </c>
      <c r="C1366" t="str">
        <f t="shared" si="161"/>
        <v>The Coriolis Group</v>
      </c>
      <c r="D1366" t="str">
        <f t="shared" si="162"/>
        <v>Steven Holzner</v>
      </c>
      <c r="E1366" s="3" t="str">
        <f t="shared" si="163"/>
        <v>Dump</v>
      </c>
      <c r="F1366" s="3" t="str">
        <f t="shared" si="164"/>
        <v>.pdf</v>
      </c>
      <c r="G1366" s="3">
        <f t="shared" si="165"/>
        <v>83</v>
      </c>
      <c r="H1366" s="3">
        <f>LEN(Table1[[#This Row],[Auteur]])</f>
        <v>14</v>
      </c>
      <c r="I1366" s="3" t="str">
        <f t="shared" si="166"/>
        <v>Visual Basic 6 Black Book</v>
      </c>
    </row>
    <row r="1367" spans="1:9" x14ac:dyDescent="0.45">
      <c r="A1367" t="s">
        <v>1711</v>
      </c>
      <c r="B1367" t="str">
        <f t="shared" si="160"/>
        <v>1999</v>
      </c>
      <c r="C1367" t="str">
        <f t="shared" si="161"/>
        <v>Sams</v>
      </c>
      <c r="D1367" t="str">
        <f t="shared" si="162"/>
        <v>Winemiller, Roff, Heyman, Groom</v>
      </c>
      <c r="E1367" s="3" t="str">
        <f t="shared" si="163"/>
        <v>Dump</v>
      </c>
      <c r="F1367" s="3" t="str">
        <f t="shared" si="164"/>
        <v>.pdf</v>
      </c>
      <c r="G1367">
        <f t="shared" si="165"/>
        <v>91</v>
      </c>
      <c r="H1367" s="3">
        <f>LEN(Table1[[#This Row],[Auteur]])</f>
        <v>31</v>
      </c>
      <c r="I1367" s="3" t="str">
        <f t="shared" si="166"/>
        <v>Visual Basic 6 Database How-To</v>
      </c>
    </row>
    <row r="1368" spans="1:9" x14ac:dyDescent="0.45">
      <c r="A1368" t="s">
        <v>1712</v>
      </c>
      <c r="B1368" t="str">
        <f t="shared" si="160"/>
        <v>1999</v>
      </c>
      <c r="C1368" t="str">
        <f t="shared" si="161"/>
        <v>Pearson</v>
      </c>
      <c r="D1368" t="str">
        <f t="shared" si="162"/>
        <v>David I. Schneider</v>
      </c>
      <c r="E1368" s="3" t="str">
        <f t="shared" si="163"/>
        <v/>
      </c>
      <c r="F1368" t="str">
        <f t="shared" si="164"/>
        <v>.pdf</v>
      </c>
      <c r="G1368">
        <f t="shared" si="165"/>
        <v>87</v>
      </c>
      <c r="H1368" s="3">
        <f>LEN(Table1[[#This Row],[Auteur]])</f>
        <v>18</v>
      </c>
      <c r="I1368" s="3" t="str">
        <f t="shared" si="166"/>
        <v>Visual Basic 6 Programming Concepts</v>
      </c>
    </row>
    <row r="1369" spans="1:9" x14ac:dyDescent="0.45">
      <c r="A1369" t="s">
        <v>1713</v>
      </c>
      <c r="B1369" t="str">
        <f t="shared" si="160"/>
        <v>2006</v>
      </c>
      <c r="C1369" t="str">
        <f t="shared" si="161"/>
        <v>Wiley</v>
      </c>
      <c r="D1369" t="str">
        <f t="shared" si="162"/>
        <v>Roger Jennings</v>
      </c>
      <c r="E1369" s="3" t="str">
        <f t="shared" si="163"/>
        <v/>
      </c>
      <c r="F1369" s="3" t="str">
        <f t="shared" si="164"/>
        <v>.pdf</v>
      </c>
      <c r="G1369" s="3">
        <f t="shared" si="165"/>
        <v>76</v>
      </c>
      <c r="H1369" s="3">
        <f>LEN(Table1[[#This Row],[Auteur]])</f>
        <v>14</v>
      </c>
      <c r="I1369" s="3" t="str">
        <f t="shared" si="166"/>
        <v>Visual Basic 2005 Database Programming</v>
      </c>
    </row>
    <row r="1370" spans="1:9" x14ac:dyDescent="0.45">
      <c r="A1370" t="s">
        <v>1714</v>
      </c>
      <c r="B1370" t="str">
        <f t="shared" si="160"/>
        <v>2006</v>
      </c>
      <c r="C1370" t="str">
        <f t="shared" si="161"/>
        <v>Wiley</v>
      </c>
      <c r="D1370" t="str">
        <f t="shared" si="162"/>
        <v>Andrew Parsons</v>
      </c>
      <c r="E1370" s="3" t="str">
        <f t="shared" si="163"/>
        <v/>
      </c>
      <c r="F1370" s="3" t="str">
        <f t="shared" si="164"/>
        <v>.pdf</v>
      </c>
      <c r="G1370" s="3">
        <f t="shared" si="165"/>
        <v>83</v>
      </c>
      <c r="H1370" s="3">
        <f>LEN(Table1[[#This Row],[Auteur]])</f>
        <v>14</v>
      </c>
      <c r="I1370" s="3" t="str">
        <f t="shared" si="166"/>
        <v>Visual Basic 2005 Express Edition Starter Kit</v>
      </c>
    </row>
    <row r="1371" spans="1:9" x14ac:dyDescent="0.45">
      <c r="A1371" t="s">
        <v>1715</v>
      </c>
      <c r="B1371" t="str">
        <f t="shared" si="160"/>
        <v>2006</v>
      </c>
      <c r="C1371" t="str">
        <f t="shared" si="161"/>
        <v>Wiley</v>
      </c>
      <c r="D1371" t="str">
        <f t="shared" si="162"/>
        <v>Bill Sempf</v>
      </c>
      <c r="E1371" s="3" t="str">
        <f t="shared" si="163"/>
        <v/>
      </c>
      <c r="F1371" t="str">
        <f t="shared" si="164"/>
        <v>.pdf</v>
      </c>
      <c r="G1371">
        <f t="shared" si="165"/>
        <v>63</v>
      </c>
      <c r="H1371" s="3">
        <f>LEN(Table1[[#This Row],[Auteur]])</f>
        <v>10</v>
      </c>
      <c r="I1371" s="3" t="str">
        <f t="shared" si="166"/>
        <v>Visual Basic 2005 For Dummies</v>
      </c>
    </row>
    <row r="1372" spans="1:9" x14ac:dyDescent="0.45">
      <c r="A1372" t="s">
        <v>1716</v>
      </c>
      <c r="B1372" t="str">
        <f t="shared" si="160"/>
        <v>2005</v>
      </c>
      <c r="C1372" t="str">
        <f t="shared" si="161"/>
        <v>Wiley</v>
      </c>
      <c r="D1372" t="str">
        <f t="shared" si="162"/>
        <v>Rod Stephens</v>
      </c>
      <c r="E1372" s="3" t="str">
        <f t="shared" si="163"/>
        <v/>
      </c>
      <c r="F1372" t="str">
        <f t="shared" si="164"/>
        <v>.pdf</v>
      </c>
      <c r="G1372">
        <f t="shared" si="165"/>
        <v>76</v>
      </c>
      <c r="H1372" s="3">
        <f>LEN(Table1[[#This Row],[Auteur]])</f>
        <v>12</v>
      </c>
      <c r="I1372" s="3" t="str">
        <f t="shared" si="166"/>
        <v>Visual Basic 2005 Programmer's Reference</v>
      </c>
    </row>
    <row r="1373" spans="1:9" x14ac:dyDescent="0.45">
      <c r="A1373" t="s">
        <v>1717</v>
      </c>
      <c r="B1373" t="str">
        <f t="shared" si="160"/>
        <v>2001</v>
      </c>
      <c r="C1373" t="str">
        <f t="shared" si="161"/>
        <v>Prima</v>
      </c>
      <c r="D1373" t="str">
        <f t="shared" si="162"/>
        <v>Michal A. Vine</v>
      </c>
      <c r="E1373" s="3" t="str">
        <f t="shared" si="163"/>
        <v/>
      </c>
      <c r="F1373" s="3" t="str">
        <f t="shared" si="164"/>
        <v>.pdf</v>
      </c>
      <c r="G1373">
        <f t="shared" si="165"/>
        <v>88</v>
      </c>
      <c r="H1373" s="3">
        <f>LEN(Table1[[#This Row],[Auteur]])</f>
        <v>14</v>
      </c>
      <c r="I1373" s="3" t="str">
        <f t="shared" si="166"/>
        <v>Visual Basic Programming for the Absolute Beginner</v>
      </c>
    </row>
    <row r="1374" spans="1:9" x14ac:dyDescent="0.45">
      <c r="A1374" t="s">
        <v>1718</v>
      </c>
      <c r="B1374" t="str">
        <f t="shared" si="160"/>
        <v>2001</v>
      </c>
      <c r="C1374" t="str">
        <f t="shared" si="161"/>
        <v>O'Reilly</v>
      </c>
      <c r="D1374" t="str">
        <f t="shared" si="162"/>
        <v>Stephen Treilbet</v>
      </c>
      <c r="E1374" s="3" t="str">
        <f t="shared" si="163"/>
        <v/>
      </c>
      <c r="F1374" s="3" t="str">
        <f t="shared" si="164"/>
        <v>.pdf</v>
      </c>
      <c r="G1374" s="3">
        <f t="shared" si="165"/>
        <v>97</v>
      </c>
      <c r="H1374" s="3">
        <f>LEN(Table1[[#This Row],[Auteur]])</f>
        <v>16</v>
      </c>
      <c r="I1374" s="3" t="str">
        <f t="shared" si="166"/>
        <v>Visual Basic, Subclassing and Hooking with VB &amp; VB.Net</v>
      </c>
    </row>
    <row r="1375" spans="1:9" x14ac:dyDescent="0.45">
      <c r="A1375" t="s">
        <v>1719</v>
      </c>
      <c r="B1375" t="str">
        <f t="shared" si="160"/>
        <v>2008</v>
      </c>
      <c r="C1375" t="str">
        <f t="shared" si="161"/>
        <v>ENI</v>
      </c>
      <c r="D1375" t="str">
        <f t="shared" si="162"/>
        <v>Thierry Groussard</v>
      </c>
      <c r="E1375" s="3" t="str">
        <f t="shared" si="163"/>
        <v>Dump</v>
      </c>
      <c r="F1375" s="3" t="str">
        <f t="shared" si="164"/>
        <v>.pdf</v>
      </c>
      <c r="G1375">
        <f t="shared" si="165"/>
        <v>67</v>
      </c>
      <c r="H1375" s="3">
        <f>LEN(Table1[[#This Row],[Auteur]])</f>
        <v>17</v>
      </c>
      <c r="I1375" s="3" t="str">
        <f t="shared" si="166"/>
        <v>Visual Basic.Net 2008</v>
      </c>
    </row>
    <row r="1376" spans="1:9" x14ac:dyDescent="0.45">
      <c r="A1376" t="s">
        <v>1720</v>
      </c>
      <c r="B1376" t="str">
        <f t="shared" si="160"/>
        <v>2006</v>
      </c>
      <c r="C1376" t="str">
        <f t="shared" si="161"/>
        <v>World Scientific</v>
      </c>
      <c r="D1376" t="str">
        <f t="shared" si="162"/>
        <v>Miklós Bóna</v>
      </c>
      <c r="E1376" s="3" t="str">
        <f t="shared" si="163"/>
        <v/>
      </c>
      <c r="F1376" s="3" t="str">
        <f t="shared" si="164"/>
        <v>.pdf</v>
      </c>
      <c r="G1376" s="3">
        <f t="shared" si="165"/>
        <v>131</v>
      </c>
      <c r="H1376" s="3">
        <f>LEN(Table1[[#This Row],[Auteur]])</f>
        <v>11</v>
      </c>
      <c r="I1376" s="3" t="str">
        <f t="shared" si="166"/>
        <v>A Walk Through Combinatorics, An Introduction to Enumeration and Graph Theory</v>
      </c>
    </row>
    <row r="1377" spans="1:9" x14ac:dyDescent="0.45">
      <c r="A1377" t="s">
        <v>1721</v>
      </c>
      <c r="B1377" t="str">
        <f t="shared" si="160"/>
        <v>2012</v>
      </c>
      <c r="C1377" t="str">
        <f t="shared" si="161"/>
        <v>booksboon.com</v>
      </c>
      <c r="D1377" t="str">
        <f t="shared" si="162"/>
        <v>Krister Ahlestern</v>
      </c>
      <c r="E1377" s="3" t="str">
        <f t="shared" si="163"/>
        <v/>
      </c>
      <c r="F1377" s="3" t="str">
        <f t="shared" si="164"/>
        <v>.pdf</v>
      </c>
      <c r="G1377">
        <f t="shared" si="165"/>
        <v>74</v>
      </c>
      <c r="H1377" s="3">
        <f>LEN(Table1[[#This Row],[Auteur]])</f>
        <v>17</v>
      </c>
      <c r="I1377" s="3" t="str">
        <f t="shared" si="166"/>
        <v>An introduction to Matlab</v>
      </c>
    </row>
    <row r="1378" spans="1:9" x14ac:dyDescent="0.45">
      <c r="A1378" t="s">
        <v>1722</v>
      </c>
      <c r="B1378" t="str">
        <f t="shared" si="160"/>
        <v>2001</v>
      </c>
      <c r="C1378" t="str">
        <f t="shared" si="161"/>
        <v>Wiley</v>
      </c>
      <c r="D1378" t="str">
        <f t="shared" si="162"/>
        <v>Edwin K. P. Chong, Stanislaw H. Zak</v>
      </c>
      <c r="E1378" s="3" t="str">
        <f t="shared" si="163"/>
        <v/>
      </c>
      <c r="F1378" t="str">
        <f t="shared" si="164"/>
        <v>.pdf</v>
      </c>
      <c r="G1378">
        <f t="shared" si="165"/>
        <v>98</v>
      </c>
      <c r="H1378" s="3">
        <f>LEN(Table1[[#This Row],[Auteur]])</f>
        <v>35</v>
      </c>
      <c r="I1378" s="3" t="str">
        <f t="shared" si="166"/>
        <v>An Introduction to Optimization</v>
      </c>
    </row>
    <row r="1379" spans="1:9" x14ac:dyDescent="0.45">
      <c r="A1379" t="s">
        <v>1723</v>
      </c>
      <c r="B1379" t="str">
        <f t="shared" si="160"/>
        <v>2008</v>
      </c>
      <c r="C1379" t="str">
        <f t="shared" si="161"/>
        <v>Oxford</v>
      </c>
      <c r="D1379" t="str">
        <f t="shared" si="162"/>
        <v>Jiří Matoušek, Jaroslav Nešetřil</v>
      </c>
      <c r="E1379" s="3" t="str">
        <f t="shared" si="163"/>
        <v/>
      </c>
      <c r="F1379" s="3" t="str">
        <f t="shared" si="164"/>
        <v>.pdf</v>
      </c>
      <c r="G1379">
        <f t="shared" si="165"/>
        <v>102</v>
      </c>
      <c r="H1379" s="3">
        <f>LEN(Table1[[#This Row],[Auteur]])</f>
        <v>32</v>
      </c>
      <c r="I1379" s="3" t="str">
        <f t="shared" si="166"/>
        <v>An Invitation to Discrete Mathematics</v>
      </c>
    </row>
    <row r="1380" spans="1:9" hidden="1" x14ac:dyDescent="0.45">
      <c r="A1380" t="s">
        <v>2011</v>
      </c>
      <c r="B1380" t="str">
        <f t="shared" si="160"/>
        <v>2009</v>
      </c>
      <c r="C1380" t="str">
        <f t="shared" si="161"/>
        <v>CRC Press</v>
      </c>
      <c r="D1380" t="str">
        <f t="shared" si="162"/>
        <v>D. Hardy, F Richman, C Walker</v>
      </c>
      <c r="E1380" s="3" t="str">
        <f t="shared" si="163"/>
        <v/>
      </c>
      <c r="F1380" t="str">
        <f t="shared" si="164"/>
        <v>.pdf</v>
      </c>
      <c r="G1380">
        <f t="shared" si="165"/>
        <v>120</v>
      </c>
      <c r="H1380" s="3">
        <f>LEN(Table1[[#This Row],[Auteur]])</f>
        <v>29</v>
      </c>
      <c r="I1380" s="3" t="str">
        <f t="shared" ref="I1380:I1409" si="167">Title(A1380)</f>
        <v>Applied Algebra, Codes, Ciphers and Discrete Algorithms</v>
      </c>
    </row>
    <row r="1381" spans="1:9" x14ac:dyDescent="0.45">
      <c r="A1381" t="s">
        <v>1724</v>
      </c>
      <c r="B1381" t="str">
        <f t="shared" si="160"/>
        <v>1999</v>
      </c>
      <c r="C1381" t="str">
        <f t="shared" si="161"/>
        <v>CRC Press</v>
      </c>
      <c r="D1381" t="str">
        <f t="shared" si="162"/>
        <v>Donald L. Kreher, Douglas R. Stinson</v>
      </c>
      <c r="E1381" s="3" t="str">
        <f t="shared" si="163"/>
        <v/>
      </c>
      <c r="F1381" s="3" t="str">
        <f t="shared" si="164"/>
        <v>.djvu</v>
      </c>
      <c r="G1381">
        <f t="shared" si="165"/>
        <v>126</v>
      </c>
      <c r="H1381" s="3">
        <f>LEN(Table1[[#This Row],[Auteur]])</f>
        <v>36</v>
      </c>
      <c r="I1381" s="3" t="str">
        <f t="shared" si="167"/>
        <v>Combinatorial Algorithms, Generation, Enumeration, and Search</v>
      </c>
    </row>
    <row r="1382" spans="1:9" x14ac:dyDescent="0.45">
      <c r="A1382" t="s">
        <v>1725</v>
      </c>
      <c r="B1382" t="str">
        <f t="shared" si="160"/>
        <v>2008</v>
      </c>
      <c r="C1382" t="str">
        <f t="shared" si="161"/>
        <v>Springer</v>
      </c>
      <c r="D1382" t="str">
        <f t="shared" si="162"/>
        <v>John M. Harris, Jeffry L. Hirst, Michael J. Mossinghoff</v>
      </c>
      <c r="E1382" s="3" t="str">
        <f t="shared" si="163"/>
        <v/>
      </c>
      <c r="F1382" s="3" t="str">
        <f t="shared" si="164"/>
        <v>.pdf</v>
      </c>
      <c r="G1382">
        <f t="shared" si="165"/>
        <v>120</v>
      </c>
      <c r="H1382" s="3">
        <f>LEN(Table1[[#This Row],[Auteur]])</f>
        <v>55</v>
      </c>
      <c r="I1382" s="3" t="str">
        <f t="shared" si="167"/>
        <v>Combinatorics and Graph Theory</v>
      </c>
    </row>
    <row r="1383" spans="1:9" x14ac:dyDescent="0.45">
      <c r="A1383" t="s">
        <v>1726</v>
      </c>
      <c r="B1383" t="str">
        <f t="shared" si="160"/>
        <v>1985</v>
      </c>
      <c r="C1383" t="str">
        <f t="shared" si="161"/>
        <v>Computer Science Press</v>
      </c>
      <c r="D1383" t="str">
        <f t="shared" si="162"/>
        <v>S. Gill Williamson</v>
      </c>
      <c r="E1383" s="3" t="str">
        <f t="shared" si="163"/>
        <v/>
      </c>
      <c r="F1383" s="3" t="str">
        <f t="shared" si="164"/>
        <v>.djvu</v>
      </c>
      <c r="G1383">
        <f t="shared" si="165"/>
        <v>94</v>
      </c>
      <c r="H1383" s="3">
        <f>LEN(Table1[[#This Row],[Auteur]])</f>
        <v>18</v>
      </c>
      <c r="I1383" s="3" t="str">
        <f t="shared" si="167"/>
        <v>Combinatorics for Computer Science</v>
      </c>
    </row>
    <row r="1384" spans="1:9" x14ac:dyDescent="0.45">
      <c r="A1384" t="s">
        <v>1727</v>
      </c>
      <c r="B1384" t="str">
        <f t="shared" si="160"/>
        <v>2004</v>
      </c>
      <c r="C1384" t="str">
        <f t="shared" si="161"/>
        <v>CRC Press</v>
      </c>
      <c r="D1384" t="str">
        <f t="shared" si="162"/>
        <v>Miklós Bóna</v>
      </c>
      <c r="E1384" s="3" t="str">
        <f t="shared" si="163"/>
        <v/>
      </c>
      <c r="F1384" t="str">
        <f t="shared" si="164"/>
        <v>.pdf</v>
      </c>
      <c r="G1384">
        <f t="shared" si="165"/>
        <v>68</v>
      </c>
      <c r="H1384" s="3">
        <f>LEN(Table1[[#This Row],[Auteur]])</f>
        <v>11</v>
      </c>
      <c r="I1384" s="3" t="str">
        <f t="shared" si="167"/>
        <v>Combinatorics of Permutations</v>
      </c>
    </row>
    <row r="1385" spans="1:9" x14ac:dyDescent="0.45">
      <c r="A1385" t="s">
        <v>1728</v>
      </c>
      <c r="B1385" t="str">
        <f t="shared" si="160"/>
        <v>1994</v>
      </c>
      <c r="C1385" t="str">
        <f t="shared" si="161"/>
        <v>Cambridge</v>
      </c>
      <c r="D1385" t="str">
        <f t="shared" si="162"/>
        <v>P. Cameron</v>
      </c>
      <c r="E1385" s="3" t="str">
        <f t="shared" si="163"/>
        <v/>
      </c>
      <c r="F1385" t="str">
        <f t="shared" si="164"/>
        <v>.djvu</v>
      </c>
      <c r="G1385">
        <f t="shared" si="165"/>
        <v>87</v>
      </c>
      <c r="H1385" s="3">
        <f>LEN(Table1[[#This Row],[Auteur]])</f>
        <v>10</v>
      </c>
      <c r="I1385" s="3" t="str">
        <f t="shared" si="167"/>
        <v>Combinatorics, Topics, Techniques and Algorithms</v>
      </c>
    </row>
    <row r="1386" spans="1:9" x14ac:dyDescent="0.45">
      <c r="A1386" t="s">
        <v>1729</v>
      </c>
      <c r="B1386" t="str">
        <f t="shared" si="160"/>
        <v>2003</v>
      </c>
      <c r="C1386" t="str">
        <f t="shared" si="161"/>
        <v>?</v>
      </c>
      <c r="D1386" t="str">
        <f t="shared" si="162"/>
        <v>V. E. Wolfengagen</v>
      </c>
      <c r="E1386" s="3" t="str">
        <f t="shared" si="163"/>
        <v/>
      </c>
      <c r="F1386" s="3" t="str">
        <f t="shared" si="164"/>
        <v>.pdf</v>
      </c>
      <c r="G1386">
        <f t="shared" si="165"/>
        <v>71</v>
      </c>
      <c r="H1386" s="3">
        <f>LEN(Table1[[#This Row],[Auteur]])</f>
        <v>17</v>
      </c>
      <c r="I1386" s="3" t="str">
        <f t="shared" si="167"/>
        <v>Combinatory Logic in Programming</v>
      </c>
    </row>
    <row r="1387" spans="1:9" x14ac:dyDescent="0.45">
      <c r="A1387" t="s">
        <v>1730</v>
      </c>
      <c r="B1387" t="str">
        <f t="shared" si="160"/>
        <v>2005</v>
      </c>
      <c r="C1387" t="str">
        <f t="shared" si="161"/>
        <v>Springer</v>
      </c>
      <c r="D1387" t="str">
        <f t="shared" si="162"/>
        <v>Guerino Mazzola, Gérard Milmeister, JodyWeissmann</v>
      </c>
      <c r="E1387" s="3" t="str">
        <f t="shared" si="163"/>
        <v/>
      </c>
      <c r="F1387" t="str">
        <f t="shared" si="164"/>
        <v>.pdf</v>
      </c>
      <c r="G1387">
        <f t="shared" si="165"/>
        <v>126</v>
      </c>
      <c r="H1387" s="3">
        <f>LEN(Table1[[#This Row],[Auteur]])</f>
        <v>49</v>
      </c>
      <c r="I1387" s="3" t="str">
        <f t="shared" si="167"/>
        <v>Comprehensive Mathematics for Computer Scientist 2</v>
      </c>
    </row>
    <row r="1388" spans="1:9" x14ac:dyDescent="0.45">
      <c r="A1388" t="s">
        <v>1731</v>
      </c>
      <c r="B1388" t="str">
        <f t="shared" si="160"/>
        <v>2006</v>
      </c>
      <c r="C1388" t="str">
        <f t="shared" si="161"/>
        <v>Springer</v>
      </c>
      <c r="D1388" t="str">
        <f t="shared" si="162"/>
        <v>Guerino Mazzola, Gérard Milmeister, Jody Weissmann</v>
      </c>
      <c r="E1388" s="3" t="str">
        <f t="shared" si="163"/>
        <v/>
      </c>
      <c r="F1388" t="str">
        <f t="shared" si="164"/>
        <v>.pdf</v>
      </c>
      <c r="G1388">
        <f t="shared" si="165"/>
        <v>128</v>
      </c>
      <c r="H1388" s="3">
        <f>LEN(Table1[[#This Row],[Auteur]])</f>
        <v>50</v>
      </c>
      <c r="I1388" s="3" t="str">
        <f t="shared" si="167"/>
        <v>Comprehensive Mathematics for Computer Scientists 1</v>
      </c>
    </row>
    <row r="1389" spans="1:9" x14ac:dyDescent="0.45">
      <c r="A1389" t="s">
        <v>1732</v>
      </c>
      <c r="B1389" t="str">
        <f t="shared" si="160"/>
        <v>2005</v>
      </c>
      <c r="C1389" t="str">
        <f t="shared" si="161"/>
        <v>Springer</v>
      </c>
      <c r="D1389" t="str">
        <f t="shared" si="162"/>
        <v>Guerino Mazzola, Gérard Milmeister, Jody Weissmann</v>
      </c>
      <c r="E1389" s="3" t="str">
        <f t="shared" si="163"/>
        <v/>
      </c>
      <c r="F1389" s="3" t="str">
        <f t="shared" si="164"/>
        <v>.pdf</v>
      </c>
      <c r="G1389">
        <f t="shared" si="165"/>
        <v>128</v>
      </c>
      <c r="H1389" s="3">
        <f>LEN(Table1[[#This Row],[Auteur]])</f>
        <v>50</v>
      </c>
      <c r="I1389" s="3" t="str">
        <f t="shared" si="167"/>
        <v>Comprehensive Mathematics for Computer Scientists 2</v>
      </c>
    </row>
    <row r="1390" spans="1:9" x14ac:dyDescent="0.45">
      <c r="A1390" t="s">
        <v>1733</v>
      </c>
      <c r="B1390" t="str">
        <f t="shared" si="160"/>
        <v>2009</v>
      </c>
      <c r="C1390" t="str">
        <f t="shared" si="161"/>
        <v>Gatesmark</v>
      </c>
      <c r="D1390" t="str">
        <f t="shared" si="162"/>
        <v>Rafael C. Gonzalez, Richard E. Woods, Steven L. Eddins</v>
      </c>
      <c r="E1390" s="3" t="str">
        <f t="shared" si="163"/>
        <v/>
      </c>
      <c r="F1390" s="3" t="str">
        <f t="shared" si="164"/>
        <v>.pdf</v>
      </c>
      <c r="G1390">
        <f t="shared" si="165"/>
        <v>119</v>
      </c>
      <c r="H1390" s="3">
        <f>LEN(Table1[[#This Row],[Auteur]])</f>
        <v>54</v>
      </c>
      <c r="I1390" s="3" t="str">
        <f t="shared" si="167"/>
        <v>Digital Image Processing Using Matlab</v>
      </c>
    </row>
    <row r="1391" spans="1:9" x14ac:dyDescent="0.45">
      <c r="A1391" t="s">
        <v>1734</v>
      </c>
      <c r="B1391" t="str">
        <f t="shared" si="160"/>
        <v>2004</v>
      </c>
      <c r="C1391" t="str">
        <f t="shared" si="161"/>
        <v>Pearson</v>
      </c>
      <c r="D1391" t="str">
        <f t="shared" si="162"/>
        <v>Ralph P. Grimaldi</v>
      </c>
      <c r="E1391" s="3" t="str">
        <f t="shared" si="163"/>
        <v/>
      </c>
      <c r="F1391" t="str">
        <f t="shared" si="164"/>
        <v>.djvu</v>
      </c>
      <c r="G1391">
        <f t="shared" si="165"/>
        <v>90</v>
      </c>
      <c r="H1391" s="3">
        <f>LEN(Table1[[#This Row],[Auteur]])</f>
        <v>17</v>
      </c>
      <c r="I1391" s="3" t="str">
        <f t="shared" si="167"/>
        <v>Discrete and Combinatorial Mathematics</v>
      </c>
    </row>
    <row r="1392" spans="1:9" x14ac:dyDescent="0.45">
      <c r="A1392" t="s">
        <v>1735</v>
      </c>
      <c r="B1392" t="str">
        <f t="shared" si="160"/>
        <v>2004</v>
      </c>
      <c r="C1392" t="str">
        <f t="shared" si="161"/>
        <v>?</v>
      </c>
      <c r="D1392" t="str">
        <f t="shared" si="162"/>
        <v>?</v>
      </c>
      <c r="E1392" t="str">
        <f t="shared" si="163"/>
        <v/>
      </c>
      <c r="F1392" t="str">
        <f t="shared" si="164"/>
        <v>.djvu</v>
      </c>
      <c r="G1392">
        <f t="shared" si="165"/>
        <v>69</v>
      </c>
      <c r="H1392" s="3">
        <f>LEN(Table1[[#This Row],[Auteur]])</f>
        <v>1</v>
      </c>
      <c r="I1392" s="3" t="str">
        <f t="shared" si="167"/>
        <v>Discrete and Combinatorial Mathematics</v>
      </c>
    </row>
    <row r="1393" spans="1:9" x14ac:dyDescent="0.45">
      <c r="A1393" t="s">
        <v>1736</v>
      </c>
      <c r="B1393" t="str">
        <f t="shared" si="160"/>
        <v>2004</v>
      </c>
      <c r="C1393" t="str">
        <f t="shared" si="161"/>
        <v>?</v>
      </c>
      <c r="D1393" t="str">
        <f t="shared" si="162"/>
        <v>Ken Bogart, Scot Drysdale, Cliff Stein</v>
      </c>
      <c r="E1393" s="3" t="str">
        <f t="shared" si="163"/>
        <v/>
      </c>
      <c r="F1393" s="3" t="str">
        <f t="shared" si="164"/>
        <v>.pdf</v>
      </c>
      <c r="G1393">
        <f t="shared" si="165"/>
        <v>95</v>
      </c>
      <c r="H1393" s="3">
        <f>LEN(Table1[[#This Row],[Auteur]])</f>
        <v>38</v>
      </c>
      <c r="I1393" s="3" t="str">
        <f t="shared" si="167"/>
        <v>Discrete Math for Computer Science Students</v>
      </c>
    </row>
    <row r="1394" spans="1:9" x14ac:dyDescent="0.45">
      <c r="A1394" t="s">
        <v>1737</v>
      </c>
      <c r="B1394" t="str">
        <f t="shared" si="160"/>
        <v>1999</v>
      </c>
      <c r="C1394" t="str">
        <f t="shared" si="161"/>
        <v>Yale University</v>
      </c>
      <c r="D1394" t="str">
        <f t="shared" si="162"/>
        <v>L. Lovász, K. Vesztergombi</v>
      </c>
      <c r="E1394" s="3" t="str">
        <f t="shared" si="163"/>
        <v/>
      </c>
      <c r="F1394" t="str">
        <f t="shared" si="164"/>
        <v>.pdf</v>
      </c>
      <c r="G1394">
        <f t="shared" si="165"/>
        <v>80</v>
      </c>
      <c r="H1394" s="3">
        <f>LEN(Table1[[#This Row],[Auteur]])</f>
        <v>26</v>
      </c>
      <c r="I1394" s="3" t="str">
        <f t="shared" si="167"/>
        <v>Discrete Mathematics</v>
      </c>
    </row>
    <row r="1395" spans="1:9" x14ac:dyDescent="0.45">
      <c r="A1395" t="s">
        <v>1738</v>
      </c>
      <c r="B1395" t="str">
        <f t="shared" si="160"/>
        <v>2007</v>
      </c>
      <c r="C1395" t="str">
        <f t="shared" si="161"/>
        <v>McGraw-Hill</v>
      </c>
      <c r="D1395" t="str">
        <f t="shared" si="162"/>
        <v>Kenneth H. Rosen</v>
      </c>
      <c r="E1395" s="3" t="str">
        <f t="shared" si="163"/>
        <v>Scan</v>
      </c>
      <c r="F1395" t="str">
        <f t="shared" si="164"/>
        <v>.pdf</v>
      </c>
      <c r="G1395">
        <f t="shared" si="165"/>
        <v>102</v>
      </c>
      <c r="H1395" s="3">
        <f>LEN(Table1[[#This Row],[Auteur]])</f>
        <v>16</v>
      </c>
      <c r="I1395" s="3" t="str">
        <f t="shared" si="167"/>
        <v>Discrete Mathematics and Its Applications</v>
      </c>
    </row>
    <row r="1396" spans="1:9" x14ac:dyDescent="0.45">
      <c r="A1396" t="s">
        <v>1739</v>
      </c>
      <c r="B1396" t="str">
        <f t="shared" si="160"/>
        <v>2007</v>
      </c>
      <c r="C1396" t="str">
        <f t="shared" si="161"/>
        <v>?</v>
      </c>
      <c r="D1396" t="str">
        <f t="shared" si="162"/>
        <v>?</v>
      </c>
      <c r="E1396" s="3" t="str">
        <f t="shared" si="163"/>
        <v/>
      </c>
      <c r="F1396" s="3" t="str">
        <f t="shared" si="164"/>
        <v>.rar</v>
      </c>
      <c r="G1396">
        <f t="shared" si="165"/>
        <v>69</v>
      </c>
      <c r="H1396" s="3">
        <f>LEN(Table1[[#This Row],[Auteur]])</f>
        <v>1</v>
      </c>
      <c r="I1396" s="3" t="str">
        <f t="shared" si="167"/>
        <v>Discrete Mathematics and Its Applications</v>
      </c>
    </row>
    <row r="1397" spans="1:9" x14ac:dyDescent="0.45">
      <c r="A1397" t="s">
        <v>1965</v>
      </c>
      <c r="B1397" t="str">
        <f t="shared" si="160"/>
        <v>1986</v>
      </c>
      <c r="C1397" t="str">
        <f t="shared" si="161"/>
        <v>Prentice Hall</v>
      </c>
      <c r="D1397" t="str">
        <f t="shared" si="162"/>
        <v>Mott, Kandel, Baker</v>
      </c>
      <c r="E1397" s="3" t="str">
        <f t="shared" si="163"/>
        <v/>
      </c>
      <c r="F1397" s="3" t="str">
        <f t="shared" si="164"/>
        <v>.djvu</v>
      </c>
      <c r="G1397" s="3">
        <f t="shared" si="165"/>
        <v>123</v>
      </c>
      <c r="H1397" s="3">
        <f>LEN(Table1[[#This Row],[Auteur]])</f>
        <v>19</v>
      </c>
      <c r="I1397" s="3" t="str">
        <f t="shared" si="167"/>
        <v>Discrete Mathematics for Computer Scientists and Mathematicians</v>
      </c>
    </row>
    <row r="1398" spans="1:9" x14ac:dyDescent="0.45">
      <c r="A1398" t="s">
        <v>1740</v>
      </c>
      <c r="B1398" t="str">
        <f t="shared" si="160"/>
        <v>2016</v>
      </c>
      <c r="C1398" t="str">
        <f t="shared" si="161"/>
        <v>Wiley</v>
      </c>
      <c r="D1398" t="str">
        <f t="shared" si="162"/>
        <v>Marty Lewinter, Jeanine Meyer</v>
      </c>
      <c r="E1398" s="3" t="str">
        <f t="shared" si="163"/>
        <v/>
      </c>
      <c r="F1398" t="str">
        <f t="shared" si="164"/>
        <v>.pdf</v>
      </c>
      <c r="G1398">
        <f t="shared" si="165"/>
        <v>94</v>
      </c>
      <c r="H1398" s="3">
        <f>LEN(Table1[[#This Row],[Auteur]])</f>
        <v>29</v>
      </c>
      <c r="I1398" s="3" t="str">
        <f t="shared" si="167"/>
        <v>Elementary Number Theory with Programming</v>
      </c>
    </row>
    <row r="1399" spans="1:9" x14ac:dyDescent="0.45">
      <c r="A1399" t="s">
        <v>1741</v>
      </c>
      <c r="B1399" t="str">
        <f t="shared" si="160"/>
        <v>2009</v>
      </c>
      <c r="C1399" t="str">
        <f t="shared" si="161"/>
        <v>Springer</v>
      </c>
      <c r="D1399" t="str">
        <f t="shared" si="162"/>
        <v>C. A. Floudas, P. M. Pardalos</v>
      </c>
      <c r="E1399" s="3" t="str">
        <f t="shared" si="163"/>
        <v/>
      </c>
      <c r="F1399" t="str">
        <f t="shared" si="164"/>
        <v>.pdf</v>
      </c>
      <c r="G1399">
        <f t="shared" si="165"/>
        <v>92</v>
      </c>
      <c r="H1399" s="3">
        <f>LEN(Table1[[#This Row],[Auteur]])</f>
        <v>29</v>
      </c>
      <c r="I1399" s="3" t="str">
        <f t="shared" si="167"/>
        <v>Encyclopedia of Optimization</v>
      </c>
    </row>
    <row r="1400" spans="1:9" x14ac:dyDescent="0.45">
      <c r="A1400" t="s">
        <v>1742</v>
      </c>
      <c r="B1400" t="str">
        <f t="shared" si="160"/>
        <v>2005</v>
      </c>
      <c r="C1400" t="str">
        <f t="shared" si="161"/>
        <v>?</v>
      </c>
      <c r="D1400" t="str">
        <f t="shared" si="162"/>
        <v>Edward A. Bender, S. Gill Williamson</v>
      </c>
      <c r="E1400" s="3" t="str">
        <f t="shared" si="163"/>
        <v/>
      </c>
      <c r="F1400" t="str">
        <f t="shared" si="164"/>
        <v>.pdf</v>
      </c>
      <c r="G1400">
        <f t="shared" si="165"/>
        <v>96</v>
      </c>
      <c r="H1400" s="3">
        <f>LEN(Table1[[#This Row],[Auteur]])</f>
        <v>36</v>
      </c>
      <c r="I1400" s="3" t="str">
        <f t="shared" si="167"/>
        <v>Foundations of Combinatorics with Applications</v>
      </c>
    </row>
    <row r="1401" spans="1:9" x14ac:dyDescent="0.45">
      <c r="A1401" t="s">
        <v>1743</v>
      </c>
      <c r="B1401" t="str">
        <f t="shared" si="160"/>
        <v>1982</v>
      </c>
      <c r="C1401" t="str">
        <f t="shared" si="161"/>
        <v>North-Holland</v>
      </c>
      <c r="D1401" t="str">
        <f t="shared" si="162"/>
        <v>J.A. Bondy, U.S.R. Murty</v>
      </c>
      <c r="E1401" s="3" t="str">
        <f t="shared" si="163"/>
        <v>Scan</v>
      </c>
      <c r="F1401" t="str">
        <f t="shared" si="164"/>
        <v>.pdf</v>
      </c>
      <c r="G1401">
        <f t="shared" si="165"/>
        <v>101</v>
      </c>
      <c r="H1401" s="3">
        <f>LEN(Table1[[#This Row],[Auteur]])</f>
        <v>24</v>
      </c>
      <c r="I1401" s="3" t="str">
        <f t="shared" si="167"/>
        <v>Graph Theory with Applications</v>
      </c>
    </row>
    <row r="1402" spans="1:9" x14ac:dyDescent="0.45">
      <c r="A1402" t="s">
        <v>1744</v>
      </c>
      <c r="B1402" t="str">
        <f t="shared" si="160"/>
        <v>2000</v>
      </c>
      <c r="C1402" t="str">
        <f t="shared" si="161"/>
        <v>Springer</v>
      </c>
      <c r="D1402" t="str">
        <f t="shared" si="162"/>
        <v>Joan M. Aldous, Robin J. Wilson</v>
      </c>
      <c r="E1402" s="3" t="str">
        <f t="shared" si="163"/>
        <v/>
      </c>
      <c r="F1402" s="3" t="str">
        <f t="shared" si="164"/>
        <v>.djvu</v>
      </c>
      <c r="G1402">
        <f t="shared" si="165"/>
        <v>116</v>
      </c>
      <c r="H1402" s="3">
        <f>LEN(Table1[[#This Row],[Auteur]])</f>
        <v>31</v>
      </c>
      <c r="I1402" s="3" t="str">
        <f t="shared" si="167"/>
        <v>Graphs and Applications, An Introductory Approach</v>
      </c>
    </row>
    <row r="1403" spans="1:9" x14ac:dyDescent="0.45">
      <c r="A1403" t="s">
        <v>1745</v>
      </c>
      <c r="B1403" t="str">
        <f t="shared" si="160"/>
        <v>2005</v>
      </c>
      <c r="C1403" t="str">
        <f t="shared" si="161"/>
        <v>CRC Press</v>
      </c>
      <c r="D1403" t="str">
        <f t="shared" si="162"/>
        <v>William Kocay, Donald L Kreher</v>
      </c>
      <c r="E1403" s="3" t="str">
        <f t="shared" si="163"/>
        <v>Dump</v>
      </c>
      <c r="F1403" t="str">
        <f t="shared" si="164"/>
        <v>.pdf</v>
      </c>
      <c r="G1403">
        <f t="shared" si="165"/>
        <v>100</v>
      </c>
      <c r="H1403" s="3">
        <f>LEN(Table1[[#This Row],[Auteur]])</f>
        <v>30</v>
      </c>
      <c r="I1403" s="3" t="str">
        <f t="shared" si="167"/>
        <v>Graphs, Algorithms and Optimization</v>
      </c>
    </row>
    <row r="1404" spans="1:9" x14ac:dyDescent="0.45">
      <c r="A1404" t="s">
        <v>1966</v>
      </c>
      <c r="B1404" t="str">
        <f t="shared" si="160"/>
        <v>2010</v>
      </c>
      <c r="C1404" t="str">
        <f t="shared" si="161"/>
        <v>Birkhaüser</v>
      </c>
      <c r="D1404" t="str">
        <f t="shared" si="162"/>
        <v>Muller, Brisebarre et al</v>
      </c>
      <c r="E1404" s="3" t="str">
        <f t="shared" si="163"/>
        <v/>
      </c>
      <c r="F1404" t="str">
        <f t="shared" si="164"/>
        <v>.pdf</v>
      </c>
      <c r="G1404">
        <f t="shared" si="165"/>
        <v>90</v>
      </c>
      <c r="H1404" s="3">
        <f>LEN(Table1[[#This Row],[Auteur]])</f>
        <v>24</v>
      </c>
      <c r="I1404" s="3" t="str">
        <f t="shared" si="167"/>
        <v>Handbook of Floating Point Arithmetic</v>
      </c>
    </row>
    <row r="1405" spans="1:9" x14ac:dyDescent="0.45">
      <c r="A1405" t="s">
        <v>1746</v>
      </c>
      <c r="B1405" t="str">
        <f t="shared" si="160"/>
        <v>2006</v>
      </c>
      <c r="C1405" t="str">
        <f t="shared" si="161"/>
        <v>Springer</v>
      </c>
      <c r="D1405" t="str">
        <f t="shared" si="162"/>
        <v>Nikos Paragios</v>
      </c>
      <c r="E1405" s="3" t="str">
        <f t="shared" si="163"/>
        <v/>
      </c>
      <c r="F1405" t="str">
        <f t="shared" si="164"/>
        <v>.pdf</v>
      </c>
      <c r="G1405">
        <f t="shared" si="165"/>
        <v>91</v>
      </c>
      <c r="H1405" s="3">
        <f>LEN(Table1[[#This Row],[Auteur]])</f>
        <v>14</v>
      </c>
      <c r="I1405" s="3" t="str">
        <f t="shared" si="167"/>
        <v>Handbook of Mathematical Models in Computer Vision</v>
      </c>
    </row>
    <row r="1406" spans="1:9" x14ac:dyDescent="0.45">
      <c r="A1406" t="s">
        <v>1747</v>
      </c>
      <c r="B1406" t="str">
        <f t="shared" si="160"/>
        <v>2005</v>
      </c>
      <c r="C1406" t="str">
        <f t="shared" si="161"/>
        <v>New Age Intl</v>
      </c>
      <c r="D1406" t="str">
        <f t="shared" si="162"/>
        <v>Y.N. Singh</v>
      </c>
      <c r="E1406" s="3" t="str">
        <f t="shared" si="163"/>
        <v/>
      </c>
      <c r="F1406" t="str">
        <f t="shared" si="164"/>
        <v>.pdf</v>
      </c>
      <c r="G1406">
        <f t="shared" si="165"/>
        <v>84</v>
      </c>
      <c r="H1406" s="3">
        <f>LEN(Table1[[#This Row],[Auteur]])</f>
        <v>10</v>
      </c>
      <c r="I1406" s="3" t="str">
        <f t="shared" si="167"/>
        <v>Mathematical Foundation of Computer Science</v>
      </c>
    </row>
    <row r="1407" spans="1:9" x14ac:dyDescent="0.45">
      <c r="A1407" t="s">
        <v>1748</v>
      </c>
      <c r="B1407" t="str">
        <f t="shared" si="160"/>
        <v>2006</v>
      </c>
      <c r="C1407" t="str">
        <f t="shared" si="161"/>
        <v>Elsevier</v>
      </c>
      <c r="D1407" t="str">
        <f t="shared" si="162"/>
        <v>S.M. Sinha</v>
      </c>
      <c r="E1407" s="3" t="str">
        <f t="shared" si="163"/>
        <v/>
      </c>
      <c r="F1407" t="str">
        <f t="shared" si="164"/>
        <v>.djvu</v>
      </c>
      <c r="G1407">
        <f t="shared" si="165"/>
        <v>82</v>
      </c>
      <c r="H1407" s="3">
        <f>LEN(Table1[[#This Row],[Auteur]])</f>
        <v>10</v>
      </c>
      <c r="I1407" s="3" t="str">
        <f t="shared" si="167"/>
        <v>Mathematical Programming, Theory and Methods</v>
      </c>
    </row>
    <row r="1408" spans="1:9" x14ac:dyDescent="0.45">
      <c r="A1408" t="s">
        <v>1749</v>
      </c>
      <c r="B1408" t="str">
        <f t="shared" si="160"/>
        <v>1990</v>
      </c>
      <c r="C1408" t="str">
        <f t="shared" si="161"/>
        <v>Birkhaüser</v>
      </c>
      <c r="D1408" t="str">
        <f t="shared" si="162"/>
        <v>Daniel H. Greene, Donald E. Knuth</v>
      </c>
      <c r="E1408" s="3" t="str">
        <f t="shared" si="163"/>
        <v/>
      </c>
      <c r="F1408" s="3" t="str">
        <f t="shared" si="164"/>
        <v>.pdf</v>
      </c>
      <c r="G1408">
        <f t="shared" si="165"/>
        <v>96</v>
      </c>
      <c r="H1408" s="3">
        <f>LEN(Table1[[#This Row],[Auteur]])</f>
        <v>33</v>
      </c>
      <c r="I1408" s="3" t="str">
        <f t="shared" si="167"/>
        <v>Mathematics for Algorithm Analysis</v>
      </c>
    </row>
    <row r="1409" spans="1:9" x14ac:dyDescent="0.45">
      <c r="A1409" t="s">
        <v>1750</v>
      </c>
      <c r="B1409" t="str">
        <f t="shared" si="160"/>
        <v>2005</v>
      </c>
      <c r="C1409" t="str">
        <f t="shared" si="161"/>
        <v>?</v>
      </c>
      <c r="D1409" t="str">
        <f t="shared" si="162"/>
        <v>Edward A. Bender, S. Gill Williamson</v>
      </c>
      <c r="E1409" s="3" t="str">
        <f t="shared" si="163"/>
        <v/>
      </c>
      <c r="F1409" s="3" t="str">
        <f t="shared" si="164"/>
        <v>.pdf</v>
      </c>
      <c r="G1409">
        <f t="shared" si="165"/>
        <v>95</v>
      </c>
      <c r="H1409" s="3">
        <f>LEN(Table1[[#This Row],[Auteur]])</f>
        <v>36</v>
      </c>
      <c r="I1409" s="3" t="str">
        <f t="shared" si="167"/>
        <v>Mathematics for Algorithm and System Analysis</v>
      </c>
    </row>
    <row r="1410" spans="1:9" x14ac:dyDescent="0.45">
      <c r="A1410" t="s">
        <v>1751</v>
      </c>
      <c r="B1410" t="str">
        <f t="shared" ref="B1410:B1473" si="168">DatePub(A1410)</f>
        <v>2011</v>
      </c>
      <c r="C1410" t="str">
        <f t="shared" ref="C1410:C1473" si="169">Editeur(A1410)</f>
        <v>bookboon.com</v>
      </c>
      <c r="D1410" t="str">
        <f t="shared" ref="D1410:D1473" si="170">Auteur(A1410)</f>
        <v>Gareth J. Janacek, Mark Lemmon Close</v>
      </c>
      <c r="E1410" s="3" t="str">
        <f t="shared" ref="E1410:E1473" si="171">ExtraInfo(A1410)</f>
        <v/>
      </c>
      <c r="F1410" t="str">
        <f t="shared" ref="F1410:F1473" si="172">Extension(A1410)</f>
        <v>.pdf</v>
      </c>
      <c r="G1410">
        <f t="shared" ref="G1410:G1473" si="173">LenFileName(A1410)</f>
        <v>110</v>
      </c>
      <c r="H1410" s="3">
        <f>LEN(Table1[[#This Row],[Auteur]])</f>
        <v>36</v>
      </c>
      <c r="I1410" s="3" t="str">
        <f t="shared" ref="I1410:I1473" si="174">Title(A1410)</f>
        <v>Mathematics for Computer Scientists</v>
      </c>
    </row>
    <row r="1411" spans="1:9" x14ac:dyDescent="0.45">
      <c r="A1411" t="s">
        <v>1752</v>
      </c>
      <c r="B1411" t="str">
        <f t="shared" si="168"/>
        <v>2008</v>
      </c>
      <c r="C1411" t="str">
        <f t="shared" si="169"/>
        <v>Ventus</v>
      </c>
      <c r="D1411" t="str">
        <f t="shared" si="170"/>
        <v>Gareth J. Janacek, Mark Lemmon Close</v>
      </c>
      <c r="E1411" s="3" t="str">
        <f t="shared" si="171"/>
        <v/>
      </c>
      <c r="F1411" t="str">
        <f t="shared" si="172"/>
        <v>.pdf</v>
      </c>
      <c r="G1411">
        <f t="shared" si="173"/>
        <v>96</v>
      </c>
      <c r="H1411" s="3">
        <f>LEN(Table1[[#This Row],[Auteur]])</f>
        <v>36</v>
      </c>
      <c r="I1411" s="3" t="str">
        <f t="shared" si="174"/>
        <v>Mathematics for Computer Scientists</v>
      </c>
    </row>
    <row r="1412" spans="1:9" x14ac:dyDescent="0.45">
      <c r="A1412" t="s">
        <v>1753</v>
      </c>
      <c r="B1412" t="str">
        <f t="shared" si="168"/>
        <v>2015</v>
      </c>
      <c r="C1412" t="str">
        <f t="shared" si="169"/>
        <v>Dunod</v>
      </c>
      <c r="D1412" t="str">
        <f t="shared" si="170"/>
        <v>Chanet, Vert</v>
      </c>
      <c r="E1412" s="3" t="str">
        <f t="shared" si="171"/>
        <v/>
      </c>
      <c r="F1412" t="str">
        <f t="shared" si="172"/>
        <v>.pdf</v>
      </c>
      <c r="G1412">
        <f t="shared" si="173"/>
        <v>86</v>
      </c>
      <c r="H1412" s="3">
        <f>LEN(Table1[[#This Row],[Auteur]])</f>
        <v>12</v>
      </c>
      <c r="I1412" s="3" t="str">
        <f t="shared" si="174"/>
        <v>Mathématiques pour l'informatique, Pour le BTS SIO</v>
      </c>
    </row>
    <row r="1413" spans="1:9" x14ac:dyDescent="0.45">
      <c r="A1413" t="s">
        <v>1754</v>
      </c>
      <c r="B1413" t="str">
        <f t="shared" si="168"/>
        <v>1996</v>
      </c>
      <c r="C1413" t="str">
        <f t="shared" si="169"/>
        <v>John Hopkins University Press</v>
      </c>
      <c r="D1413" t="str">
        <f t="shared" si="170"/>
        <v>Gene H. Golub, Charles F. Van Loan</v>
      </c>
      <c r="E1413" s="3" t="str">
        <f t="shared" si="171"/>
        <v/>
      </c>
      <c r="F1413" s="3" t="str">
        <f t="shared" si="172"/>
        <v>.djvu</v>
      </c>
      <c r="G1413">
        <f t="shared" si="173"/>
        <v>110</v>
      </c>
      <c r="H1413" s="3">
        <f>LEN(Table1[[#This Row],[Auteur]])</f>
        <v>34</v>
      </c>
      <c r="I1413" s="3" t="str">
        <f t="shared" si="174"/>
        <v>Matrix Computations</v>
      </c>
    </row>
    <row r="1414" spans="1:9" x14ac:dyDescent="0.45">
      <c r="A1414" t="s">
        <v>2012</v>
      </c>
      <c r="B1414" t="str">
        <f t="shared" si="168"/>
        <v>2015</v>
      </c>
      <c r="C1414" t="str">
        <f t="shared" si="169"/>
        <v>CRC Press</v>
      </c>
      <c r="D1414" t="str">
        <f t="shared" si="170"/>
        <v>Justin Solomon</v>
      </c>
      <c r="E1414" s="3" t="str">
        <f t="shared" si="171"/>
        <v/>
      </c>
      <c r="F1414" s="3" t="str">
        <f t="shared" si="172"/>
        <v>.pdf</v>
      </c>
      <c r="G1414">
        <f t="shared" si="173"/>
        <v>62</v>
      </c>
      <c r="H1414" s="3">
        <f>LEN(Table1[[#This Row],[Auteur]])</f>
        <v>14</v>
      </c>
      <c r="I1414" s="3" t="str">
        <f t="shared" si="174"/>
        <v>Numerical Algorithms</v>
      </c>
    </row>
    <row r="1415" spans="1:9" x14ac:dyDescent="0.45">
      <c r="A1415" t="s">
        <v>1755</v>
      </c>
      <c r="B1415" t="str">
        <f t="shared" si="168"/>
        <v>2011</v>
      </c>
      <c r="C1415" t="str">
        <f t="shared" si="169"/>
        <v>Cengage Learning</v>
      </c>
      <c r="D1415" t="str">
        <f t="shared" si="170"/>
        <v>Richard L. Burden, J. Douglas Faires</v>
      </c>
      <c r="E1415" s="3" t="str">
        <f t="shared" si="171"/>
        <v/>
      </c>
      <c r="F1415" t="str">
        <f t="shared" si="172"/>
        <v>.pdf</v>
      </c>
      <c r="G1415">
        <f t="shared" si="173"/>
        <v>97</v>
      </c>
      <c r="H1415" s="3">
        <f>LEN(Table1[[#This Row],[Auteur]])</f>
        <v>36</v>
      </c>
      <c r="I1415" s="3" t="str">
        <f t="shared" si="174"/>
        <v>Numerical Analysis</v>
      </c>
    </row>
    <row r="1416" spans="1:9" x14ac:dyDescent="0.45">
      <c r="A1416" t="s">
        <v>1756</v>
      </c>
      <c r="B1416" t="str">
        <f t="shared" si="168"/>
        <v>2002</v>
      </c>
      <c r="C1416" t="str">
        <f t="shared" si="169"/>
        <v>Brooks Cole</v>
      </c>
      <c r="D1416" t="str">
        <f t="shared" si="170"/>
        <v>Richard L. Burden, J. Douglas Faires</v>
      </c>
      <c r="E1416" s="3" t="str">
        <f t="shared" si="171"/>
        <v/>
      </c>
      <c r="F1416" t="str">
        <f t="shared" si="172"/>
        <v>.pdf</v>
      </c>
      <c r="G1416">
        <f t="shared" si="173"/>
        <v>91</v>
      </c>
      <c r="H1416" s="3">
        <f>LEN(Table1[[#This Row],[Auteur]])</f>
        <v>36</v>
      </c>
      <c r="I1416" s="3" t="str">
        <f t="shared" si="174"/>
        <v>Numerical Methods</v>
      </c>
    </row>
    <row r="1417" spans="1:9" x14ac:dyDescent="0.45">
      <c r="A1417" t="s">
        <v>1757</v>
      </c>
      <c r="B1417" t="str">
        <f t="shared" si="168"/>
        <v>2009</v>
      </c>
      <c r="C1417" t="str">
        <f t="shared" si="169"/>
        <v>New Age</v>
      </c>
      <c r="D1417" t="str">
        <f t="shared" si="170"/>
        <v>S.R.K. Iyengar, R.K. Jain</v>
      </c>
      <c r="E1417" s="3" t="str">
        <f t="shared" si="171"/>
        <v/>
      </c>
      <c r="F1417" s="3" t="str">
        <f t="shared" si="172"/>
        <v>.pdf</v>
      </c>
      <c r="G1417">
        <f t="shared" si="173"/>
        <v>68</v>
      </c>
      <c r="H1417" s="3">
        <f>LEN(Table1[[#This Row],[Auteur]])</f>
        <v>25</v>
      </c>
      <c r="I1417" s="3" t="str">
        <f t="shared" si="174"/>
        <v>Numerical Methods</v>
      </c>
    </row>
    <row r="1418" spans="1:9" x14ac:dyDescent="0.45">
      <c r="A1418" t="s">
        <v>1758</v>
      </c>
      <c r="B1418" t="str">
        <f t="shared" si="168"/>
        <v>2007</v>
      </c>
      <c r="C1418" t="str">
        <f t="shared" si="169"/>
        <v>Cambridge</v>
      </c>
      <c r="D1418" t="str">
        <f t="shared" si="170"/>
        <v>Press, Teukolsky, Vetterling, Flannery</v>
      </c>
      <c r="E1418" s="3" t="str">
        <f t="shared" si="171"/>
        <v/>
      </c>
      <c r="F1418" t="str">
        <f t="shared" si="172"/>
        <v>.pdf</v>
      </c>
      <c r="G1418">
        <f t="shared" si="173"/>
        <v>124</v>
      </c>
      <c r="H1418" s="3">
        <f>LEN(Table1[[#This Row],[Auteur]])</f>
        <v>38</v>
      </c>
      <c r="I1418" s="3" t="str">
        <f t="shared" si="174"/>
        <v>Numerical Recipes, The Art of Scientific Computing</v>
      </c>
    </row>
    <row r="1419" spans="1:9" x14ac:dyDescent="0.45">
      <c r="A1419" t="s">
        <v>1759</v>
      </c>
      <c r="B1419" t="str">
        <f t="shared" si="168"/>
        <v>2010</v>
      </c>
      <c r="C1419" t="str">
        <f t="shared" si="169"/>
        <v>Springer</v>
      </c>
      <c r="D1419" t="str">
        <f t="shared" si="170"/>
        <v>Korte, Vygen</v>
      </c>
      <c r="E1419" s="3" t="str">
        <f t="shared" si="171"/>
        <v/>
      </c>
      <c r="F1419" t="str">
        <f t="shared" si="172"/>
        <v>.pdf</v>
      </c>
      <c r="G1419">
        <f t="shared" si="173"/>
        <v>88</v>
      </c>
      <c r="H1419" s="3">
        <f>LEN(Table1[[#This Row],[Auteur]])</f>
        <v>12</v>
      </c>
      <c r="I1419" s="3" t="str">
        <f t="shared" si="174"/>
        <v>Optimisation combinatoire, Théorie et algorithmes</v>
      </c>
    </row>
    <row r="1420" spans="1:9" x14ac:dyDescent="0.45">
      <c r="A1420" t="s">
        <v>1760</v>
      </c>
      <c r="B1420" t="str">
        <f t="shared" si="168"/>
        <v>2007</v>
      </c>
      <c r="C1420" t="str">
        <f t="shared" si="169"/>
        <v>Springer</v>
      </c>
      <c r="D1420" t="str">
        <f t="shared" si="170"/>
        <v>Andreas Antoniou, Wu-Sheng Lu</v>
      </c>
      <c r="E1420" s="3" t="str">
        <f t="shared" si="171"/>
        <v/>
      </c>
      <c r="F1420" t="str">
        <f t="shared" si="172"/>
        <v>.pdf</v>
      </c>
      <c r="G1420">
        <f t="shared" si="173"/>
        <v>119</v>
      </c>
      <c r="H1420" s="3">
        <f>LEN(Table1[[#This Row],[Auteur]])</f>
        <v>29</v>
      </c>
      <c r="I1420" s="3" t="str">
        <f t="shared" si="174"/>
        <v>Practical Optimization, Algorithms and Engineering Applications</v>
      </c>
    </row>
    <row r="1421" spans="1:9" x14ac:dyDescent="0.45">
      <c r="A1421" t="s">
        <v>1761</v>
      </c>
      <c r="B1421" t="str">
        <f t="shared" si="168"/>
        <v>1994</v>
      </c>
      <c r="C1421" t="str">
        <f t="shared" si="169"/>
        <v>Birkhäuser</v>
      </c>
      <c r="D1421" t="str">
        <f t="shared" si="170"/>
        <v>Hans Riesel</v>
      </c>
      <c r="E1421" s="3" t="str">
        <f t="shared" si="171"/>
        <v/>
      </c>
      <c r="F1421" t="str">
        <f t="shared" si="172"/>
        <v>.pdf</v>
      </c>
      <c r="G1421">
        <f t="shared" si="173"/>
        <v>100</v>
      </c>
      <c r="H1421" s="3">
        <f>LEN(Table1[[#This Row],[Auteur]])</f>
        <v>11</v>
      </c>
      <c r="I1421" s="3" t="str">
        <f t="shared" si="174"/>
        <v>Prime Numbers and Computer Methods for Factorization</v>
      </c>
    </row>
    <row r="1422" spans="1:9" x14ac:dyDescent="0.45">
      <c r="A1422" t="s">
        <v>1762</v>
      </c>
      <c r="B1422" t="str">
        <f t="shared" si="168"/>
        <v>2002</v>
      </c>
      <c r="C1422" t="str">
        <f t="shared" si="169"/>
        <v>?</v>
      </c>
      <c r="D1422" t="str">
        <f t="shared" si="170"/>
        <v>Morgan</v>
      </c>
      <c r="E1422" s="3" t="str">
        <f t="shared" si="171"/>
        <v/>
      </c>
      <c r="F1422" s="3" t="str">
        <f t="shared" si="172"/>
        <v>.pdf</v>
      </c>
      <c r="G1422">
        <f t="shared" si="173"/>
        <v>116</v>
      </c>
      <c r="H1422" s="3">
        <f>LEN(Table1[[#This Row],[Auteur]])</f>
        <v>6</v>
      </c>
      <c r="I1422" s="3" t="str">
        <f t="shared" si="174"/>
        <v>Pyramid Algorithms, A Dynamic Programming Approach to Curves and Surfaces for Geometric Modeling</v>
      </c>
    </row>
    <row r="1423" spans="1:9" x14ac:dyDescent="0.45">
      <c r="A1423" t="s">
        <v>1763</v>
      </c>
      <c r="B1423" t="str">
        <f t="shared" si="168"/>
        <v>?</v>
      </c>
      <c r="C1423" t="str">
        <f t="shared" si="169"/>
        <v>Wiley</v>
      </c>
      <c r="D1423" t="str">
        <f t="shared" si="170"/>
        <v>Clive Maxfield, Alvin Brown</v>
      </c>
      <c r="E1423" s="3" t="str">
        <f t="shared" si="171"/>
        <v/>
      </c>
      <c r="F1423" s="3" t="str">
        <f t="shared" si="172"/>
        <v>.pdf</v>
      </c>
      <c r="G1423">
        <f t="shared" si="173"/>
        <v>89</v>
      </c>
      <c r="H1423" s="3">
        <f>LEN(Table1[[#This Row],[Auteur]])</f>
        <v>27</v>
      </c>
      <c r="I1423" s="3" t="str">
        <f t="shared" si="174"/>
        <v>The Definitive Guide to How Computers Do Math</v>
      </c>
    </row>
    <row r="1424" spans="1:9" x14ac:dyDescent="0.45">
      <c r="A1424" t="s">
        <v>1764</v>
      </c>
      <c r="B1424" t="str">
        <f t="shared" si="168"/>
        <v>1992</v>
      </c>
      <c r="C1424" t="str">
        <f t="shared" si="169"/>
        <v>ACM</v>
      </c>
      <c r="D1424" t="str">
        <f t="shared" si="170"/>
        <v>David Goldberg</v>
      </c>
      <c r="E1424" s="3" t="str">
        <f t="shared" si="171"/>
        <v/>
      </c>
      <c r="F1424" t="str">
        <f t="shared" si="172"/>
        <v>.pdf</v>
      </c>
      <c r="G1424">
        <f t="shared" si="173"/>
        <v>109</v>
      </c>
      <c r="H1424" s="3">
        <f>LEN(Table1[[#This Row],[Auteur]])</f>
        <v>14</v>
      </c>
      <c r="I1424" s="3" t="str">
        <f t="shared" si="174"/>
        <v>What Every Computer Scientist Should Know About Floating Point Arithmetic</v>
      </c>
    </row>
    <row r="1425" spans="1:9" x14ac:dyDescent="0.45">
      <c r="A1425" t="s">
        <v>197</v>
      </c>
      <c r="B1425" t="str">
        <f t="shared" si="168"/>
        <v>2012</v>
      </c>
      <c r="C1425" t="str">
        <f t="shared" si="169"/>
        <v>Microsoft</v>
      </c>
      <c r="D1425" t="str">
        <f t="shared" si="170"/>
        <v>Ramkumar Krishnan, Jonathan Goldstein, Alex Raizman</v>
      </c>
      <c r="E1425" s="3" t="str">
        <f t="shared" si="171"/>
        <v/>
      </c>
      <c r="F1425" t="str">
        <f t="shared" si="172"/>
        <v>.epub</v>
      </c>
      <c r="G1425">
        <f t="shared" si="173"/>
        <v>132</v>
      </c>
      <c r="H1425" s="3">
        <f>LEN(Table1[[#This Row],[Auteur]])</f>
        <v>51</v>
      </c>
      <c r="I1425" s="3" t="str">
        <f t="shared" si="174"/>
        <v>A Hitchhiker's Guide Microsoft StreamInsight Queries</v>
      </c>
    </row>
    <row r="1426" spans="1:9" x14ac:dyDescent="0.45">
      <c r="A1426" t="s">
        <v>198</v>
      </c>
      <c r="B1426" t="str">
        <f t="shared" si="168"/>
        <v>2012</v>
      </c>
      <c r="C1426" t="str">
        <f t="shared" si="169"/>
        <v>Microsoft</v>
      </c>
      <c r="D1426" t="str">
        <f t="shared" si="170"/>
        <v>Ramkumar Krishnan, Jonathan Goldstein, Alex Raizman</v>
      </c>
      <c r="E1426" s="3" t="str">
        <f t="shared" si="171"/>
        <v/>
      </c>
      <c r="F1426" s="3" t="str">
        <f t="shared" si="172"/>
        <v>.pdf</v>
      </c>
      <c r="G1426" s="3">
        <f t="shared" si="173"/>
        <v>131</v>
      </c>
      <c r="H1426" s="3">
        <f>LEN(Table1[[#This Row],[Auteur]])</f>
        <v>51</v>
      </c>
      <c r="I1426" s="3" t="str">
        <f t="shared" si="174"/>
        <v>A Hitchhiker's Guide Microsoft StreamInsight Queries</v>
      </c>
    </row>
    <row r="1427" spans="1:9" x14ac:dyDescent="0.45">
      <c r="A1427" t="s">
        <v>276</v>
      </c>
      <c r="B1427" t="str">
        <f t="shared" si="168"/>
        <v>2016</v>
      </c>
      <c r="C1427" t="str">
        <f t="shared" si="169"/>
        <v>Microsoft Press</v>
      </c>
      <c r="D1427" t="str">
        <f t="shared" si="170"/>
        <v>Jeremy Taylor, Neil Hodgkinson, Manas Biswas</v>
      </c>
      <c r="E1427" s="3" t="str">
        <f t="shared" si="171"/>
        <v/>
      </c>
      <c r="F1427" t="str">
        <f t="shared" si="172"/>
        <v>.pdf</v>
      </c>
      <c r="G1427">
        <f t="shared" si="173"/>
        <v>120</v>
      </c>
      <c r="H1427" s="3">
        <f>LEN(Table1[[#This Row],[Auteur]])</f>
        <v>44</v>
      </c>
      <c r="I1427" s="3" t="str">
        <f t="shared" si="174"/>
        <v>Configuring SharePoint Hybrid Capabilities</v>
      </c>
    </row>
    <row r="1428" spans="1:9" x14ac:dyDescent="0.45">
      <c r="A1428" t="s">
        <v>522</v>
      </c>
      <c r="B1428" t="str">
        <f t="shared" si="168"/>
        <v>2016</v>
      </c>
      <c r="C1428" t="str">
        <f t="shared" si="169"/>
        <v>Microsoft Press</v>
      </c>
      <c r="D1428" t="str">
        <f t="shared" si="170"/>
        <v>Jeremy Taylor, Neil Hodgkinson, Manas Biswas</v>
      </c>
      <c r="E1428" s="3" t="str">
        <f t="shared" si="171"/>
        <v>Mobile format</v>
      </c>
      <c r="F1428" t="str">
        <f t="shared" si="172"/>
        <v>.pdf</v>
      </c>
      <c r="G1428">
        <f t="shared" si="173"/>
        <v>136</v>
      </c>
      <c r="H1428" s="3">
        <f>LEN(Table1[[#This Row],[Auteur]])</f>
        <v>44</v>
      </c>
      <c r="I1428" s="3" t="str">
        <f t="shared" si="174"/>
        <v>Configuring SharePoint Hybrid Capabilities</v>
      </c>
    </row>
    <row r="1429" spans="1:9" x14ac:dyDescent="0.45">
      <c r="A1429" t="s">
        <v>199</v>
      </c>
      <c r="B1429" t="str">
        <f t="shared" si="168"/>
        <v>2016</v>
      </c>
      <c r="C1429" t="str">
        <f t="shared" si="169"/>
        <v>Microsoft Press</v>
      </c>
      <c r="D1429" t="str">
        <f t="shared" si="170"/>
        <v>Charles petzold</v>
      </c>
      <c r="E1429" s="3" t="str">
        <f t="shared" si="171"/>
        <v/>
      </c>
      <c r="F1429" t="str">
        <f t="shared" si="172"/>
        <v>.epub</v>
      </c>
      <c r="G1429">
        <f t="shared" si="173"/>
        <v>89</v>
      </c>
      <c r="H1429" s="3">
        <f>LEN(Table1[[#This Row],[Auteur]])</f>
        <v>15</v>
      </c>
      <c r="I1429" s="3" t="str">
        <f t="shared" si="174"/>
        <v>Creating Mobile Apps with Xamarin.Forms</v>
      </c>
    </row>
    <row r="1430" spans="1:9" x14ac:dyDescent="0.45">
      <c r="A1430" t="s">
        <v>200</v>
      </c>
      <c r="B1430" t="str">
        <f t="shared" si="168"/>
        <v>2016</v>
      </c>
      <c r="C1430" t="str">
        <f t="shared" si="169"/>
        <v>Microsoft Press</v>
      </c>
      <c r="D1430" t="str">
        <f t="shared" si="170"/>
        <v>Charles petzold</v>
      </c>
      <c r="E1430" s="3" t="str">
        <f t="shared" si="171"/>
        <v/>
      </c>
      <c r="F1430" t="str">
        <f t="shared" si="172"/>
        <v>.pdf</v>
      </c>
      <c r="G1430">
        <f t="shared" si="173"/>
        <v>88</v>
      </c>
      <c r="H1430" s="3">
        <f>LEN(Table1[[#This Row],[Auteur]])</f>
        <v>15</v>
      </c>
      <c r="I1430" s="3" t="str">
        <f t="shared" si="174"/>
        <v>Creating Mobile Apps with Xamarin.Forms</v>
      </c>
    </row>
    <row r="1431" spans="1:9" x14ac:dyDescent="0.45">
      <c r="A1431" t="s">
        <v>1765</v>
      </c>
      <c r="B1431" t="str">
        <f t="shared" si="168"/>
        <v>2016</v>
      </c>
      <c r="C1431" t="str">
        <f t="shared" si="169"/>
        <v>Microsoft Press</v>
      </c>
      <c r="D1431" t="str">
        <f t="shared" si="170"/>
        <v>Charles Petzold</v>
      </c>
      <c r="E1431" s="3" t="str">
        <f t="shared" si="171"/>
        <v/>
      </c>
      <c r="F1431" t="str">
        <f t="shared" si="172"/>
        <v>.pdf</v>
      </c>
      <c r="G1431">
        <f t="shared" si="173"/>
        <v>119</v>
      </c>
      <c r="H1431" s="3">
        <f>LEN(Table1[[#This Row],[Auteur]])</f>
        <v>15</v>
      </c>
      <c r="I1431" s="3" t="str">
        <f t="shared" si="174"/>
        <v>Creating Mobile Apps with Xamarin.Forms, Cross-platform C# development</v>
      </c>
    </row>
    <row r="1432" spans="1:9" x14ac:dyDescent="0.45">
      <c r="A1432" t="s">
        <v>277</v>
      </c>
      <c r="B1432" t="str">
        <f t="shared" si="168"/>
        <v>2016</v>
      </c>
      <c r="C1432" t="str">
        <f t="shared" si="169"/>
        <v>Microsoft</v>
      </c>
      <c r="D1432" t="str">
        <f t="shared" si="170"/>
        <v>?</v>
      </c>
      <c r="E1432" s="3" t="str">
        <f t="shared" si="171"/>
        <v/>
      </c>
      <c r="F1432" t="str">
        <f t="shared" si="172"/>
        <v>.pdf</v>
      </c>
      <c r="G1432">
        <f t="shared" si="173"/>
        <v>54</v>
      </c>
      <c r="H1432" s="3">
        <f>LEN(Table1[[#This Row],[Auteur]])</f>
        <v>1</v>
      </c>
      <c r="I1432" s="3" t="str">
        <f t="shared" si="174"/>
        <v>CRM 2016 Administration Guide</v>
      </c>
    </row>
    <row r="1433" spans="1:9" x14ac:dyDescent="0.45">
      <c r="A1433" t="s">
        <v>278</v>
      </c>
      <c r="B1433" t="str">
        <f t="shared" si="168"/>
        <v>2016</v>
      </c>
      <c r="C1433" t="str">
        <f t="shared" si="169"/>
        <v>Microsoft Press</v>
      </c>
      <c r="D1433" t="str">
        <f t="shared" si="170"/>
        <v>Della Monica, Rimmerman, Cesarini, Silveira</v>
      </c>
      <c r="E1433" s="3" t="str">
        <f t="shared" si="171"/>
        <v/>
      </c>
      <c r="F1433" t="str">
        <f t="shared" si="172"/>
        <v>.epub</v>
      </c>
      <c r="G1433">
        <f t="shared" si="173"/>
        <v>98</v>
      </c>
      <c r="H1433" s="3">
        <f>LEN(Table1[[#This Row],[Auteur]])</f>
        <v>43</v>
      </c>
      <c r="I1433" s="3" t="str">
        <f t="shared" si="174"/>
        <v>Deploying Windows 10</v>
      </c>
    </row>
    <row r="1434" spans="1:9" x14ac:dyDescent="0.45">
      <c r="A1434" t="s">
        <v>279</v>
      </c>
      <c r="B1434" t="str">
        <f t="shared" si="168"/>
        <v>2016</v>
      </c>
      <c r="C1434" t="str">
        <f t="shared" si="169"/>
        <v>Microsoft Press</v>
      </c>
      <c r="D1434" t="str">
        <f t="shared" si="170"/>
        <v>Della Monica, Rimmerman, Cesarini, Silveira</v>
      </c>
      <c r="E1434" s="3" t="str">
        <f t="shared" si="171"/>
        <v/>
      </c>
      <c r="F1434" s="3" t="str">
        <f t="shared" si="172"/>
        <v>.pdf</v>
      </c>
      <c r="G1434">
        <f t="shared" si="173"/>
        <v>97</v>
      </c>
      <c r="H1434" s="3">
        <f>LEN(Table1[[#This Row],[Auteur]])</f>
        <v>43</v>
      </c>
      <c r="I1434" s="3" t="str">
        <f t="shared" si="174"/>
        <v>Deploying Windows 10</v>
      </c>
    </row>
    <row r="1435" spans="1:9" x14ac:dyDescent="0.45">
      <c r="A1435" t="s">
        <v>523</v>
      </c>
      <c r="B1435" t="str">
        <f t="shared" si="168"/>
        <v>2014</v>
      </c>
      <c r="C1435" t="str">
        <f t="shared" si="169"/>
        <v>Microsoft</v>
      </c>
      <c r="D1435" t="str">
        <f t="shared" si="170"/>
        <v>?</v>
      </c>
      <c r="E1435" s="3" t="str">
        <f t="shared" si="171"/>
        <v/>
      </c>
      <c r="F1435" t="str">
        <f t="shared" si="172"/>
        <v>.epub</v>
      </c>
      <c r="G1435">
        <f t="shared" si="173"/>
        <v>62</v>
      </c>
      <c r="H1435" s="3">
        <f>LEN(Table1[[#This Row],[Auteur]])</f>
        <v>1</v>
      </c>
      <c r="I1435" s="3" t="str">
        <f t="shared" si="174"/>
        <v>Deployment guide for SharePoint 2013</v>
      </c>
    </row>
    <row r="1436" spans="1:9" x14ac:dyDescent="0.45">
      <c r="A1436" t="s">
        <v>280</v>
      </c>
      <c r="B1436" t="str">
        <f t="shared" si="168"/>
        <v>2014</v>
      </c>
      <c r="C1436" t="str">
        <f t="shared" si="169"/>
        <v>Microsoft</v>
      </c>
      <c r="D1436" t="str">
        <f t="shared" si="170"/>
        <v>?</v>
      </c>
      <c r="E1436" s="3" t="str">
        <f t="shared" si="171"/>
        <v/>
      </c>
      <c r="F1436" t="str">
        <f t="shared" si="172"/>
        <v>.pdf</v>
      </c>
      <c r="G1436">
        <f t="shared" si="173"/>
        <v>61</v>
      </c>
      <c r="H1436" s="3">
        <f>LEN(Table1[[#This Row],[Auteur]])</f>
        <v>1</v>
      </c>
      <c r="I1436" s="3" t="str">
        <f t="shared" si="174"/>
        <v>Deployment guide for SharePoint 2013</v>
      </c>
    </row>
    <row r="1437" spans="1:9" x14ac:dyDescent="0.45">
      <c r="A1437" t="s">
        <v>281</v>
      </c>
      <c r="B1437" t="str">
        <f t="shared" si="168"/>
        <v>2009</v>
      </c>
      <c r="C1437" t="str">
        <f t="shared" si="169"/>
        <v>Microsoft</v>
      </c>
      <c r="D1437" t="str">
        <f t="shared" si="170"/>
        <v>?</v>
      </c>
      <c r="E1437" s="3" t="str">
        <f t="shared" si="171"/>
        <v/>
      </c>
      <c r="F1437" t="str">
        <f t="shared" si="172"/>
        <v>.pdf</v>
      </c>
      <c r="G1437">
        <f t="shared" si="173"/>
        <v>54</v>
      </c>
      <c r="H1437" s="3">
        <f>LEN(Table1[[#This Row],[Auteur]])</f>
        <v>1</v>
      </c>
      <c r="I1437" s="3" t="str">
        <f t="shared" si="174"/>
        <v>Engineering for accessibility</v>
      </c>
    </row>
    <row r="1438" spans="1:9" x14ac:dyDescent="0.45">
      <c r="A1438" t="s">
        <v>282</v>
      </c>
      <c r="B1438" t="str">
        <f t="shared" si="168"/>
        <v>2016</v>
      </c>
      <c r="C1438" t="str">
        <f t="shared" si="169"/>
        <v>Microsoft Press</v>
      </c>
      <c r="D1438" t="str">
        <f t="shared" si="170"/>
        <v>Alberto Ferrari, Marco Russo</v>
      </c>
      <c r="E1438" s="3" t="str">
        <f t="shared" si="171"/>
        <v/>
      </c>
      <c r="F1438" t="str">
        <f t="shared" si="172"/>
        <v>.pdf</v>
      </c>
      <c r="G1438">
        <f t="shared" si="173"/>
        <v>82</v>
      </c>
      <c r="H1438" s="3">
        <f>LEN(Table1[[#This Row],[Auteur]])</f>
        <v>28</v>
      </c>
      <c r="I1438" s="3" t="str">
        <f t="shared" si="174"/>
        <v>Introducing Power BI</v>
      </c>
    </row>
    <row r="1439" spans="1:9" x14ac:dyDescent="0.45">
      <c r="A1439" t="s">
        <v>283</v>
      </c>
      <c r="B1439" t="str">
        <f t="shared" si="168"/>
        <v>2013</v>
      </c>
      <c r="C1439" t="str">
        <f t="shared" si="169"/>
        <v>Microsoft Press</v>
      </c>
      <c r="D1439" t="str">
        <f t="shared" si="170"/>
        <v>Mitch Tulloch, Symon Perriman, System Center Team</v>
      </c>
      <c r="E1439" s="3" t="str">
        <f t="shared" si="171"/>
        <v/>
      </c>
      <c r="F1439" s="3" t="str">
        <f t="shared" si="172"/>
        <v>.epub</v>
      </c>
      <c r="G1439">
        <f t="shared" si="173"/>
        <v>114</v>
      </c>
      <c r="H1439" s="3">
        <f>LEN(Table1[[#This Row],[Auteur]])</f>
        <v>49</v>
      </c>
      <c r="I1439" s="3" t="str">
        <f t="shared" si="174"/>
        <v>Introducing System Center 2012</v>
      </c>
    </row>
    <row r="1440" spans="1:9" x14ac:dyDescent="0.45">
      <c r="A1440" t="s">
        <v>284</v>
      </c>
      <c r="B1440" t="str">
        <f t="shared" si="168"/>
        <v>2013</v>
      </c>
      <c r="C1440" t="str">
        <f t="shared" si="169"/>
        <v>Microsoft Press</v>
      </c>
      <c r="D1440" t="str">
        <f t="shared" si="170"/>
        <v>Mitch Tulloch, Symon Perriman, System Center Team</v>
      </c>
      <c r="E1440" s="3" t="str">
        <f t="shared" si="171"/>
        <v/>
      </c>
      <c r="F1440" s="3" t="str">
        <f t="shared" si="172"/>
        <v>.pdf</v>
      </c>
      <c r="G1440">
        <f t="shared" si="173"/>
        <v>113</v>
      </c>
      <c r="H1440" s="3">
        <f>LEN(Table1[[#This Row],[Auteur]])</f>
        <v>49</v>
      </c>
      <c r="I1440" s="3" t="str">
        <f t="shared" si="174"/>
        <v>Introducing System Center 2012</v>
      </c>
    </row>
    <row r="1441" spans="1:9" x14ac:dyDescent="0.45">
      <c r="A1441" t="s">
        <v>285</v>
      </c>
      <c r="B1441" t="str">
        <f t="shared" si="168"/>
        <v>2012</v>
      </c>
      <c r="C1441" t="str">
        <f t="shared" si="169"/>
        <v>Microsoft Press</v>
      </c>
      <c r="D1441" t="str">
        <f t="shared" si="170"/>
        <v>Jerry Honeycutt</v>
      </c>
      <c r="E1441" s="3" t="str">
        <f t="shared" si="171"/>
        <v/>
      </c>
      <c r="F1441" s="3" t="str">
        <f t="shared" si="172"/>
        <v>.epub</v>
      </c>
      <c r="G1441">
        <f t="shared" si="173"/>
        <v>92</v>
      </c>
      <c r="H1441" s="3">
        <f>LEN(Table1[[#This Row],[Auteur]])</f>
        <v>15</v>
      </c>
      <c r="I1441" s="3" t="str">
        <f t="shared" si="174"/>
        <v>Introducing Windows 8 for IT Professionals</v>
      </c>
    </row>
    <row r="1442" spans="1:9" x14ac:dyDescent="0.45">
      <c r="A1442" t="s">
        <v>286</v>
      </c>
      <c r="B1442" t="str">
        <f t="shared" si="168"/>
        <v>2012</v>
      </c>
      <c r="C1442" t="str">
        <f t="shared" si="169"/>
        <v>Microsoft Press</v>
      </c>
      <c r="D1442" t="str">
        <f t="shared" si="170"/>
        <v>Jerry Honeycutt</v>
      </c>
      <c r="E1442" s="3" t="str">
        <f t="shared" si="171"/>
        <v/>
      </c>
      <c r="F1442" s="3" t="str">
        <f t="shared" si="172"/>
        <v>.pdf</v>
      </c>
      <c r="G1442">
        <f t="shared" si="173"/>
        <v>91</v>
      </c>
      <c r="H1442" s="3">
        <f>LEN(Table1[[#This Row],[Auteur]])</f>
        <v>15</v>
      </c>
      <c r="I1442" s="3" t="str">
        <f t="shared" si="174"/>
        <v>Introducing Windows 8 for IT Professionals</v>
      </c>
    </row>
    <row r="1443" spans="1:9" x14ac:dyDescent="0.45">
      <c r="A1443" t="s">
        <v>201</v>
      </c>
      <c r="B1443" t="str">
        <f t="shared" si="168"/>
        <v>2013</v>
      </c>
      <c r="C1443" t="str">
        <f t="shared" si="169"/>
        <v>Microsoft Press</v>
      </c>
      <c r="D1443" t="str">
        <f t="shared" si="170"/>
        <v>Ed Bott</v>
      </c>
      <c r="E1443" s="3" t="str">
        <f t="shared" si="171"/>
        <v/>
      </c>
      <c r="F1443" t="str">
        <f t="shared" si="172"/>
        <v>.epub</v>
      </c>
      <c r="G1443">
        <f t="shared" si="173"/>
        <v>86</v>
      </c>
      <c r="H1443" s="3">
        <f>LEN(Table1[[#This Row],[Auteur]])</f>
        <v>7</v>
      </c>
      <c r="I1443" s="3" t="str">
        <f t="shared" si="174"/>
        <v>Introducing Windows 8.1 for IT Professionals</v>
      </c>
    </row>
    <row r="1444" spans="1:9" x14ac:dyDescent="0.45">
      <c r="A1444" t="s">
        <v>202</v>
      </c>
      <c r="B1444" t="str">
        <f t="shared" si="168"/>
        <v>2013</v>
      </c>
      <c r="C1444" t="str">
        <f t="shared" si="169"/>
        <v>Microsoft Press</v>
      </c>
      <c r="D1444" t="str">
        <f t="shared" si="170"/>
        <v>Ed Bott</v>
      </c>
      <c r="E1444" s="3" t="str">
        <f t="shared" si="171"/>
        <v/>
      </c>
      <c r="F1444" t="str">
        <f t="shared" si="172"/>
        <v>.pdf</v>
      </c>
      <c r="G1444">
        <f t="shared" si="173"/>
        <v>85</v>
      </c>
      <c r="H1444" s="3">
        <f>LEN(Table1[[#This Row],[Auteur]])</f>
        <v>7</v>
      </c>
      <c r="I1444" s="3" t="str">
        <f t="shared" si="174"/>
        <v>Introducing Windows 8.1 for IT Professionals</v>
      </c>
    </row>
    <row r="1445" spans="1:9" x14ac:dyDescent="0.45">
      <c r="A1445" t="s">
        <v>203</v>
      </c>
      <c r="B1445" t="str">
        <f t="shared" si="168"/>
        <v>2016</v>
      </c>
      <c r="C1445" t="str">
        <f t="shared" si="169"/>
        <v>Microsoft Press</v>
      </c>
      <c r="D1445" t="str">
        <f t="shared" si="170"/>
        <v>Ed Bott</v>
      </c>
      <c r="E1445" s="3" t="str">
        <f t="shared" si="171"/>
        <v/>
      </c>
      <c r="F1445" t="str">
        <f t="shared" si="172"/>
        <v>.epub</v>
      </c>
      <c r="G1445">
        <f t="shared" si="173"/>
        <v>85</v>
      </c>
      <c r="H1445" s="3">
        <f>LEN(Table1[[#This Row],[Auteur]])</f>
        <v>7</v>
      </c>
      <c r="I1445" s="3" t="str">
        <f t="shared" si="174"/>
        <v>Introducing Windows 10 for IT Professionals</v>
      </c>
    </row>
    <row r="1446" spans="1:9" x14ac:dyDescent="0.45">
      <c r="A1446" t="s">
        <v>204</v>
      </c>
      <c r="B1446" t="str">
        <f t="shared" si="168"/>
        <v>2016</v>
      </c>
      <c r="C1446" t="str">
        <f t="shared" si="169"/>
        <v>Microsoft Press</v>
      </c>
      <c r="D1446" t="str">
        <f t="shared" si="170"/>
        <v>Ed Bott</v>
      </c>
      <c r="E1446" s="3" t="str">
        <f t="shared" si="171"/>
        <v/>
      </c>
      <c r="F1446" t="str">
        <f t="shared" si="172"/>
        <v>.pdf</v>
      </c>
      <c r="G1446">
        <f t="shared" si="173"/>
        <v>84</v>
      </c>
      <c r="H1446" s="3">
        <f>LEN(Table1[[#This Row],[Auteur]])</f>
        <v>7</v>
      </c>
      <c r="I1446" s="3" t="str">
        <f t="shared" si="174"/>
        <v>Introducing Windows 10 for IT Professionals</v>
      </c>
    </row>
    <row r="1447" spans="1:9" x14ac:dyDescent="0.45">
      <c r="A1447" t="s">
        <v>1937</v>
      </c>
      <c r="B1447" t="str">
        <f t="shared" si="168"/>
        <v>2015</v>
      </c>
      <c r="C1447" t="str">
        <f t="shared" si="169"/>
        <v>Microsoft Press</v>
      </c>
      <c r="D1447" t="str">
        <f t="shared" si="170"/>
        <v>Blackman, Beeming, Fourie</v>
      </c>
      <c r="E1447" s="3" t="str">
        <f t="shared" si="171"/>
        <v/>
      </c>
      <c r="F1447" s="3" t="str">
        <f t="shared" si="172"/>
        <v>.epub</v>
      </c>
      <c r="G1447">
        <f t="shared" si="173"/>
        <v>130</v>
      </c>
      <c r="H1447" s="3">
        <f>LEN(Table1[[#This Row],[Auteur]])</f>
        <v>25</v>
      </c>
      <c r="I1447" s="3" t="str">
        <f t="shared" si="174"/>
        <v>Managing Agile Open-Source Software Projects with Visual Studio Online</v>
      </c>
    </row>
    <row r="1448" spans="1:9" x14ac:dyDescent="0.45">
      <c r="A1448" t="s">
        <v>1938</v>
      </c>
      <c r="B1448" t="str">
        <f t="shared" si="168"/>
        <v>2015</v>
      </c>
      <c r="C1448" t="str">
        <f t="shared" si="169"/>
        <v>Microsoft Press</v>
      </c>
      <c r="D1448" t="str">
        <f t="shared" si="170"/>
        <v>Blackman, Beeming, Fourie</v>
      </c>
      <c r="E1448" s="3" t="str">
        <f t="shared" si="171"/>
        <v/>
      </c>
      <c r="F1448" s="3" t="str">
        <f t="shared" si="172"/>
        <v>.pdf</v>
      </c>
      <c r="G1448">
        <f t="shared" si="173"/>
        <v>129</v>
      </c>
      <c r="H1448" s="3">
        <f>LEN(Table1[[#This Row],[Auteur]])</f>
        <v>25</v>
      </c>
      <c r="I1448" s="3" t="str">
        <f t="shared" si="174"/>
        <v>Managing Agile Open-Source Software Projects with Visual Studio Online</v>
      </c>
    </row>
    <row r="1449" spans="1:9" x14ac:dyDescent="0.45">
      <c r="A1449" t="s">
        <v>205</v>
      </c>
      <c r="B1449" t="str">
        <f t="shared" si="168"/>
        <v>2012</v>
      </c>
      <c r="C1449" t="str">
        <f t="shared" si="169"/>
        <v>Microsoft</v>
      </c>
      <c r="D1449" t="str">
        <f t="shared" si="170"/>
        <v>Yair Helman</v>
      </c>
      <c r="E1449" s="3" t="str">
        <f t="shared" si="171"/>
        <v/>
      </c>
      <c r="F1449" t="str">
        <f t="shared" si="172"/>
        <v>.epub</v>
      </c>
      <c r="G1449">
        <f t="shared" si="173"/>
        <v>80</v>
      </c>
      <c r="H1449" s="3">
        <f>LEN(Table1[[#This Row],[Auteur]])</f>
        <v>11</v>
      </c>
      <c r="I1449" s="3" t="str">
        <f t="shared" si="174"/>
        <v>Master Data Services Capacity Guidelines</v>
      </c>
    </row>
    <row r="1450" spans="1:9" x14ac:dyDescent="0.45">
      <c r="A1450" t="s">
        <v>206</v>
      </c>
      <c r="B1450" t="str">
        <f t="shared" si="168"/>
        <v>2012</v>
      </c>
      <c r="C1450" t="str">
        <f t="shared" si="169"/>
        <v>Microsoft</v>
      </c>
      <c r="D1450" t="str">
        <f t="shared" si="170"/>
        <v>Yair Helman</v>
      </c>
      <c r="E1450" s="3" t="str">
        <f t="shared" si="171"/>
        <v/>
      </c>
      <c r="F1450" t="str">
        <f t="shared" si="172"/>
        <v>.pdf</v>
      </c>
      <c r="G1450">
        <f t="shared" si="173"/>
        <v>79</v>
      </c>
      <c r="H1450" s="3">
        <f>LEN(Table1[[#This Row],[Auteur]])</f>
        <v>11</v>
      </c>
      <c r="I1450" s="3" t="str">
        <f t="shared" si="174"/>
        <v>Master Data Services Capacity Guidelines</v>
      </c>
    </row>
    <row r="1451" spans="1:9" x14ac:dyDescent="0.45">
      <c r="A1451" t="s">
        <v>207</v>
      </c>
      <c r="B1451" t="str">
        <f t="shared" si="168"/>
        <v>2012</v>
      </c>
      <c r="C1451" t="str">
        <f t="shared" si="169"/>
        <v>Microsoft</v>
      </c>
      <c r="D1451" t="str">
        <f t="shared" si="170"/>
        <v>?</v>
      </c>
      <c r="E1451" s="3" t="str">
        <f t="shared" si="171"/>
        <v/>
      </c>
      <c r="F1451" s="3" t="str">
        <f t="shared" si="172"/>
        <v>.epub</v>
      </c>
      <c r="G1451">
        <f t="shared" si="173"/>
        <v>76</v>
      </c>
      <c r="H1451" s="3">
        <f>LEN(Table1[[#This Row],[Auteur]])</f>
        <v>1</v>
      </c>
      <c r="I1451" s="3" t="str">
        <f t="shared" si="174"/>
        <v>Master Data Services, SQL Server 2012 Books Online</v>
      </c>
    </row>
    <row r="1452" spans="1:9" x14ac:dyDescent="0.45">
      <c r="A1452" t="s">
        <v>208</v>
      </c>
      <c r="B1452" t="str">
        <f t="shared" si="168"/>
        <v>2012</v>
      </c>
      <c r="C1452" t="str">
        <f t="shared" si="169"/>
        <v>Microsoft</v>
      </c>
      <c r="D1452" t="str">
        <f t="shared" si="170"/>
        <v>?</v>
      </c>
      <c r="E1452" s="3" t="str">
        <f t="shared" si="171"/>
        <v/>
      </c>
      <c r="F1452" t="str">
        <f t="shared" si="172"/>
        <v>.pdf</v>
      </c>
      <c r="G1452">
        <f t="shared" si="173"/>
        <v>75</v>
      </c>
      <c r="H1452" s="3">
        <f>LEN(Table1[[#This Row],[Auteur]])</f>
        <v>1</v>
      </c>
      <c r="I1452" s="3" t="str">
        <f t="shared" si="174"/>
        <v>Master Data Services, SQL Server 2012 Books Online</v>
      </c>
    </row>
    <row r="1453" spans="1:9" x14ac:dyDescent="0.45">
      <c r="A1453" t="s">
        <v>209</v>
      </c>
      <c r="B1453" t="str">
        <f t="shared" si="168"/>
        <v>2015</v>
      </c>
      <c r="C1453" t="str">
        <f t="shared" si="169"/>
        <v>Microsoft Press</v>
      </c>
      <c r="D1453" t="str">
        <f t="shared" si="170"/>
        <v>Mitch Tulloch</v>
      </c>
      <c r="E1453" s="3" t="str">
        <f t="shared" si="171"/>
        <v/>
      </c>
      <c r="F1453" s="3" t="str">
        <f t="shared" si="172"/>
        <v>.epub</v>
      </c>
      <c r="G1453">
        <f t="shared" si="173"/>
        <v>135</v>
      </c>
      <c r="H1453" s="3">
        <f>LEN(Table1[[#This Row],[Auteur]])</f>
        <v>13</v>
      </c>
      <c r="I1453" s="3" t="str">
        <f t="shared" si="174"/>
        <v>Microsoft System Center, Deploying Hyper-V with Software-Defined Storage and Networking</v>
      </c>
    </row>
    <row r="1454" spans="1:9" x14ac:dyDescent="0.45">
      <c r="A1454" t="s">
        <v>210</v>
      </c>
      <c r="B1454" t="str">
        <f t="shared" si="168"/>
        <v>2015</v>
      </c>
      <c r="C1454" t="str">
        <f t="shared" si="169"/>
        <v>Microsoft Press</v>
      </c>
      <c r="D1454" t="str">
        <f t="shared" si="170"/>
        <v>Mitch Tulloch</v>
      </c>
      <c r="E1454" s="3" t="str">
        <f t="shared" si="171"/>
        <v/>
      </c>
      <c r="F1454" t="str">
        <f t="shared" si="172"/>
        <v>.pdf</v>
      </c>
      <c r="G1454">
        <f t="shared" si="173"/>
        <v>134</v>
      </c>
      <c r="H1454" s="3">
        <f>LEN(Table1[[#This Row],[Auteur]])</f>
        <v>13</v>
      </c>
      <c r="I1454" s="3" t="str">
        <f t="shared" si="174"/>
        <v>Microsoft System Center, Deploying Hyper-V with Software-Defined Storage and Networking</v>
      </c>
    </row>
    <row r="1455" spans="1:9" x14ac:dyDescent="0.45">
      <c r="A1455" t="s">
        <v>1939</v>
      </c>
      <c r="B1455" t="str">
        <f t="shared" si="168"/>
        <v>2014</v>
      </c>
      <c r="C1455" t="str">
        <f t="shared" si="169"/>
        <v>Microsoft Press</v>
      </c>
      <c r="D1455" t="str">
        <f t="shared" si="170"/>
        <v>Wallace, Jones, May, Lee, Tulloch</v>
      </c>
      <c r="E1455" s="3" t="str">
        <f t="shared" si="171"/>
        <v/>
      </c>
      <c r="F1455" s="3" t="str">
        <f t="shared" si="172"/>
        <v>.epub</v>
      </c>
      <c r="G1455" s="3">
        <f t="shared" si="173"/>
        <v>131</v>
      </c>
      <c r="H1455" s="3">
        <f>LEN(Table1[[#This Row],[Auteur]])</f>
        <v>33</v>
      </c>
      <c r="I1455" s="3" t="str">
        <f t="shared" si="174"/>
        <v>Microsoft System Center, Extending Operations Manager Reporting</v>
      </c>
    </row>
    <row r="1456" spans="1:9" x14ac:dyDescent="0.45">
      <c r="A1456" t="s">
        <v>1940</v>
      </c>
      <c r="B1456" t="str">
        <f t="shared" si="168"/>
        <v>2014</v>
      </c>
      <c r="C1456" t="str">
        <f t="shared" si="169"/>
        <v>Microsoft Press</v>
      </c>
      <c r="D1456" t="str">
        <f t="shared" si="170"/>
        <v>Wallace, Jones, May, Lee, Tulloch</v>
      </c>
      <c r="E1456" s="3" t="str">
        <f t="shared" si="171"/>
        <v/>
      </c>
      <c r="F1456" s="3" t="str">
        <f t="shared" si="172"/>
        <v>.pdf</v>
      </c>
      <c r="G1456">
        <f t="shared" si="173"/>
        <v>130</v>
      </c>
      <c r="H1456" s="3">
        <f>LEN(Table1[[#This Row],[Auteur]])</f>
        <v>33</v>
      </c>
      <c r="I1456" s="3" t="str">
        <f t="shared" si="174"/>
        <v>Microsoft System Center, Extending Operations Manager Reporting</v>
      </c>
    </row>
    <row r="1457" spans="1:9" x14ac:dyDescent="0.45">
      <c r="A1457" t="s">
        <v>1941</v>
      </c>
      <c r="B1457" t="str">
        <f t="shared" si="168"/>
        <v>2014</v>
      </c>
      <c r="C1457" t="str">
        <f t="shared" si="169"/>
        <v>Microsoft Press</v>
      </c>
      <c r="D1457" t="str">
        <f t="shared" si="170"/>
        <v>Costello, Maunsell, Tulloch</v>
      </c>
      <c r="E1457" s="3" t="str">
        <f t="shared" si="171"/>
        <v/>
      </c>
      <c r="F1457" t="str">
        <f t="shared" si="172"/>
        <v>.epub</v>
      </c>
      <c r="G1457">
        <f t="shared" si="173"/>
        <v>133</v>
      </c>
      <c r="H1457" s="3">
        <f>LEN(Table1[[#This Row],[Auteur]])</f>
        <v>27</v>
      </c>
      <c r="I1457" s="3" t="str">
        <f t="shared" si="174"/>
        <v>Microsoft System Center, Introduction to Microsoft Automation Solutions</v>
      </c>
    </row>
    <row r="1458" spans="1:9" x14ac:dyDescent="0.45">
      <c r="A1458" t="s">
        <v>1942</v>
      </c>
      <c r="B1458" t="str">
        <f t="shared" si="168"/>
        <v>2014</v>
      </c>
      <c r="C1458" t="str">
        <f t="shared" si="169"/>
        <v>Microsoft Press</v>
      </c>
      <c r="D1458" t="str">
        <f t="shared" si="170"/>
        <v>Costello, Maunsell, Tulloch</v>
      </c>
      <c r="E1458" s="3" t="str">
        <f t="shared" si="171"/>
        <v/>
      </c>
      <c r="F1458" t="str">
        <f t="shared" si="172"/>
        <v>.pdf</v>
      </c>
      <c r="G1458">
        <f t="shared" si="173"/>
        <v>132</v>
      </c>
      <c r="H1458" s="3">
        <f>LEN(Table1[[#This Row],[Auteur]])</f>
        <v>27</v>
      </c>
      <c r="I1458" s="3" t="str">
        <f t="shared" si="174"/>
        <v>Microsoft System Center, Introduction to Microsoft Automation Solutions</v>
      </c>
    </row>
    <row r="1459" spans="1:9" x14ac:dyDescent="0.45">
      <c r="A1459" t="s">
        <v>1943</v>
      </c>
      <c r="B1459" t="str">
        <f t="shared" si="168"/>
        <v>2015</v>
      </c>
      <c r="C1459" t="str">
        <f t="shared" si="169"/>
        <v>Microsoft Press</v>
      </c>
      <c r="D1459" t="str">
        <f t="shared" si="170"/>
        <v>Hermans, Sturtz, Sarbulescu, Tulloch</v>
      </c>
      <c r="E1459" s="3" t="str">
        <f t="shared" si="171"/>
        <v/>
      </c>
      <c r="F1459" t="str">
        <f t="shared" si="172"/>
        <v>.epub</v>
      </c>
      <c r="G1459">
        <f t="shared" si="173"/>
        <v>131</v>
      </c>
      <c r="H1459" s="3">
        <f>LEN(Table1[[#This Row],[Auteur]])</f>
        <v>36</v>
      </c>
      <c r="I1459" s="3" t="str">
        <f t="shared" si="174"/>
        <v>Microsoft System Center, Operations Manager Field Experience</v>
      </c>
    </row>
    <row r="1460" spans="1:9" x14ac:dyDescent="0.45">
      <c r="A1460" t="s">
        <v>1944</v>
      </c>
      <c r="B1460" t="str">
        <f t="shared" si="168"/>
        <v>2015</v>
      </c>
      <c r="C1460" t="str">
        <f t="shared" si="169"/>
        <v>Microsoft Press</v>
      </c>
      <c r="D1460" t="str">
        <f t="shared" si="170"/>
        <v>Hermans, Sturtz, Sarbulescu, Tulloch</v>
      </c>
      <c r="E1460" s="3" t="str">
        <f t="shared" si="171"/>
        <v/>
      </c>
      <c r="F1460" t="str">
        <f t="shared" si="172"/>
        <v>.pdf</v>
      </c>
      <c r="G1460">
        <f t="shared" si="173"/>
        <v>130</v>
      </c>
      <c r="H1460" s="3">
        <f>LEN(Table1[[#This Row],[Auteur]])</f>
        <v>36</v>
      </c>
      <c r="I1460" s="3" t="str">
        <f t="shared" si="174"/>
        <v>Microsoft System Center, Operations Manager Field Experience</v>
      </c>
    </row>
    <row r="1461" spans="1:9" x14ac:dyDescent="0.45">
      <c r="A1461" t="s">
        <v>1945</v>
      </c>
      <c r="B1461" t="str">
        <f t="shared" si="168"/>
        <v>2015</v>
      </c>
      <c r="C1461" t="str">
        <f t="shared" si="169"/>
        <v>Microsoft Press</v>
      </c>
      <c r="D1461" t="str">
        <f t="shared" si="170"/>
        <v>Della Monica, Shilt, Rimmerman, Faldu</v>
      </c>
      <c r="E1461" s="3" t="str">
        <f t="shared" si="171"/>
        <v/>
      </c>
      <c r="F1461" t="str">
        <f t="shared" si="172"/>
        <v>.epub</v>
      </c>
      <c r="G1461">
        <f t="shared" si="173"/>
        <v>140</v>
      </c>
      <c r="H1461" s="3">
        <f>LEN(Table1[[#This Row],[Auteur]])</f>
        <v>37</v>
      </c>
      <c r="I1461" s="3" t="str">
        <f t="shared" si="174"/>
        <v>Microsoft System Center, Software Update Management Field Experience</v>
      </c>
    </row>
    <row r="1462" spans="1:9" x14ac:dyDescent="0.45">
      <c r="A1462" t="s">
        <v>1946</v>
      </c>
      <c r="B1462" t="str">
        <f t="shared" si="168"/>
        <v>2015</v>
      </c>
      <c r="C1462" t="str">
        <f t="shared" si="169"/>
        <v>Microsoft Press</v>
      </c>
      <c r="D1462" t="str">
        <f t="shared" si="170"/>
        <v>Della Monica, Shilt, Rimmerman, Faldu</v>
      </c>
      <c r="E1462" s="3" t="str">
        <f t="shared" si="171"/>
        <v/>
      </c>
      <c r="F1462" t="str">
        <f t="shared" si="172"/>
        <v>.pdf</v>
      </c>
      <c r="G1462">
        <f t="shared" si="173"/>
        <v>139</v>
      </c>
      <c r="H1462" s="3">
        <f>LEN(Table1[[#This Row],[Auteur]])</f>
        <v>37</v>
      </c>
      <c r="I1462" s="3" t="str">
        <f t="shared" si="174"/>
        <v>Microsoft System Center, Software Update Management Field Experience</v>
      </c>
    </row>
    <row r="1463" spans="1:9" x14ac:dyDescent="0.45">
      <c r="A1463" t="s">
        <v>287</v>
      </c>
      <c r="B1463" t="str">
        <f t="shared" si="168"/>
        <v>2011</v>
      </c>
      <c r="C1463" t="str">
        <f t="shared" si="169"/>
        <v>Microsoft Press</v>
      </c>
      <c r="D1463" t="str">
        <f t="shared" si="170"/>
        <v>Patrice Pelland, Pascal Paré, Ken Haines</v>
      </c>
      <c r="E1463" s="3" t="str">
        <f t="shared" si="171"/>
        <v/>
      </c>
      <c r="F1463" s="3" t="str">
        <f t="shared" si="172"/>
        <v>.pdf</v>
      </c>
      <c r="G1463" s="3">
        <f t="shared" si="173"/>
        <v>112</v>
      </c>
      <c r="H1463" s="3">
        <f>LEN(Table1[[#This Row],[Auteur]])</f>
        <v>40</v>
      </c>
      <c r="I1463" s="3" t="str">
        <f t="shared" si="174"/>
        <v>Moving to Microsoft Visual Studio 2010</v>
      </c>
    </row>
    <row r="1464" spans="1:9" x14ac:dyDescent="0.45">
      <c r="A1464" t="s">
        <v>288</v>
      </c>
      <c r="B1464" t="str">
        <f t="shared" si="168"/>
        <v>?</v>
      </c>
      <c r="C1464" t="str">
        <f t="shared" si="169"/>
        <v>Microsoft</v>
      </c>
      <c r="D1464" t="str">
        <f t="shared" si="170"/>
        <v>?</v>
      </c>
      <c r="E1464" s="3" t="str">
        <f t="shared" si="171"/>
        <v/>
      </c>
      <c r="F1464" t="str">
        <f t="shared" si="172"/>
        <v>.pdf</v>
      </c>
      <c r="G1464">
        <f t="shared" si="173"/>
        <v>59</v>
      </c>
      <c r="H1464" s="3">
        <f>LEN(Table1[[#This Row],[Auteur]])</f>
        <v>1</v>
      </c>
      <c r="I1464" s="3" t="str">
        <f t="shared" si="174"/>
        <v>Office 2013, Access 2013 Quickstart Guide</v>
      </c>
    </row>
    <row r="1465" spans="1:9" x14ac:dyDescent="0.45">
      <c r="A1465" t="s">
        <v>289</v>
      </c>
      <c r="B1465" t="str">
        <f t="shared" si="168"/>
        <v>?</v>
      </c>
      <c r="C1465" t="str">
        <f t="shared" si="169"/>
        <v>Microsoft</v>
      </c>
      <c r="D1465" t="str">
        <f t="shared" si="170"/>
        <v>?</v>
      </c>
      <c r="E1465" s="3" t="str">
        <f t="shared" si="171"/>
        <v/>
      </c>
      <c r="F1465" t="str">
        <f t="shared" si="172"/>
        <v>.pdf</v>
      </c>
      <c r="G1465">
        <f t="shared" si="173"/>
        <v>66</v>
      </c>
      <c r="H1465" s="3">
        <f>LEN(Table1[[#This Row],[Auteur]])</f>
        <v>1</v>
      </c>
      <c r="I1465" s="3" t="str">
        <f t="shared" si="174"/>
        <v>Office 2013, Create a Team Site Quickstart Guide</v>
      </c>
    </row>
    <row r="1466" spans="1:9" x14ac:dyDescent="0.45">
      <c r="A1466" t="s">
        <v>290</v>
      </c>
      <c r="B1466" t="str">
        <f t="shared" si="168"/>
        <v>?</v>
      </c>
      <c r="C1466" t="str">
        <f t="shared" si="169"/>
        <v>Microsoft</v>
      </c>
      <c r="D1466" t="str">
        <f t="shared" si="170"/>
        <v>?</v>
      </c>
      <c r="E1466" s="3" t="str">
        <f t="shared" si="171"/>
        <v/>
      </c>
      <c r="F1466" s="3" t="str">
        <f t="shared" si="172"/>
        <v>.pdf</v>
      </c>
      <c r="G1466">
        <f t="shared" si="173"/>
        <v>58</v>
      </c>
      <c r="H1466" s="3">
        <f>LEN(Table1[[#This Row],[Auteur]])</f>
        <v>1</v>
      </c>
      <c r="I1466" s="3" t="str">
        <f t="shared" si="174"/>
        <v>Office 2013, Excel 2013 Quickstart Guide</v>
      </c>
    </row>
    <row r="1467" spans="1:9" x14ac:dyDescent="0.45">
      <c r="A1467" t="s">
        <v>291</v>
      </c>
      <c r="B1467" t="str">
        <f t="shared" si="168"/>
        <v>?</v>
      </c>
      <c r="C1467" t="str">
        <f t="shared" si="169"/>
        <v>Microsoft</v>
      </c>
      <c r="D1467" t="str">
        <f t="shared" si="170"/>
        <v>?</v>
      </c>
      <c r="E1467" s="3" t="str">
        <f t="shared" si="171"/>
        <v/>
      </c>
      <c r="F1467" s="3" t="str">
        <f t="shared" si="172"/>
        <v>.pdf</v>
      </c>
      <c r="G1467">
        <f t="shared" si="173"/>
        <v>53</v>
      </c>
      <c r="H1467" s="3">
        <f>LEN(Table1[[#This Row],[Auteur]])</f>
        <v>1</v>
      </c>
      <c r="I1467" s="3" t="str">
        <f t="shared" si="174"/>
        <v>Office 2013, Lists Quickstart Guide</v>
      </c>
    </row>
    <row r="1468" spans="1:9" x14ac:dyDescent="0.45">
      <c r="A1468" t="s">
        <v>292</v>
      </c>
      <c r="B1468" t="str">
        <f t="shared" si="168"/>
        <v>?</v>
      </c>
      <c r="C1468" t="str">
        <f t="shared" si="169"/>
        <v>Microsoft</v>
      </c>
      <c r="D1468" t="str">
        <f t="shared" si="170"/>
        <v>?</v>
      </c>
      <c r="E1468" s="3" t="str">
        <f t="shared" si="171"/>
        <v/>
      </c>
      <c r="F1468" s="3" t="str">
        <f t="shared" si="172"/>
        <v>.pdf</v>
      </c>
      <c r="G1468">
        <f t="shared" si="173"/>
        <v>60</v>
      </c>
      <c r="H1468" s="3">
        <f>LEN(Table1[[#This Row],[Auteur]])</f>
        <v>1</v>
      </c>
      <c r="I1468" s="3" t="str">
        <f t="shared" si="174"/>
        <v>Office 2013, OneNote 2013 Quickstart Guide</v>
      </c>
    </row>
    <row r="1469" spans="1:9" x14ac:dyDescent="0.45">
      <c r="A1469" t="s">
        <v>293</v>
      </c>
      <c r="B1469" t="str">
        <f t="shared" si="168"/>
        <v>?</v>
      </c>
      <c r="C1469" t="str">
        <f t="shared" si="169"/>
        <v>Microsoft</v>
      </c>
      <c r="D1469" t="str">
        <f t="shared" si="170"/>
        <v>?</v>
      </c>
      <c r="E1469" s="3" t="str">
        <f t="shared" si="171"/>
        <v/>
      </c>
      <c r="F1469" s="3" t="str">
        <f t="shared" si="172"/>
        <v>.pdf</v>
      </c>
      <c r="G1469">
        <f t="shared" si="173"/>
        <v>60</v>
      </c>
      <c r="H1469" s="3">
        <f>LEN(Table1[[#This Row],[Auteur]])</f>
        <v>1</v>
      </c>
      <c r="I1469" s="3" t="str">
        <f t="shared" si="174"/>
        <v>Office 2013, Outlook 2013 Quickstart Guide</v>
      </c>
    </row>
    <row r="1470" spans="1:9" x14ac:dyDescent="0.45">
      <c r="A1470" t="s">
        <v>2067</v>
      </c>
      <c r="B1470" t="str">
        <f t="shared" si="168"/>
        <v>?</v>
      </c>
      <c r="C1470" t="str">
        <f t="shared" si="169"/>
        <v>Microsoft</v>
      </c>
      <c r="D1470" t="str">
        <f t="shared" si="170"/>
        <v>?</v>
      </c>
      <c r="E1470" s="3" t="str">
        <f t="shared" si="171"/>
        <v/>
      </c>
      <c r="F1470" s="3" t="str">
        <f t="shared" si="172"/>
        <v>.pdf</v>
      </c>
      <c r="G1470">
        <f t="shared" si="173"/>
        <v>63</v>
      </c>
      <c r="H1470" s="3">
        <f>LEN(Table1[[#This Row],[Auteur]])</f>
        <v>1</v>
      </c>
      <c r="I1470" s="3" t="str">
        <f t="shared" si="174"/>
        <v>Office 2013, PowerPoint 2013 Quickstart Guide</v>
      </c>
    </row>
    <row r="1471" spans="1:9" x14ac:dyDescent="0.45">
      <c r="A1471" t="s">
        <v>294</v>
      </c>
      <c r="B1471" t="str">
        <f t="shared" si="168"/>
        <v>?</v>
      </c>
      <c r="C1471" t="str">
        <f t="shared" si="169"/>
        <v>Microsoft</v>
      </c>
      <c r="D1471" t="str">
        <f t="shared" si="170"/>
        <v>?</v>
      </c>
      <c r="E1471" s="3" t="str">
        <f t="shared" si="171"/>
        <v/>
      </c>
      <c r="F1471" s="3" t="str">
        <f t="shared" si="172"/>
        <v>.pdf</v>
      </c>
      <c r="G1471" s="3">
        <f t="shared" si="173"/>
        <v>60</v>
      </c>
      <c r="H1471" s="3">
        <f>LEN(Table1[[#This Row],[Auteur]])</f>
        <v>1</v>
      </c>
      <c r="I1471" s="3" t="str">
        <f t="shared" si="174"/>
        <v>Office 2013, Project 2013 Quickstart Guide</v>
      </c>
    </row>
    <row r="1472" spans="1:9" x14ac:dyDescent="0.45">
      <c r="A1472" t="s">
        <v>295</v>
      </c>
      <c r="B1472" t="str">
        <f t="shared" si="168"/>
        <v>?</v>
      </c>
      <c r="C1472" t="str">
        <f t="shared" si="169"/>
        <v>Microsoft</v>
      </c>
      <c r="D1472" t="str">
        <f t="shared" si="170"/>
        <v>?</v>
      </c>
      <c r="E1472" s="3" t="str">
        <f t="shared" si="171"/>
        <v/>
      </c>
      <c r="F1472" s="3" t="str">
        <f t="shared" si="172"/>
        <v>.pdf</v>
      </c>
      <c r="G1472">
        <f t="shared" si="173"/>
        <v>62</v>
      </c>
      <c r="H1472" s="3">
        <f>LEN(Table1[[#This Row],[Auteur]])</f>
        <v>1</v>
      </c>
      <c r="I1472" s="3" t="str">
        <f t="shared" si="174"/>
        <v>Office 2013, Publisher 2013 Quickstart Guide</v>
      </c>
    </row>
    <row r="1473" spans="1:9" x14ac:dyDescent="0.45">
      <c r="A1473" t="s">
        <v>296</v>
      </c>
      <c r="B1473" t="str">
        <f t="shared" si="168"/>
        <v>?</v>
      </c>
      <c r="C1473" t="str">
        <f t="shared" si="169"/>
        <v>Microsoft</v>
      </c>
      <c r="D1473" t="str">
        <f t="shared" si="170"/>
        <v>?</v>
      </c>
      <c r="E1473" s="3" t="str">
        <f t="shared" si="171"/>
        <v/>
      </c>
      <c r="F1473" s="3" t="str">
        <f t="shared" si="172"/>
        <v>.pdf</v>
      </c>
      <c r="G1473">
        <f t="shared" si="173"/>
        <v>73</v>
      </c>
      <c r="H1473" s="3">
        <f>LEN(Table1[[#This Row],[Auteur]])</f>
        <v>1</v>
      </c>
      <c r="I1473" s="3" t="str">
        <f t="shared" si="174"/>
        <v>Office 2013, Store and Share Documents Quickstart Guide</v>
      </c>
    </row>
    <row r="1474" spans="1:9" x14ac:dyDescent="0.45">
      <c r="A1474" t="s">
        <v>297</v>
      </c>
      <c r="B1474" t="str">
        <f t="shared" ref="B1474:B1537" si="175">DatePub(A1474)</f>
        <v>?</v>
      </c>
      <c r="C1474" t="str">
        <f t="shared" ref="C1474:C1537" si="176">Editeur(A1474)</f>
        <v>Microsoft</v>
      </c>
      <c r="D1474" t="str">
        <f t="shared" ref="D1474:D1537" si="177">Auteur(A1474)</f>
        <v>?</v>
      </c>
      <c r="E1474" s="3" t="str">
        <f t="shared" ref="E1474:E1537" si="178">ExtraInfo(A1474)</f>
        <v/>
      </c>
      <c r="F1474" t="str">
        <f t="shared" ref="F1474:F1537" si="179">Extension(A1474)</f>
        <v>.pdf</v>
      </c>
      <c r="G1474">
        <f t="shared" ref="G1474:G1537" si="180">LenFileName(A1474)</f>
        <v>57</v>
      </c>
      <c r="H1474" s="3">
        <f>LEN(Table1[[#This Row],[Auteur]])</f>
        <v>1</v>
      </c>
      <c r="I1474" s="3" t="str">
        <f t="shared" ref="I1474:I1496" si="181">Title(A1474)</f>
        <v>Office 2013, Word 2013 Quickstart Guide</v>
      </c>
    </row>
    <row r="1475" spans="1:9" x14ac:dyDescent="0.45">
      <c r="A1475" t="s">
        <v>298</v>
      </c>
      <c r="B1475" t="str">
        <f t="shared" si="175"/>
        <v>?</v>
      </c>
      <c r="C1475" t="str">
        <f t="shared" si="176"/>
        <v>Microsoft</v>
      </c>
      <c r="D1475" t="str">
        <f t="shared" si="177"/>
        <v>?</v>
      </c>
      <c r="E1475" s="3" t="str">
        <f t="shared" si="178"/>
        <v/>
      </c>
      <c r="F1475" t="str">
        <f t="shared" si="179"/>
        <v>.pdf</v>
      </c>
      <c r="G1475">
        <f t="shared" si="180"/>
        <v>56</v>
      </c>
      <c r="H1475" s="3">
        <f>LEN(Table1[[#This Row],[Auteur]])</f>
        <v>1</v>
      </c>
      <c r="I1475" s="3" t="str">
        <f t="shared" si="181"/>
        <v>OneNote 2016 For Mac Quick Start Guide</v>
      </c>
    </row>
    <row r="1476" spans="1:9" x14ac:dyDescent="0.45">
      <c r="A1476" t="s">
        <v>299</v>
      </c>
      <c r="B1476" t="str">
        <f t="shared" si="175"/>
        <v>?</v>
      </c>
      <c r="C1476" t="str">
        <f t="shared" si="176"/>
        <v>Microsoft</v>
      </c>
      <c r="D1476" t="str">
        <f t="shared" si="177"/>
        <v>?</v>
      </c>
      <c r="E1476" s="3" t="str">
        <f t="shared" si="178"/>
        <v/>
      </c>
      <c r="F1476" t="str">
        <f t="shared" si="179"/>
        <v>.pdf</v>
      </c>
      <c r="G1476">
        <f t="shared" si="180"/>
        <v>48</v>
      </c>
      <c r="H1476" s="3">
        <f>LEN(Table1[[#This Row],[Auteur]])</f>
        <v>1</v>
      </c>
      <c r="I1476" s="3" t="str">
        <f t="shared" si="181"/>
        <v>OneNote 2016 Quick Start Guide</v>
      </c>
    </row>
    <row r="1477" spans="1:9" x14ac:dyDescent="0.45">
      <c r="A1477" t="s">
        <v>300</v>
      </c>
      <c r="B1477" t="str">
        <f t="shared" si="175"/>
        <v>?</v>
      </c>
      <c r="C1477" t="str">
        <f t="shared" si="176"/>
        <v>Microsoft</v>
      </c>
      <c r="D1477" t="str">
        <f t="shared" si="177"/>
        <v>?</v>
      </c>
      <c r="E1477" s="3" t="str">
        <f t="shared" si="178"/>
        <v/>
      </c>
      <c r="F1477" t="str">
        <f t="shared" si="179"/>
        <v>.pdf</v>
      </c>
      <c r="G1477">
        <f t="shared" si="180"/>
        <v>42</v>
      </c>
      <c r="H1477" s="3">
        <f>LEN(Table1[[#This Row],[Auteur]])</f>
        <v>1</v>
      </c>
      <c r="I1477" s="3" t="str">
        <f t="shared" si="181"/>
        <v>OneNote 2016 Tips Tricks</v>
      </c>
    </row>
    <row r="1478" spans="1:9" x14ac:dyDescent="0.45">
      <c r="A1478" t="s">
        <v>301</v>
      </c>
      <c r="B1478" t="str">
        <f t="shared" si="175"/>
        <v>?</v>
      </c>
      <c r="C1478" t="str">
        <f t="shared" si="176"/>
        <v>Microsoft</v>
      </c>
      <c r="D1478" t="str">
        <f t="shared" si="177"/>
        <v>?</v>
      </c>
      <c r="E1478" t="str">
        <f t="shared" si="178"/>
        <v/>
      </c>
      <c r="F1478" t="str">
        <f t="shared" si="179"/>
        <v>.pdf</v>
      </c>
      <c r="G1478">
        <f t="shared" si="180"/>
        <v>50</v>
      </c>
      <c r="H1478" s="3">
        <f>LEN(Table1[[#This Row],[Auteur]])</f>
        <v>1</v>
      </c>
      <c r="I1478" s="3" t="str">
        <f t="shared" si="181"/>
        <v>OneNote Mobile Quick Start Guide</v>
      </c>
    </row>
    <row r="1479" spans="1:9" x14ac:dyDescent="0.45">
      <c r="A1479" t="s">
        <v>302</v>
      </c>
      <c r="B1479" t="str">
        <f t="shared" si="175"/>
        <v>?</v>
      </c>
      <c r="C1479" t="str">
        <f t="shared" si="176"/>
        <v>Microsoft</v>
      </c>
      <c r="D1479" t="str">
        <f t="shared" si="177"/>
        <v>?</v>
      </c>
      <c r="E1479" s="3" t="str">
        <f t="shared" si="178"/>
        <v/>
      </c>
      <c r="F1479" t="str">
        <f t="shared" si="179"/>
        <v>.pdf</v>
      </c>
      <c r="G1479">
        <f t="shared" si="180"/>
        <v>56</v>
      </c>
      <c r="H1479" s="3">
        <f>LEN(Table1[[#This Row],[Auteur]])</f>
        <v>1</v>
      </c>
      <c r="I1479" s="3" t="str">
        <f t="shared" si="181"/>
        <v>Outlook 2016 For Mac Quick Start Guide</v>
      </c>
    </row>
    <row r="1480" spans="1:9" x14ac:dyDescent="0.45">
      <c r="A1480" t="s">
        <v>303</v>
      </c>
      <c r="B1480" t="str">
        <f t="shared" si="175"/>
        <v>?</v>
      </c>
      <c r="C1480" t="str">
        <f t="shared" si="176"/>
        <v>Microsoft</v>
      </c>
      <c r="D1480" t="str">
        <f t="shared" si="177"/>
        <v>?</v>
      </c>
      <c r="E1480" s="3" t="str">
        <f t="shared" si="178"/>
        <v/>
      </c>
      <c r="F1480" s="3" t="str">
        <f t="shared" si="179"/>
        <v>.pdf</v>
      </c>
      <c r="G1480">
        <f t="shared" si="180"/>
        <v>48</v>
      </c>
      <c r="H1480" s="3">
        <f>LEN(Table1[[#This Row],[Auteur]])</f>
        <v>1</v>
      </c>
      <c r="I1480" s="3" t="str">
        <f t="shared" si="181"/>
        <v>Outlook 2016 Quick Start Guide</v>
      </c>
    </row>
    <row r="1481" spans="1:9" x14ac:dyDescent="0.45">
      <c r="A1481" t="s">
        <v>304</v>
      </c>
      <c r="B1481" t="str">
        <f t="shared" si="175"/>
        <v>?</v>
      </c>
      <c r="C1481" t="str">
        <f t="shared" si="176"/>
        <v>Microsoft</v>
      </c>
      <c r="D1481" t="str">
        <f t="shared" si="177"/>
        <v>?</v>
      </c>
      <c r="E1481" s="3" t="str">
        <f t="shared" si="178"/>
        <v/>
      </c>
      <c r="F1481" t="str">
        <f t="shared" si="179"/>
        <v>.pdf</v>
      </c>
      <c r="G1481">
        <f t="shared" si="180"/>
        <v>42</v>
      </c>
      <c r="H1481" s="3">
        <f>LEN(Table1[[#This Row],[Auteur]])</f>
        <v>1</v>
      </c>
      <c r="I1481" s="3" t="str">
        <f t="shared" si="181"/>
        <v>Outlook 2016 Tips Tricks</v>
      </c>
    </row>
    <row r="1482" spans="1:9" x14ac:dyDescent="0.45">
      <c r="A1482" t="s">
        <v>2068</v>
      </c>
      <c r="B1482" t="str">
        <f t="shared" si="175"/>
        <v>2016</v>
      </c>
      <c r="C1482" t="str">
        <f t="shared" si="176"/>
        <v>Microsoft Press</v>
      </c>
      <c r="D1482" t="str">
        <f t="shared" si="177"/>
        <v>Jeremy Taylor</v>
      </c>
      <c r="E1482" s="3" t="str">
        <f t="shared" si="178"/>
        <v/>
      </c>
      <c r="F1482" t="str">
        <f t="shared" si="179"/>
        <v>.pdf</v>
      </c>
      <c r="G1482">
        <f t="shared" si="180"/>
        <v>77</v>
      </c>
      <c r="H1482" s="3">
        <f>LEN(Table1[[#This Row],[Auteur]])</f>
        <v>13</v>
      </c>
      <c r="I1482" s="3" t="str">
        <f t="shared" si="181"/>
        <v>Planning SharePoint Hybrid 8.5</v>
      </c>
    </row>
    <row r="1483" spans="1:9" x14ac:dyDescent="0.45">
      <c r="A1483" t="s">
        <v>2069</v>
      </c>
      <c r="B1483" t="str">
        <f t="shared" si="175"/>
        <v>2016</v>
      </c>
      <c r="C1483" t="str">
        <f t="shared" si="176"/>
        <v>Microsoft Press</v>
      </c>
      <c r="D1483" t="str">
        <f t="shared" si="177"/>
        <v>Jeremy Taylor</v>
      </c>
      <c r="E1483" s="3" t="str">
        <f t="shared" si="178"/>
        <v>Mobile format</v>
      </c>
      <c r="F1483" s="3" t="str">
        <f t="shared" si="179"/>
        <v>.pdf</v>
      </c>
      <c r="G1483" s="3">
        <f t="shared" si="180"/>
        <v>93</v>
      </c>
      <c r="H1483" s="3">
        <f>LEN(Table1[[#This Row],[Auteur]])</f>
        <v>13</v>
      </c>
      <c r="I1483" s="3" t="str">
        <f t="shared" si="181"/>
        <v>Planning SharePoint Hybrid 8.5</v>
      </c>
    </row>
    <row r="1484" spans="1:9" x14ac:dyDescent="0.45">
      <c r="A1484" t="s">
        <v>305</v>
      </c>
      <c r="B1484" t="str">
        <f t="shared" si="175"/>
        <v>2012</v>
      </c>
      <c r="C1484" t="str">
        <f t="shared" si="176"/>
        <v>Microsoft</v>
      </c>
      <c r="D1484" t="str">
        <f t="shared" si="177"/>
        <v>Owen Duncan</v>
      </c>
      <c r="E1484" s="3" t="str">
        <f t="shared" si="178"/>
        <v/>
      </c>
      <c r="F1484" s="3" t="str">
        <f t="shared" si="179"/>
        <v>.epub</v>
      </c>
      <c r="G1484" s="3">
        <f t="shared" si="180"/>
        <v>82</v>
      </c>
      <c r="H1484" s="3">
        <f>LEN(Table1[[#This Row],[Auteur]])</f>
        <v>11</v>
      </c>
      <c r="I1484" s="3" t="str">
        <f t="shared" si="181"/>
        <v>QuickStart, Learn DAX Basics in 30 Minutes</v>
      </c>
    </row>
    <row r="1485" spans="1:9" x14ac:dyDescent="0.45">
      <c r="A1485" t="s">
        <v>306</v>
      </c>
      <c r="B1485" t="str">
        <f t="shared" si="175"/>
        <v>2012</v>
      </c>
      <c r="C1485" t="str">
        <f t="shared" si="176"/>
        <v>Microsoft</v>
      </c>
      <c r="D1485" t="str">
        <f t="shared" si="177"/>
        <v>Owen Duncan</v>
      </c>
      <c r="E1485" s="3" t="str">
        <f t="shared" si="178"/>
        <v/>
      </c>
      <c r="F1485" t="str">
        <f t="shared" si="179"/>
        <v>.pdf</v>
      </c>
      <c r="G1485">
        <f t="shared" si="180"/>
        <v>81</v>
      </c>
      <c r="H1485" s="3">
        <f>LEN(Table1[[#This Row],[Auteur]])</f>
        <v>11</v>
      </c>
      <c r="I1485" s="3" t="str">
        <f t="shared" si="181"/>
        <v>QuickStart, Learn DAX Basics in 30 Minutes</v>
      </c>
    </row>
    <row r="1486" spans="1:9" x14ac:dyDescent="0.45">
      <c r="A1486" t="s">
        <v>1947</v>
      </c>
      <c r="B1486" t="str">
        <f t="shared" si="175"/>
        <v>2015</v>
      </c>
      <c r="C1486" t="str">
        <f t="shared" si="176"/>
        <v>Microsoft Press</v>
      </c>
      <c r="D1486" t="str">
        <f t="shared" si="177"/>
        <v>Cain, Luescher, Flynn, Morales, Tulloch</v>
      </c>
      <c r="E1486" s="3" t="str">
        <f t="shared" si="178"/>
        <v/>
      </c>
      <c r="F1486" t="str">
        <f t="shared" si="179"/>
        <v>.epub</v>
      </c>
      <c r="G1486">
        <f t="shared" si="180"/>
        <v>136</v>
      </c>
      <c r="H1486" s="3">
        <f>LEN(Table1[[#This Row],[Auteur]])</f>
        <v>39</v>
      </c>
      <c r="I1486" s="3" t="str">
        <f t="shared" si="181"/>
        <v>System Center, Building a Virtualized Network Solution</v>
      </c>
    </row>
    <row r="1487" spans="1:9" x14ac:dyDescent="0.45">
      <c r="A1487" t="s">
        <v>1948</v>
      </c>
      <c r="B1487" t="str">
        <f t="shared" si="175"/>
        <v>2015</v>
      </c>
      <c r="C1487" t="str">
        <f t="shared" si="176"/>
        <v>Microsoft Press</v>
      </c>
      <c r="D1487" t="str">
        <f t="shared" si="177"/>
        <v>Cain, Luescher, Flynn, Morales, Tulloch</v>
      </c>
      <c r="E1487" s="3" t="str">
        <f t="shared" si="178"/>
        <v/>
      </c>
      <c r="F1487" t="str">
        <f t="shared" si="179"/>
        <v>.pdf</v>
      </c>
      <c r="G1487">
        <f t="shared" si="180"/>
        <v>135</v>
      </c>
      <c r="H1487" s="3">
        <f>LEN(Table1[[#This Row],[Auteur]])</f>
        <v>39</v>
      </c>
      <c r="I1487" s="3" t="str">
        <f t="shared" si="181"/>
        <v>System Center, Building a Virtualized Network Solution</v>
      </c>
    </row>
    <row r="1488" spans="1:9" x14ac:dyDescent="0.45">
      <c r="A1488" t="s">
        <v>1949</v>
      </c>
      <c r="B1488" t="str">
        <f t="shared" si="175"/>
        <v>2013</v>
      </c>
      <c r="C1488" t="str">
        <f t="shared" si="176"/>
        <v>Microsoft Press</v>
      </c>
      <c r="D1488" t="str">
        <f t="shared" si="177"/>
        <v>Faldu, Raval, Linton, Pandey</v>
      </c>
      <c r="E1488" s="3" t="str">
        <f t="shared" si="178"/>
        <v/>
      </c>
      <c r="F1488" t="str">
        <f t="shared" si="179"/>
        <v>.epub</v>
      </c>
      <c r="G1488">
        <f t="shared" si="180"/>
        <v>116</v>
      </c>
      <c r="H1488" s="3">
        <f>LEN(Table1[[#This Row],[Auteur]])</f>
        <v>28</v>
      </c>
      <c r="I1488" s="3" t="str">
        <f t="shared" si="181"/>
        <v>System Center, Configuration Manager Field Experience</v>
      </c>
    </row>
    <row r="1489" spans="1:9" x14ac:dyDescent="0.45">
      <c r="A1489" t="s">
        <v>1950</v>
      </c>
      <c r="B1489" t="str">
        <f t="shared" si="175"/>
        <v>2013</v>
      </c>
      <c r="C1489" t="str">
        <f t="shared" si="176"/>
        <v>Microsoft Press</v>
      </c>
      <c r="D1489" t="str">
        <f t="shared" si="177"/>
        <v>Faldu, Raval, Linton, Pandey</v>
      </c>
      <c r="E1489" s="3" t="str">
        <f t="shared" si="178"/>
        <v/>
      </c>
      <c r="F1489" t="str">
        <f t="shared" si="179"/>
        <v>.pdf</v>
      </c>
      <c r="G1489">
        <f t="shared" si="180"/>
        <v>115</v>
      </c>
      <c r="H1489" s="3">
        <f>LEN(Table1[[#This Row],[Auteur]])</f>
        <v>28</v>
      </c>
      <c r="I1489" s="3" t="str">
        <f t="shared" si="181"/>
        <v>System Center, Configuration Manager Field Experience</v>
      </c>
    </row>
    <row r="1490" spans="1:9" x14ac:dyDescent="0.45">
      <c r="A1490" t="s">
        <v>1951</v>
      </c>
      <c r="B1490" t="str">
        <f t="shared" si="175"/>
        <v>2013</v>
      </c>
      <c r="C1490" t="str">
        <f t="shared" si="176"/>
        <v>Microsoft Press</v>
      </c>
      <c r="D1490" t="str">
        <f t="shared" si="177"/>
        <v>Ziembicki, Cushner, Rynes, Tulloch</v>
      </c>
      <c r="E1490" s="3" t="str">
        <f t="shared" si="178"/>
        <v/>
      </c>
      <c r="F1490" s="3" t="str">
        <f t="shared" si="179"/>
        <v>.epub</v>
      </c>
      <c r="G1490">
        <f t="shared" si="180"/>
        <v>116</v>
      </c>
      <c r="H1490" s="3">
        <f>LEN(Table1[[#This Row],[Auteur]])</f>
        <v>34</v>
      </c>
      <c r="I1490" s="3" t="str">
        <f t="shared" si="181"/>
        <v>System Center, Designing Orchestrator Run Books</v>
      </c>
    </row>
    <row r="1491" spans="1:9" x14ac:dyDescent="0.45">
      <c r="A1491" t="s">
        <v>1952</v>
      </c>
      <c r="B1491" t="str">
        <f t="shared" si="175"/>
        <v>2013</v>
      </c>
      <c r="C1491" t="str">
        <f t="shared" si="176"/>
        <v>Microsoft Press</v>
      </c>
      <c r="D1491" t="str">
        <f t="shared" si="177"/>
        <v>Ziembicki, Cushner, Rynes, Tulloch</v>
      </c>
      <c r="E1491" s="3" t="str">
        <f t="shared" si="178"/>
        <v/>
      </c>
      <c r="F1491" s="3" t="str">
        <f t="shared" si="179"/>
        <v>.pdf</v>
      </c>
      <c r="G1491">
        <f t="shared" si="180"/>
        <v>115</v>
      </c>
      <c r="H1491" s="3">
        <f>LEN(Table1[[#This Row],[Auteur]])</f>
        <v>34</v>
      </c>
      <c r="I1491" s="3" t="str">
        <f t="shared" si="181"/>
        <v>System Center, Designing Orchestrator Run Books</v>
      </c>
    </row>
    <row r="1492" spans="1:9" x14ac:dyDescent="0.45">
      <c r="A1492" t="s">
        <v>1953</v>
      </c>
      <c r="B1492" t="str">
        <f t="shared" si="175"/>
        <v>2013</v>
      </c>
      <c r="C1492" t="str">
        <f t="shared" si="176"/>
        <v>Microsoft Press</v>
      </c>
      <c r="D1492" t="str">
        <f t="shared" si="177"/>
        <v>Ellermann, Wilson, Nielsen, Clark</v>
      </c>
      <c r="E1492" s="3" t="str">
        <f t="shared" si="178"/>
        <v/>
      </c>
      <c r="F1492" s="3" t="str">
        <f t="shared" si="179"/>
        <v>.epub</v>
      </c>
      <c r="G1492">
        <f t="shared" si="180"/>
        <v>109</v>
      </c>
      <c r="H1492" s="3">
        <f>LEN(Table1[[#This Row],[Auteur]])</f>
        <v>33</v>
      </c>
      <c r="I1492" s="3" t="str">
        <f t="shared" si="181"/>
        <v>System Center, Optimizing Service Manager</v>
      </c>
    </row>
    <row r="1493" spans="1:9" x14ac:dyDescent="0.45">
      <c r="A1493" t="s">
        <v>1954</v>
      </c>
      <c r="B1493" t="str">
        <f t="shared" si="175"/>
        <v>2013</v>
      </c>
      <c r="C1493" t="str">
        <f t="shared" si="176"/>
        <v>Microsoft Press</v>
      </c>
      <c r="D1493" t="str">
        <f t="shared" si="177"/>
        <v>Ellermann, Wilson, Nielsen, Clark</v>
      </c>
      <c r="E1493" s="3" t="str">
        <f t="shared" si="178"/>
        <v/>
      </c>
      <c r="F1493" t="str">
        <f t="shared" si="179"/>
        <v>.pdf</v>
      </c>
      <c r="G1493">
        <f t="shared" si="180"/>
        <v>108</v>
      </c>
      <c r="H1493" s="3">
        <f>LEN(Table1[[#This Row],[Auteur]])</f>
        <v>33</v>
      </c>
      <c r="I1493" s="3" t="str">
        <f t="shared" si="181"/>
        <v>System Center, Optimizing Service Manager</v>
      </c>
    </row>
    <row r="1494" spans="1:9" x14ac:dyDescent="0.45">
      <c r="A1494" t="s">
        <v>1955</v>
      </c>
      <c r="B1494" t="str">
        <f t="shared" si="175"/>
        <v>2013</v>
      </c>
      <c r="C1494" t="str">
        <f t="shared" si="176"/>
        <v>Microsoft Press</v>
      </c>
      <c r="D1494" t="str">
        <f t="shared" si="177"/>
        <v>Faldu, Kumar Pal, Della Monica, Pandey, Tulloch</v>
      </c>
      <c r="E1494" s="3" t="str">
        <f t="shared" si="178"/>
        <v/>
      </c>
      <c r="F1494" s="3" t="str">
        <f t="shared" si="179"/>
        <v>.epub</v>
      </c>
      <c r="G1494">
        <f t="shared" si="180"/>
        <v>134</v>
      </c>
      <c r="H1494" s="3">
        <f>LEN(Table1[[#This Row],[Auteur]])</f>
        <v>47</v>
      </c>
      <c r="I1494" s="3" t="str">
        <f t="shared" si="181"/>
        <v>System Center, Troubleshooting Configuration Manager</v>
      </c>
    </row>
    <row r="1495" spans="1:9" x14ac:dyDescent="0.45">
      <c r="A1495" t="s">
        <v>1956</v>
      </c>
      <c r="B1495" t="str">
        <f t="shared" si="175"/>
        <v>2013</v>
      </c>
      <c r="C1495" t="str">
        <f t="shared" si="176"/>
        <v>Microsoft Press</v>
      </c>
      <c r="D1495" t="str">
        <f t="shared" si="177"/>
        <v>Faldu, Kumar Pal, Della Monica, Pandey, Tulloch</v>
      </c>
      <c r="E1495" s="3" t="str">
        <f t="shared" si="178"/>
        <v/>
      </c>
      <c r="F1495" s="3" t="str">
        <f t="shared" si="179"/>
        <v>.pdf</v>
      </c>
      <c r="G1495">
        <f t="shared" si="180"/>
        <v>133</v>
      </c>
      <c r="H1495" s="3">
        <f>LEN(Table1[[#This Row],[Auteur]])</f>
        <v>47</v>
      </c>
      <c r="I1495" s="3" t="str">
        <f t="shared" si="181"/>
        <v>System Center, Troubleshooting Configuration Manager</v>
      </c>
    </row>
    <row r="1496" spans="1:9" x14ac:dyDescent="0.45">
      <c r="A1496" t="s">
        <v>307</v>
      </c>
      <c r="B1496" t="str">
        <f t="shared" si="175"/>
        <v>2010</v>
      </c>
      <c r="C1496" t="str">
        <f t="shared" si="176"/>
        <v>Microsoft Press</v>
      </c>
      <c r="D1496" t="str">
        <f t="shared" si="177"/>
        <v>Mike Tulloch</v>
      </c>
      <c r="E1496" s="3" t="str">
        <f t="shared" si="178"/>
        <v/>
      </c>
      <c r="F1496" t="str">
        <f t="shared" si="179"/>
        <v>.pdf</v>
      </c>
      <c r="G1496">
        <f t="shared" si="180"/>
        <v>92</v>
      </c>
      <c r="H1496" s="3">
        <f>LEN(Table1[[#This Row],[Auteur]])</f>
        <v>12</v>
      </c>
      <c r="I1496" s="3" t="str">
        <f t="shared" si="181"/>
        <v>Understanding Virtualization Solutions</v>
      </c>
    </row>
    <row r="1497" spans="1:9" hidden="1" x14ac:dyDescent="0.45">
      <c r="A1497" t="s">
        <v>308</v>
      </c>
      <c r="B1497" t="str">
        <f t="shared" si="175"/>
        <v>2016</v>
      </c>
      <c r="C1497" t="str">
        <f t="shared" si="176"/>
        <v>Microsoft Press</v>
      </c>
      <c r="D1497" t="str">
        <f t="shared" si="177"/>
        <v>Ed Bott</v>
      </c>
      <c r="E1497" s="3" t="str">
        <f t="shared" si="178"/>
        <v/>
      </c>
      <c r="F1497" s="3" t="str">
        <f t="shared" si="179"/>
        <v>.pdf</v>
      </c>
      <c r="G1497">
        <f t="shared" si="180"/>
        <v>83</v>
      </c>
      <c r="H1497" s="3">
        <f>LEN(Table1[[#This Row],[Auteur]])</f>
        <v>7</v>
      </c>
      <c r="I1497" s="3" t="str">
        <f t="shared" ref="I1497:I1537" si="182">Title(A1497)</f>
        <v>Windows 10 IT Pro Essentials, Top 10 tools</v>
      </c>
    </row>
    <row r="1498" spans="1:9" x14ac:dyDescent="0.45">
      <c r="A1498" t="s">
        <v>309</v>
      </c>
      <c r="B1498" t="str">
        <f t="shared" si="175"/>
        <v>2016</v>
      </c>
      <c r="C1498" t="str">
        <f t="shared" si="176"/>
        <v>Microsoft Press</v>
      </c>
      <c r="D1498" t="str">
        <f t="shared" si="177"/>
        <v>Ed Bott</v>
      </c>
      <c r="E1498" s="3" t="str">
        <f t="shared" si="178"/>
        <v>Mobile Format</v>
      </c>
      <c r="F1498" t="str">
        <f t="shared" si="179"/>
        <v>.pdf</v>
      </c>
      <c r="G1498">
        <f t="shared" si="180"/>
        <v>99</v>
      </c>
      <c r="H1498" s="3">
        <f>LEN(Table1[[#This Row],[Auteur]])</f>
        <v>7</v>
      </c>
      <c r="I1498" s="3" t="str">
        <f t="shared" si="182"/>
        <v>Windows 10 IT Pro Essentials, Top 10 tools</v>
      </c>
    </row>
    <row r="1499" spans="1:9" x14ac:dyDescent="0.45">
      <c r="A1499" t="s">
        <v>310</v>
      </c>
      <c r="B1499" t="str">
        <f t="shared" si="175"/>
        <v>?</v>
      </c>
      <c r="C1499" t="str">
        <f t="shared" si="176"/>
        <v>Microsoft</v>
      </c>
      <c r="D1499" t="str">
        <f t="shared" si="177"/>
        <v>?</v>
      </c>
      <c r="E1499" s="3" t="str">
        <f t="shared" si="178"/>
        <v/>
      </c>
      <c r="F1499" t="str">
        <f t="shared" si="179"/>
        <v>.pdf</v>
      </c>
      <c r="G1499">
        <f t="shared" si="180"/>
        <v>53</v>
      </c>
      <c r="H1499" s="3">
        <f>LEN(Table1[[#This Row],[Auteur]])</f>
        <v>1</v>
      </c>
      <c r="I1499" s="3" t="str">
        <f t="shared" si="182"/>
        <v>Word 2016 for Mac Quick Start Guide</v>
      </c>
    </row>
    <row r="1500" spans="1:9" x14ac:dyDescent="0.45">
      <c r="A1500" t="s">
        <v>311</v>
      </c>
      <c r="B1500" t="str">
        <f t="shared" si="175"/>
        <v>?</v>
      </c>
      <c r="C1500" t="str">
        <f t="shared" si="176"/>
        <v>Microsoft</v>
      </c>
      <c r="D1500" t="str">
        <f t="shared" si="177"/>
        <v>?</v>
      </c>
      <c r="E1500" s="3" t="str">
        <f t="shared" si="178"/>
        <v/>
      </c>
      <c r="F1500" t="str">
        <f t="shared" si="179"/>
        <v>.pdf</v>
      </c>
      <c r="G1500">
        <f t="shared" si="180"/>
        <v>45</v>
      </c>
      <c r="H1500" s="3">
        <f>LEN(Table1[[#This Row],[Auteur]])</f>
        <v>1</v>
      </c>
      <c r="I1500" s="3" t="str">
        <f t="shared" si="182"/>
        <v>Word 2016 Quick Start Guide</v>
      </c>
    </row>
    <row r="1501" spans="1:9" x14ac:dyDescent="0.45">
      <c r="A1501" t="s">
        <v>312</v>
      </c>
      <c r="B1501" t="str">
        <f t="shared" si="175"/>
        <v>?</v>
      </c>
      <c r="C1501" t="str">
        <f t="shared" si="176"/>
        <v>Microsoft</v>
      </c>
      <c r="D1501" t="str">
        <f t="shared" si="177"/>
        <v>?</v>
      </c>
      <c r="E1501" s="3" t="str">
        <f t="shared" si="178"/>
        <v/>
      </c>
      <c r="F1501" t="str">
        <f t="shared" si="179"/>
        <v>.pdf</v>
      </c>
      <c r="G1501">
        <f t="shared" si="180"/>
        <v>47</v>
      </c>
      <c r="H1501" s="3">
        <f>LEN(Table1[[#This Row],[Auteur]])</f>
        <v>1</v>
      </c>
      <c r="I1501" s="3" t="str">
        <f t="shared" si="182"/>
        <v>Word Mobile Quick Start Guide</v>
      </c>
    </row>
    <row r="1502" spans="1:9" x14ac:dyDescent="0.45">
      <c r="A1502" t="s">
        <v>313</v>
      </c>
      <c r="B1502" t="str">
        <f t="shared" si="175"/>
        <v>?</v>
      </c>
      <c r="C1502" t="str">
        <f t="shared" si="176"/>
        <v>?</v>
      </c>
      <c r="D1502" t="str">
        <f t="shared" si="177"/>
        <v>Benjamin Rochereau</v>
      </c>
      <c r="E1502" s="3" t="str">
        <f t="shared" si="178"/>
        <v>Document</v>
      </c>
      <c r="F1502" t="str">
        <f t="shared" si="179"/>
        <v>.pdf</v>
      </c>
      <c r="G1502">
        <f t="shared" si="180"/>
        <v>105</v>
      </c>
      <c r="H1502" s="3">
        <f>LEN(Table1[[#This Row],[Auteur]])</f>
        <v>18</v>
      </c>
      <c r="I1502" s="3" t="str">
        <f t="shared" si="182"/>
        <v>41 fiches pratiques pour maîtriser les fonctions essentielles d'Excel</v>
      </c>
    </row>
    <row r="1503" spans="1:9" x14ac:dyDescent="0.45">
      <c r="A1503" t="s">
        <v>168</v>
      </c>
      <c r="B1503" t="str">
        <f t="shared" si="175"/>
        <v>2002</v>
      </c>
      <c r="C1503" t="str">
        <f t="shared" si="176"/>
        <v>O'Reilly</v>
      </c>
      <c r="D1503" t="str">
        <f t="shared" si="177"/>
        <v>Steven Roman</v>
      </c>
      <c r="E1503" s="3" t="str">
        <f t="shared" si="178"/>
        <v>Dump</v>
      </c>
      <c r="F1503" t="str">
        <f t="shared" si="179"/>
        <v>.pdf</v>
      </c>
      <c r="G1503">
        <f t="shared" si="180"/>
        <v>90</v>
      </c>
      <c r="H1503" s="3">
        <f>LEN(Table1[[#This Row],[Auteur]])</f>
        <v>12</v>
      </c>
      <c r="I1503" s="3" t="str">
        <f t="shared" si="182"/>
        <v>Access Database Design &amp; Programming</v>
      </c>
    </row>
    <row r="1504" spans="1:9" x14ac:dyDescent="0.45">
      <c r="A1504" t="s">
        <v>524</v>
      </c>
      <c r="B1504" t="str">
        <f t="shared" si="175"/>
        <v>2013</v>
      </c>
      <c r="C1504" t="str">
        <f t="shared" si="176"/>
        <v>Eyrolles</v>
      </c>
      <c r="D1504" t="str">
        <f t="shared" si="177"/>
        <v>Bernard Lebelle</v>
      </c>
      <c r="E1504" s="3" t="str">
        <f t="shared" si="178"/>
        <v/>
      </c>
      <c r="F1504" s="3" t="str">
        <f t="shared" si="179"/>
        <v>.pdf</v>
      </c>
      <c r="G1504">
        <f t="shared" si="180"/>
        <v>99</v>
      </c>
      <c r="H1504" s="3">
        <f>LEN(Table1[[#This Row],[Auteur]])</f>
        <v>15</v>
      </c>
      <c r="I1504" s="3" t="str">
        <f t="shared" si="182"/>
        <v>Construire un tableau de bord pertinent sous Excel</v>
      </c>
    </row>
    <row r="1505" spans="1:9" x14ac:dyDescent="0.45">
      <c r="A1505" t="s">
        <v>1766</v>
      </c>
      <c r="B1505" t="str">
        <f t="shared" si="175"/>
        <v>2010</v>
      </c>
      <c r="C1505" t="str">
        <f t="shared" si="176"/>
        <v>McGraw-Hill</v>
      </c>
      <c r="D1505" t="str">
        <f t="shared" si="177"/>
        <v>Richard Shepherd</v>
      </c>
      <c r="E1505" s="3" t="str">
        <f t="shared" si="178"/>
        <v/>
      </c>
      <c r="F1505" t="str">
        <f t="shared" si="179"/>
        <v>.pdf</v>
      </c>
      <c r="G1505">
        <f t="shared" si="180"/>
        <v>78</v>
      </c>
      <c r="H1505" s="3">
        <f>LEN(Table1[[#This Row],[Auteur]])</f>
        <v>16</v>
      </c>
      <c r="I1505" s="3" t="str">
        <f t="shared" si="182"/>
        <v>Excel 2007 VBA Macro Programming</v>
      </c>
    </row>
    <row r="1506" spans="1:9" x14ac:dyDescent="0.45">
      <c r="A1506" t="s">
        <v>169</v>
      </c>
      <c r="B1506" t="str">
        <f t="shared" si="175"/>
        <v>2013</v>
      </c>
      <c r="C1506" t="str">
        <f t="shared" si="176"/>
        <v>Eyrolles</v>
      </c>
      <c r="D1506" t="str">
        <f t="shared" si="177"/>
        <v>Philippe Moreau</v>
      </c>
      <c r="E1506" s="3" t="str">
        <f t="shared" si="178"/>
        <v/>
      </c>
      <c r="F1506" t="str">
        <f t="shared" si="179"/>
        <v>.pdf</v>
      </c>
      <c r="G1506">
        <f t="shared" si="180"/>
        <v>59</v>
      </c>
      <c r="H1506" s="3">
        <f>LEN(Table1[[#This Row],[Auteur]])</f>
        <v>15</v>
      </c>
      <c r="I1506" s="3" t="str">
        <f t="shared" si="182"/>
        <v>Excel 2013 Avancé</v>
      </c>
    </row>
    <row r="1507" spans="1:9" x14ac:dyDescent="0.45">
      <c r="A1507" t="s">
        <v>170</v>
      </c>
      <c r="B1507" t="str">
        <f t="shared" si="175"/>
        <v>2013</v>
      </c>
      <c r="C1507" t="str">
        <f t="shared" si="176"/>
        <v>Eyrolles</v>
      </c>
      <c r="D1507" t="str">
        <f t="shared" si="177"/>
        <v>Philippe Moreau</v>
      </c>
      <c r="E1507" s="3" t="str">
        <f t="shared" si="178"/>
        <v/>
      </c>
      <c r="F1507" t="str">
        <f t="shared" si="179"/>
        <v>.pdf</v>
      </c>
      <c r="G1507">
        <f t="shared" si="180"/>
        <v>63</v>
      </c>
      <c r="H1507" s="3">
        <f>LEN(Table1[[#This Row],[Auteur]])</f>
        <v>15</v>
      </c>
      <c r="I1507" s="3" t="str">
        <f t="shared" si="182"/>
        <v>Excel 2013 Initiation</v>
      </c>
    </row>
    <row r="1508" spans="1:9" x14ac:dyDescent="0.45">
      <c r="A1508" t="s">
        <v>171</v>
      </c>
      <c r="B1508" t="str">
        <f t="shared" si="175"/>
        <v>2014</v>
      </c>
      <c r="C1508" t="str">
        <f t="shared" si="176"/>
        <v>Eyrolles</v>
      </c>
      <c r="D1508" t="str">
        <f t="shared" si="177"/>
        <v>Daniel-Jean David</v>
      </c>
      <c r="E1508" s="3" t="str">
        <f t="shared" si="178"/>
        <v/>
      </c>
      <c r="F1508" t="str">
        <f t="shared" si="179"/>
        <v>.pdf</v>
      </c>
      <c r="G1508">
        <f t="shared" si="180"/>
        <v>72</v>
      </c>
      <c r="H1508" s="3">
        <f>LEN(Table1[[#This Row],[Auteur]])</f>
        <v>17</v>
      </c>
      <c r="I1508" s="3" t="str">
        <f t="shared" si="182"/>
        <v>Excel 2013 programmation VBA</v>
      </c>
    </row>
    <row r="1509" spans="1:9" x14ac:dyDescent="0.45">
      <c r="A1509" t="s">
        <v>172</v>
      </c>
      <c r="B1509" t="str">
        <f t="shared" si="175"/>
        <v>2010</v>
      </c>
      <c r="C1509" t="str">
        <f t="shared" si="176"/>
        <v>Pearson</v>
      </c>
      <c r="D1509" t="str">
        <f t="shared" si="177"/>
        <v>Mikaël Bidault</v>
      </c>
      <c r="E1509" s="3" t="str">
        <f t="shared" si="178"/>
        <v/>
      </c>
      <c r="F1509" s="3" t="str">
        <f t="shared" si="179"/>
        <v>.pdf</v>
      </c>
      <c r="G1509">
        <f t="shared" si="180"/>
        <v>55</v>
      </c>
      <c r="H1509" s="3">
        <f>LEN(Table1[[#This Row],[Auteur]])</f>
        <v>14</v>
      </c>
      <c r="I1509" s="3" t="str">
        <f t="shared" si="182"/>
        <v>Excel et le VBA</v>
      </c>
    </row>
    <row r="1510" spans="1:9" x14ac:dyDescent="0.45">
      <c r="A1510" t="s">
        <v>525</v>
      </c>
      <c r="B1510" t="str">
        <f t="shared" si="175"/>
        <v>2014</v>
      </c>
      <c r="C1510" t="str">
        <f t="shared" si="176"/>
        <v>Eyrolles</v>
      </c>
      <c r="D1510" t="str">
        <f t="shared" si="177"/>
        <v>Nathalie Barbary</v>
      </c>
      <c r="E1510" s="3" t="str">
        <f t="shared" si="178"/>
        <v/>
      </c>
      <c r="F1510" s="3" t="str">
        <f t="shared" si="179"/>
        <v>.pdf</v>
      </c>
      <c r="G1510">
        <f t="shared" si="180"/>
        <v>124</v>
      </c>
      <c r="H1510" s="3">
        <f>LEN(Table1[[#This Row],[Auteur]])</f>
        <v>16</v>
      </c>
      <c r="I1510" s="3" t="str">
        <f t="shared" si="182"/>
        <v>Excel expert, Fonctions, TCD, simulations, visualisation, bases de données</v>
      </c>
    </row>
    <row r="1511" spans="1:9" x14ac:dyDescent="0.45">
      <c r="A1511" t="s">
        <v>77</v>
      </c>
      <c r="B1511" t="str">
        <f t="shared" si="175"/>
        <v>2013</v>
      </c>
      <c r="C1511" t="str">
        <f t="shared" si="176"/>
        <v>Wiley</v>
      </c>
      <c r="D1511" t="str">
        <f t="shared" si="177"/>
        <v>John Walkenbach</v>
      </c>
      <c r="E1511" s="3" t="str">
        <f t="shared" si="178"/>
        <v/>
      </c>
      <c r="F1511" s="3" t="str">
        <f t="shared" si="179"/>
        <v>.pdf</v>
      </c>
      <c r="G1511">
        <f t="shared" si="180"/>
        <v>80</v>
      </c>
      <c r="H1511" s="3">
        <f>LEN(Table1[[#This Row],[Auteur]])</f>
        <v>15</v>
      </c>
      <c r="I1511" s="3" t="str">
        <f t="shared" si="182"/>
        <v>Excel VBA Programming for Dummies</v>
      </c>
    </row>
    <row r="1512" spans="1:9" x14ac:dyDescent="0.45">
      <c r="A1512" t="s">
        <v>503</v>
      </c>
      <c r="B1512" t="str">
        <f t="shared" si="175"/>
        <v>2013</v>
      </c>
      <c r="C1512" t="str">
        <f t="shared" si="176"/>
        <v>?</v>
      </c>
      <c r="D1512" t="str">
        <f t="shared" si="177"/>
        <v>?</v>
      </c>
      <c r="E1512" s="3" t="str">
        <f t="shared" si="178"/>
        <v/>
      </c>
      <c r="F1512" t="str">
        <f t="shared" si="179"/>
        <v>.rar</v>
      </c>
      <c r="G1512">
        <f t="shared" si="180"/>
        <v>67</v>
      </c>
      <c r="H1512" s="3">
        <f>LEN(Table1[[#This Row],[Auteur]])</f>
        <v>1</v>
      </c>
      <c r="I1512" s="3" t="str">
        <f t="shared" si="182"/>
        <v>Excel VBA Programming for Dummies</v>
      </c>
    </row>
    <row r="1513" spans="1:9" x14ac:dyDescent="0.45">
      <c r="A1513" t="s">
        <v>2070</v>
      </c>
      <c r="B1513" t="str">
        <f t="shared" si="175"/>
        <v>?</v>
      </c>
      <c r="C1513" t="str">
        <f t="shared" si="176"/>
        <v>?</v>
      </c>
      <c r="D1513" t="str">
        <f t="shared" si="177"/>
        <v>Joël Green</v>
      </c>
      <c r="E1513" s="3" t="str">
        <f t="shared" si="178"/>
        <v>Document</v>
      </c>
      <c r="F1513" t="str">
        <f t="shared" si="179"/>
        <v>.epub</v>
      </c>
      <c r="G1513">
        <f t="shared" si="180"/>
        <v>70</v>
      </c>
      <c r="H1513" s="3">
        <f>LEN(Table1[[#This Row],[Auteur]])</f>
        <v>10</v>
      </c>
      <c r="I1513" s="3" t="str">
        <f t="shared" si="182"/>
        <v>J'apprends à me servir de PowerPoint 2013</v>
      </c>
    </row>
    <row r="1514" spans="1:9" x14ac:dyDescent="0.45">
      <c r="A1514" t="s">
        <v>2071</v>
      </c>
      <c r="B1514" t="str">
        <f t="shared" si="175"/>
        <v>?</v>
      </c>
      <c r="C1514" t="str">
        <f t="shared" si="176"/>
        <v>?</v>
      </c>
      <c r="D1514" t="str">
        <f t="shared" si="177"/>
        <v>Joël Green</v>
      </c>
      <c r="E1514" s="3" t="str">
        <f t="shared" si="178"/>
        <v>Document</v>
      </c>
      <c r="F1514" t="str">
        <f t="shared" si="179"/>
        <v>.pdf</v>
      </c>
      <c r="G1514">
        <f t="shared" si="180"/>
        <v>69</v>
      </c>
      <c r="H1514" s="3">
        <f>LEN(Table1[[#This Row],[Auteur]])</f>
        <v>10</v>
      </c>
      <c r="I1514" s="3" t="str">
        <f t="shared" si="182"/>
        <v>J'apprends à me servir de PowerPoint 2013</v>
      </c>
    </row>
    <row r="1515" spans="1:9" x14ac:dyDescent="0.45">
      <c r="A1515" t="s">
        <v>526</v>
      </c>
      <c r="B1515" t="str">
        <f t="shared" si="175"/>
        <v>?</v>
      </c>
      <c r="C1515" t="str">
        <f t="shared" si="176"/>
        <v>?</v>
      </c>
      <c r="D1515" t="str">
        <f t="shared" si="177"/>
        <v>Joël Green</v>
      </c>
      <c r="E1515" s="3" t="str">
        <f t="shared" si="178"/>
        <v>Document</v>
      </c>
      <c r="F1515" s="3" t="str">
        <f t="shared" si="179"/>
        <v>.pdf</v>
      </c>
      <c r="G1515" s="3">
        <f t="shared" si="180"/>
        <v>63</v>
      </c>
      <c r="H1515" s="3">
        <f>LEN(Table1[[#This Row],[Auteur]])</f>
        <v>10</v>
      </c>
      <c r="I1515" s="3" t="str">
        <f t="shared" si="182"/>
        <v>J'apprends à me servir de Word 2013</v>
      </c>
    </row>
    <row r="1516" spans="1:9" x14ac:dyDescent="0.45">
      <c r="A1516" t="s">
        <v>314</v>
      </c>
      <c r="B1516" t="str">
        <f t="shared" si="175"/>
        <v>?</v>
      </c>
      <c r="C1516" t="str">
        <f t="shared" si="176"/>
        <v>?</v>
      </c>
      <c r="D1516" t="str">
        <f t="shared" si="177"/>
        <v>Joël Green</v>
      </c>
      <c r="E1516" s="3" t="str">
        <f t="shared" si="178"/>
        <v>Document</v>
      </c>
      <c r="F1516" t="str">
        <f t="shared" si="179"/>
        <v>.epub</v>
      </c>
      <c r="G1516">
        <f t="shared" si="180"/>
        <v>64</v>
      </c>
      <c r="H1516" s="3">
        <f>LEN(Table1[[#This Row],[Auteur]])</f>
        <v>10</v>
      </c>
      <c r="I1516" s="3" t="str">
        <f t="shared" si="182"/>
        <v>Je me perfectionne avec Access 2013</v>
      </c>
    </row>
    <row r="1517" spans="1:9" x14ac:dyDescent="0.45">
      <c r="A1517" t="s">
        <v>315</v>
      </c>
      <c r="B1517" t="str">
        <f t="shared" si="175"/>
        <v>?</v>
      </c>
      <c r="C1517" t="str">
        <f t="shared" si="176"/>
        <v>?</v>
      </c>
      <c r="D1517" t="str">
        <f t="shared" si="177"/>
        <v>Joël Green</v>
      </c>
      <c r="E1517" s="3" t="str">
        <f t="shared" si="178"/>
        <v>Document</v>
      </c>
      <c r="F1517" s="3" t="str">
        <f t="shared" si="179"/>
        <v>.pdf</v>
      </c>
      <c r="G1517">
        <f t="shared" si="180"/>
        <v>63</v>
      </c>
      <c r="H1517" s="3">
        <f>LEN(Table1[[#This Row],[Auteur]])</f>
        <v>10</v>
      </c>
      <c r="I1517" s="3" t="str">
        <f t="shared" si="182"/>
        <v>Je me perfectionne avec Access 2013</v>
      </c>
    </row>
    <row r="1518" spans="1:9" x14ac:dyDescent="0.45">
      <c r="A1518" t="s">
        <v>316</v>
      </c>
      <c r="B1518" t="str">
        <f t="shared" si="175"/>
        <v>?</v>
      </c>
      <c r="C1518" t="str">
        <f t="shared" si="176"/>
        <v>?</v>
      </c>
      <c r="D1518" t="str">
        <f t="shared" si="177"/>
        <v>Joël Green</v>
      </c>
      <c r="E1518" s="3" t="str">
        <f t="shared" si="178"/>
        <v>Document</v>
      </c>
      <c r="F1518" s="3" t="str">
        <f t="shared" si="179"/>
        <v>.epub</v>
      </c>
      <c r="G1518">
        <f t="shared" si="180"/>
        <v>92</v>
      </c>
      <c r="H1518" s="3">
        <f>LEN(Table1[[#This Row],[Auteur]])</f>
        <v>10</v>
      </c>
      <c r="I1518" s="3" t="str">
        <f t="shared" si="182"/>
        <v>Je me perfectionne avec Access 2016, Développer une application</v>
      </c>
    </row>
    <row r="1519" spans="1:9" x14ac:dyDescent="0.45">
      <c r="A1519" t="s">
        <v>317</v>
      </c>
      <c r="B1519" t="str">
        <f t="shared" si="175"/>
        <v>?</v>
      </c>
      <c r="C1519" t="str">
        <f t="shared" si="176"/>
        <v>?</v>
      </c>
      <c r="D1519" t="str">
        <f t="shared" si="177"/>
        <v>Joël Green</v>
      </c>
      <c r="E1519" s="3" t="str">
        <f t="shared" si="178"/>
        <v>Document</v>
      </c>
      <c r="F1519" s="3" t="str">
        <f t="shared" si="179"/>
        <v>.pdf</v>
      </c>
      <c r="G1519">
        <f t="shared" si="180"/>
        <v>91</v>
      </c>
      <c r="H1519" s="3">
        <f>LEN(Table1[[#This Row],[Auteur]])</f>
        <v>10</v>
      </c>
      <c r="I1519" s="3" t="str">
        <f t="shared" si="182"/>
        <v>Je me perfectionne avec Access 2016, Développer une application</v>
      </c>
    </row>
    <row r="1520" spans="1:9" x14ac:dyDescent="0.45">
      <c r="A1520" t="s">
        <v>318</v>
      </c>
      <c r="B1520" t="str">
        <f t="shared" si="175"/>
        <v>?</v>
      </c>
      <c r="C1520" t="str">
        <f t="shared" si="176"/>
        <v>?</v>
      </c>
      <c r="D1520" t="str">
        <f t="shared" si="177"/>
        <v>Joël Green</v>
      </c>
      <c r="E1520" s="3" t="str">
        <f t="shared" si="178"/>
        <v>Document</v>
      </c>
      <c r="F1520" s="3" t="str">
        <f t="shared" si="179"/>
        <v>.epub</v>
      </c>
      <c r="G1520">
        <f t="shared" si="180"/>
        <v>105</v>
      </c>
      <c r="H1520" s="3">
        <f>LEN(Table1[[#This Row],[Auteur]])</f>
        <v>10</v>
      </c>
      <c r="I1520" s="3" t="str">
        <f t="shared" si="182"/>
        <v>Je me perfectionne avec Excel 2016, Graphiques, consolidation, plan, solveur</v>
      </c>
    </row>
    <row r="1521" spans="1:9" x14ac:dyDescent="0.45">
      <c r="A1521" t="s">
        <v>319</v>
      </c>
      <c r="B1521" t="str">
        <f t="shared" si="175"/>
        <v>?</v>
      </c>
      <c r="C1521" t="str">
        <f t="shared" si="176"/>
        <v>?</v>
      </c>
      <c r="D1521" t="str">
        <f t="shared" si="177"/>
        <v>Joël Green</v>
      </c>
      <c r="E1521" s="3" t="str">
        <f t="shared" si="178"/>
        <v>Document</v>
      </c>
      <c r="F1521" s="3" t="str">
        <f t="shared" si="179"/>
        <v>.pdf</v>
      </c>
      <c r="G1521">
        <f t="shared" si="180"/>
        <v>104</v>
      </c>
      <c r="H1521" s="3">
        <f>LEN(Table1[[#This Row],[Auteur]])</f>
        <v>10</v>
      </c>
      <c r="I1521" s="3" t="str">
        <f t="shared" si="182"/>
        <v>Je me perfectionne avec Excel 2016, Graphiques, consolidation, plan, solveur</v>
      </c>
    </row>
    <row r="1522" spans="1:9" x14ac:dyDescent="0.45">
      <c r="A1522" t="s">
        <v>320</v>
      </c>
      <c r="B1522" t="str">
        <f t="shared" si="175"/>
        <v>?</v>
      </c>
      <c r="C1522" t="str">
        <f t="shared" si="176"/>
        <v>?</v>
      </c>
      <c r="D1522" t="str">
        <f t="shared" si="177"/>
        <v>Joël Green</v>
      </c>
      <c r="E1522" s="3" t="str">
        <f t="shared" si="178"/>
        <v>Document</v>
      </c>
      <c r="F1522" s="3" t="str">
        <f t="shared" si="179"/>
        <v>.epub</v>
      </c>
      <c r="G1522" s="3">
        <f t="shared" si="180"/>
        <v>86</v>
      </c>
      <c r="H1522" s="3">
        <f>LEN(Table1[[#This Row],[Auteur]])</f>
        <v>10</v>
      </c>
      <c r="I1522" s="3" t="str">
        <f t="shared" si="182"/>
        <v>Je me perfectionne avec Excel 2016, Traitement de données</v>
      </c>
    </row>
    <row r="1523" spans="1:9" x14ac:dyDescent="0.45">
      <c r="A1523" t="s">
        <v>321</v>
      </c>
      <c r="B1523" t="str">
        <f t="shared" si="175"/>
        <v>?</v>
      </c>
      <c r="C1523" t="str">
        <f t="shared" si="176"/>
        <v>?</v>
      </c>
      <c r="D1523" t="str">
        <f t="shared" si="177"/>
        <v>Joël Green</v>
      </c>
      <c r="E1523" s="3" t="str">
        <f t="shared" si="178"/>
        <v>Document</v>
      </c>
      <c r="F1523" t="str">
        <f t="shared" si="179"/>
        <v>.pdf</v>
      </c>
      <c r="G1523">
        <f t="shared" si="180"/>
        <v>85</v>
      </c>
      <c r="H1523" s="3">
        <f>LEN(Table1[[#This Row],[Auteur]])</f>
        <v>10</v>
      </c>
      <c r="I1523" s="3" t="str">
        <f t="shared" si="182"/>
        <v>Je me perfectionne avec Excel 2016, Traitement de données</v>
      </c>
    </row>
    <row r="1524" spans="1:9" x14ac:dyDescent="0.45">
      <c r="A1524" t="s">
        <v>322</v>
      </c>
      <c r="B1524" t="str">
        <f t="shared" si="175"/>
        <v>?</v>
      </c>
      <c r="C1524" t="str">
        <f t="shared" si="176"/>
        <v>?</v>
      </c>
      <c r="D1524" t="str">
        <f t="shared" si="177"/>
        <v>Joël Green</v>
      </c>
      <c r="E1524" s="3" t="str">
        <f t="shared" si="178"/>
        <v>Document</v>
      </c>
      <c r="F1524" t="str">
        <f t="shared" si="179"/>
        <v>.epub</v>
      </c>
      <c r="G1524">
        <f t="shared" si="180"/>
        <v>89</v>
      </c>
      <c r="H1524" s="3">
        <f>LEN(Table1[[#This Row],[Auteur]])</f>
        <v>10</v>
      </c>
      <c r="I1524" s="3" t="str">
        <f t="shared" si="182"/>
        <v>Je me perfectionne avec Word 2016, Écrire un livre avec Word</v>
      </c>
    </row>
    <row r="1525" spans="1:9" x14ac:dyDescent="0.45">
      <c r="A1525" t="s">
        <v>323</v>
      </c>
      <c r="B1525" t="str">
        <f t="shared" si="175"/>
        <v>?</v>
      </c>
      <c r="C1525" t="str">
        <f t="shared" si="176"/>
        <v>?</v>
      </c>
      <c r="D1525" t="str">
        <f t="shared" si="177"/>
        <v>Joël Green</v>
      </c>
      <c r="E1525" s="3" t="str">
        <f t="shared" si="178"/>
        <v>Document</v>
      </c>
      <c r="F1525" s="3" t="str">
        <f t="shared" si="179"/>
        <v>.pdf</v>
      </c>
      <c r="G1525" s="3">
        <f t="shared" si="180"/>
        <v>88</v>
      </c>
      <c r="H1525" s="3">
        <f>LEN(Table1[[#This Row],[Auteur]])</f>
        <v>10</v>
      </c>
      <c r="I1525" s="3" t="str">
        <f t="shared" si="182"/>
        <v>Je me perfectionne avec Word 2016, Écrire un livre avec Word</v>
      </c>
    </row>
    <row r="1526" spans="1:9" x14ac:dyDescent="0.45">
      <c r="A1526" t="s">
        <v>324</v>
      </c>
      <c r="B1526" t="str">
        <f t="shared" si="175"/>
        <v>?</v>
      </c>
      <c r="C1526" t="str">
        <f t="shared" si="176"/>
        <v>?</v>
      </c>
      <c r="D1526" t="str">
        <f t="shared" si="177"/>
        <v>Joël Green</v>
      </c>
      <c r="E1526" s="3" t="str">
        <f t="shared" si="178"/>
        <v>Document</v>
      </c>
      <c r="F1526" t="str">
        <f t="shared" si="179"/>
        <v>.epub</v>
      </c>
      <c r="G1526">
        <f t="shared" si="180"/>
        <v>87</v>
      </c>
      <c r="H1526" s="3">
        <f>LEN(Table1[[#This Row],[Auteur]])</f>
        <v>10</v>
      </c>
      <c r="I1526" s="3" t="str">
        <f t="shared" si="182"/>
        <v>Je me perfectionne avec Word 2016, Modèle, mailing, macros</v>
      </c>
    </row>
    <row r="1527" spans="1:9" x14ac:dyDescent="0.45">
      <c r="A1527" t="s">
        <v>325</v>
      </c>
      <c r="B1527" t="str">
        <f t="shared" si="175"/>
        <v>?</v>
      </c>
      <c r="C1527" t="str">
        <f t="shared" si="176"/>
        <v>?</v>
      </c>
      <c r="D1527" t="str">
        <f t="shared" si="177"/>
        <v>Joël Green</v>
      </c>
      <c r="E1527" s="3" t="str">
        <f t="shared" si="178"/>
        <v>Document</v>
      </c>
      <c r="F1527" s="3" t="str">
        <f t="shared" si="179"/>
        <v>.pdf</v>
      </c>
      <c r="G1527">
        <f t="shared" si="180"/>
        <v>86</v>
      </c>
      <c r="H1527" s="3">
        <f>LEN(Table1[[#This Row],[Auteur]])</f>
        <v>10</v>
      </c>
      <c r="I1527" s="3" t="str">
        <f t="shared" si="182"/>
        <v>Je me perfectionne avec Word 2016, Modèle, mailing, macros</v>
      </c>
    </row>
    <row r="1528" spans="1:9" x14ac:dyDescent="0.45">
      <c r="A1528" t="s">
        <v>326</v>
      </c>
      <c r="B1528" t="str">
        <f t="shared" si="175"/>
        <v>2011</v>
      </c>
      <c r="C1528" t="str">
        <f t="shared" si="176"/>
        <v>Microsoft Press</v>
      </c>
      <c r="D1528" t="str">
        <f t="shared" si="177"/>
        <v>Katherine Murray</v>
      </c>
      <c r="E1528" s="3" t="str">
        <f t="shared" si="178"/>
        <v/>
      </c>
      <c r="F1528" t="str">
        <f t="shared" si="179"/>
        <v>.pdf</v>
      </c>
      <c r="G1528">
        <f t="shared" si="180"/>
        <v>70</v>
      </c>
      <c r="H1528" s="3">
        <f>LEN(Table1[[#This Row],[Auteur]])</f>
        <v>16</v>
      </c>
      <c r="I1528" s="3" t="str">
        <f t="shared" si="182"/>
        <v>Microsoft Office 365</v>
      </c>
    </row>
    <row r="1529" spans="1:9" x14ac:dyDescent="0.45">
      <c r="A1529" t="s">
        <v>527</v>
      </c>
      <c r="B1529" t="str">
        <f t="shared" si="175"/>
        <v>2013</v>
      </c>
      <c r="C1529" t="str">
        <f t="shared" si="176"/>
        <v>Le génie des glaciers</v>
      </c>
      <c r="D1529" t="str">
        <f t="shared" si="177"/>
        <v>Claude Terrier</v>
      </c>
      <c r="E1529" s="3" t="str">
        <f t="shared" si="178"/>
        <v/>
      </c>
      <c r="F1529" t="str">
        <f t="shared" si="179"/>
        <v>.pdf</v>
      </c>
      <c r="G1529">
        <f t="shared" si="180"/>
        <v>113</v>
      </c>
      <c r="H1529" s="3">
        <f>LEN(Table1[[#This Row],[Auteur]])</f>
        <v>14</v>
      </c>
      <c r="I1529" s="3" t="str">
        <f t="shared" si="182"/>
        <v>Modes opératoires Microsoft Office 2013, Office 365 et 2013</v>
      </c>
    </row>
    <row r="1530" spans="1:9" x14ac:dyDescent="0.45">
      <c r="A1530" t="s">
        <v>327</v>
      </c>
      <c r="B1530" t="str">
        <f t="shared" si="175"/>
        <v>2016</v>
      </c>
      <c r="C1530" t="str">
        <f t="shared" si="176"/>
        <v>Gereso</v>
      </c>
      <c r="D1530" t="str">
        <f t="shared" si="177"/>
        <v>Pascal Haumont</v>
      </c>
      <c r="E1530" s="3" t="str">
        <f t="shared" si="178"/>
        <v/>
      </c>
      <c r="F1530" t="str">
        <f t="shared" si="179"/>
        <v>.pdf</v>
      </c>
      <c r="G1530">
        <f t="shared" si="180"/>
        <v>96</v>
      </c>
      <c r="H1530" s="3">
        <f>LEN(Table1[[#This Row],[Auteur]])</f>
        <v>14</v>
      </c>
      <c r="I1530" s="3" t="str">
        <f t="shared" si="182"/>
        <v>Pourquoi PowerPoint ne sert à rien... Si on s'en sert mal</v>
      </c>
    </row>
    <row r="1531" spans="1:9" hidden="1" x14ac:dyDescent="0.45">
      <c r="A1531" t="s">
        <v>328</v>
      </c>
      <c r="B1531" t="str">
        <f t="shared" si="175"/>
        <v>?</v>
      </c>
      <c r="C1531" t="str">
        <f t="shared" si="176"/>
        <v>?</v>
      </c>
      <c r="D1531" t="str">
        <f t="shared" si="177"/>
        <v>Schadrac Kande</v>
      </c>
      <c r="E1531" s="3" t="str">
        <f t="shared" si="178"/>
        <v>Document</v>
      </c>
      <c r="F1531" s="3" t="str">
        <f t="shared" si="179"/>
        <v>.pdf</v>
      </c>
      <c r="G1531">
        <f t="shared" si="180"/>
        <v>76</v>
      </c>
      <c r="H1531" s="3">
        <f>LEN(Table1[[#This Row],[Auteur]])</f>
        <v>14</v>
      </c>
      <c r="I1531" s="3" t="str">
        <f t="shared" si="182"/>
        <v>Prise en main de Microsoft Office Excel 2016</v>
      </c>
    </row>
    <row r="1532" spans="1:9" x14ac:dyDescent="0.45">
      <c r="A1532" t="s">
        <v>329</v>
      </c>
      <c r="B1532" t="str">
        <f t="shared" si="175"/>
        <v>2011</v>
      </c>
      <c r="C1532" t="str">
        <f t="shared" si="176"/>
        <v>Eyrolles</v>
      </c>
      <c r="D1532" t="str">
        <f t="shared" si="177"/>
        <v>Christian Prins, Marc Sevaux</v>
      </c>
      <c r="E1532" s="3" t="str">
        <f t="shared" si="178"/>
        <v/>
      </c>
      <c r="F1532" t="str">
        <f t="shared" si="179"/>
        <v>.pdf</v>
      </c>
      <c r="G1532">
        <f t="shared" si="180"/>
        <v>88</v>
      </c>
      <c r="H1532" s="3">
        <f>LEN(Table1[[#This Row],[Auteur]])</f>
        <v>28</v>
      </c>
      <c r="I1532" s="3" t="str">
        <f t="shared" si="182"/>
        <v>Programmation linéaire avec Excel</v>
      </c>
    </row>
    <row r="1533" spans="1:9" x14ac:dyDescent="0.45">
      <c r="A1533" t="s">
        <v>330</v>
      </c>
      <c r="B1533" t="str">
        <f t="shared" si="175"/>
        <v>2010</v>
      </c>
      <c r="C1533" t="str">
        <f t="shared" si="176"/>
        <v>First</v>
      </c>
      <c r="D1533" t="str">
        <f t="shared" si="177"/>
        <v>Nancy C. Muir</v>
      </c>
      <c r="E1533" s="3" t="str">
        <f t="shared" si="178"/>
        <v/>
      </c>
      <c r="F1533" s="3" t="str">
        <f t="shared" si="179"/>
        <v>.pdf</v>
      </c>
      <c r="G1533">
        <f t="shared" si="180"/>
        <v>63</v>
      </c>
      <c r="H1533" s="3">
        <f>LEN(Table1[[#This Row],[Auteur]])</f>
        <v>13</v>
      </c>
      <c r="I1533" s="3" t="str">
        <f t="shared" si="182"/>
        <v>Project 2010 pour les nuls</v>
      </c>
    </row>
    <row r="1534" spans="1:9" x14ac:dyDescent="0.45">
      <c r="A1534" t="s">
        <v>78</v>
      </c>
      <c r="B1534" t="str">
        <f t="shared" si="175"/>
        <v>2016</v>
      </c>
      <c r="C1534" t="str">
        <f t="shared" si="176"/>
        <v>Eyrolles</v>
      </c>
      <c r="D1534" t="str">
        <f t="shared" si="177"/>
        <v>Jean-Marc Lagoda, Frédéric Rosard</v>
      </c>
      <c r="E1534" s="3" t="str">
        <f t="shared" si="178"/>
        <v/>
      </c>
      <c r="F1534" s="3" t="str">
        <f t="shared" si="179"/>
        <v>.pdf</v>
      </c>
      <c r="G1534">
        <f t="shared" si="180"/>
        <v>117</v>
      </c>
      <c r="H1534" s="3">
        <f>LEN(Table1[[#This Row],[Auteur]])</f>
        <v>33</v>
      </c>
      <c r="I1534" s="3" t="str">
        <f t="shared" si="182"/>
        <v>Réaliser des graphiques avec Excel, 30 modèles percutants</v>
      </c>
    </row>
    <row r="1535" spans="1:9" x14ac:dyDescent="0.45">
      <c r="A1535" t="s">
        <v>331</v>
      </c>
      <c r="B1535" t="str">
        <f t="shared" si="175"/>
        <v>2012</v>
      </c>
      <c r="C1535" t="str">
        <f t="shared" si="176"/>
        <v>Microsoft Press</v>
      </c>
      <c r="D1535" t="str">
        <f t="shared" si="177"/>
        <v>Mitch Tulloch</v>
      </c>
      <c r="E1535" s="3" t="str">
        <f t="shared" si="178"/>
        <v/>
      </c>
      <c r="F1535" t="str">
        <f t="shared" si="179"/>
        <v>.epub</v>
      </c>
      <c r="G1535">
        <f t="shared" si="180"/>
        <v>100</v>
      </c>
      <c r="H1535" s="3">
        <f>LEN(Table1[[#This Row],[Auteur]])</f>
        <v>13</v>
      </c>
      <c r="I1535" s="3" t="str">
        <f t="shared" si="182"/>
        <v>Security and Privacy for Microsoft Office 2010 Users</v>
      </c>
    </row>
    <row r="1536" spans="1:9" x14ac:dyDescent="0.45">
      <c r="A1536" t="s">
        <v>332</v>
      </c>
      <c r="B1536" t="str">
        <f t="shared" si="175"/>
        <v>2012</v>
      </c>
      <c r="C1536" t="str">
        <f t="shared" si="176"/>
        <v>Microsoft Press</v>
      </c>
      <c r="D1536" t="str">
        <f t="shared" si="177"/>
        <v>Mitch Tulloch</v>
      </c>
      <c r="E1536" s="3" t="str">
        <f t="shared" si="178"/>
        <v/>
      </c>
      <c r="F1536" t="str">
        <f t="shared" si="179"/>
        <v>.pdf</v>
      </c>
      <c r="G1536">
        <f t="shared" si="180"/>
        <v>99</v>
      </c>
      <c r="H1536" s="3">
        <f>LEN(Table1[[#This Row],[Auteur]])</f>
        <v>13</v>
      </c>
      <c r="I1536" s="3" t="str">
        <f t="shared" si="182"/>
        <v>Security and Privacy for Microsoft Office 2010 Users</v>
      </c>
    </row>
    <row r="1537" spans="1:9" x14ac:dyDescent="0.45">
      <c r="A1537" t="s">
        <v>333</v>
      </c>
      <c r="B1537" t="str">
        <f t="shared" si="175"/>
        <v>2014</v>
      </c>
      <c r="C1537" t="str">
        <f t="shared" si="176"/>
        <v>Dunod</v>
      </c>
      <c r="D1537" t="str">
        <f t="shared" si="177"/>
        <v>Pierre Erol Giraudy</v>
      </c>
      <c r="E1537" s="3" t="str">
        <f t="shared" si="178"/>
        <v/>
      </c>
      <c r="F1537" t="str">
        <f t="shared" si="179"/>
        <v>.pdf</v>
      </c>
      <c r="G1537">
        <f t="shared" si="180"/>
        <v>79</v>
      </c>
      <c r="H1537" s="3">
        <f>LEN(Table1[[#This Row],[Auteur]])</f>
        <v>19</v>
      </c>
      <c r="I1537" s="3" t="str">
        <f t="shared" si="182"/>
        <v>SharePoint 2013, 40 recettes de pros</v>
      </c>
    </row>
    <row r="1538" spans="1:9" x14ac:dyDescent="0.45">
      <c r="A1538" t="s">
        <v>334</v>
      </c>
      <c r="B1538" t="str">
        <f t="shared" ref="B1538:B1601" si="183">DatePub(A1538)</f>
        <v>2011</v>
      </c>
      <c r="C1538" t="str">
        <f t="shared" ref="C1538:C1601" si="184">Editeur(A1538)</f>
        <v>Dunod</v>
      </c>
      <c r="D1538" t="str">
        <f t="shared" ref="D1538:D1601" si="185">Auteur(A1538)</f>
        <v>Fabrice Lemainque</v>
      </c>
      <c r="E1538" s="3" t="str">
        <f t="shared" ref="E1538:E1601" si="186">ExtraInfo(A1538)</f>
        <v/>
      </c>
      <c r="F1538" t="str">
        <f t="shared" ref="F1538:F1601" si="187">Extension(A1538)</f>
        <v>.pdf</v>
      </c>
      <c r="G1538">
        <f t="shared" ref="G1538:G1601" si="188">LenFileName(A1538)</f>
        <v>82</v>
      </c>
      <c r="H1538" s="3">
        <f>LEN(Table1[[#This Row],[Auteur]])</f>
        <v>17</v>
      </c>
      <c r="I1538" s="3" t="str">
        <f t="shared" ref="I1538:I1601" si="189">Title(A1538)</f>
        <v>Travaux pratiques avec Excel 2007 et 2010</v>
      </c>
    </row>
    <row r="1539" spans="1:9" x14ac:dyDescent="0.45">
      <c r="A1539" t="s">
        <v>335</v>
      </c>
      <c r="B1539" t="str">
        <f t="shared" si="183"/>
        <v>2012</v>
      </c>
      <c r="C1539" t="str">
        <f t="shared" si="184"/>
        <v>Dunod</v>
      </c>
      <c r="D1539" t="str">
        <f t="shared" si="185"/>
        <v>Fabrice Lemainque</v>
      </c>
      <c r="E1539" s="3" t="str">
        <f t="shared" si="186"/>
        <v/>
      </c>
      <c r="F1539" t="str">
        <f t="shared" si="187"/>
        <v>.pdf</v>
      </c>
      <c r="G1539">
        <f t="shared" si="188"/>
        <v>102</v>
      </c>
      <c r="H1539" s="3">
        <f>LEN(Table1[[#This Row],[Auteur]])</f>
        <v>17</v>
      </c>
      <c r="I1539" s="3" t="str">
        <f t="shared" si="189"/>
        <v>Travaux pratiques avec Excel 2007 et 2010, Fonctions avancées</v>
      </c>
    </row>
    <row r="1540" spans="1:9" x14ac:dyDescent="0.45">
      <c r="A1540" t="s">
        <v>336</v>
      </c>
      <c r="B1540" t="str">
        <f t="shared" si="183"/>
        <v>2016</v>
      </c>
      <c r="C1540" t="str">
        <f t="shared" si="184"/>
        <v>Dunod</v>
      </c>
      <c r="D1540" t="str">
        <f t="shared" si="185"/>
        <v>Fabrice Lemainque</v>
      </c>
      <c r="E1540" s="3" t="str">
        <f t="shared" si="186"/>
        <v/>
      </c>
      <c r="F1540" t="str">
        <f t="shared" si="187"/>
        <v>.pdf</v>
      </c>
      <c r="G1540">
        <f t="shared" si="188"/>
        <v>74</v>
      </c>
      <c r="H1540" s="3">
        <f>LEN(Table1[[#This Row],[Auteur]])</f>
        <v>17</v>
      </c>
      <c r="I1540" s="3" t="str">
        <f t="shared" si="189"/>
        <v>Travaux pratiques avec Excel 2016</v>
      </c>
    </row>
    <row r="1541" spans="1:9" x14ac:dyDescent="0.45">
      <c r="A1541" t="s">
        <v>337</v>
      </c>
      <c r="B1541" t="str">
        <f t="shared" si="183"/>
        <v>2014</v>
      </c>
      <c r="C1541" t="str">
        <f t="shared" si="184"/>
        <v>Dunod</v>
      </c>
      <c r="D1541" t="str">
        <f t="shared" si="185"/>
        <v>Christine Eberhardt</v>
      </c>
      <c r="E1541" s="3" t="str">
        <f t="shared" si="186"/>
        <v/>
      </c>
      <c r="F1541" s="3" t="str">
        <f t="shared" si="187"/>
        <v>.pdf</v>
      </c>
      <c r="G1541">
        <f t="shared" si="188"/>
        <v>88</v>
      </c>
      <c r="H1541" s="3">
        <f>LEN(Table1[[#This Row],[Auteur]])</f>
        <v>19</v>
      </c>
      <c r="I1541" s="3" t="str">
        <f t="shared" si="189"/>
        <v>Travaux pratiques avec PowerPoint 2007 à 2013</v>
      </c>
    </row>
    <row r="1542" spans="1:9" x14ac:dyDescent="0.45">
      <c r="A1542" t="s">
        <v>338</v>
      </c>
      <c r="B1542" t="str">
        <f t="shared" si="183"/>
        <v>2014</v>
      </c>
      <c r="C1542" t="str">
        <f t="shared" si="184"/>
        <v>Dunod</v>
      </c>
      <c r="D1542" t="str">
        <f t="shared" si="185"/>
        <v>Christine Eberhardt</v>
      </c>
      <c r="E1542" s="3" t="str">
        <f t="shared" si="186"/>
        <v/>
      </c>
      <c r="F1542" t="str">
        <f t="shared" si="187"/>
        <v>.pdf</v>
      </c>
      <c r="G1542">
        <f t="shared" si="188"/>
        <v>75</v>
      </c>
      <c r="H1542" s="3">
        <f>LEN(Table1[[#This Row],[Auteur]])</f>
        <v>19</v>
      </c>
      <c r="I1542" s="3" t="str">
        <f t="shared" si="189"/>
        <v>Travaux pratiques avec Word 2013</v>
      </c>
    </row>
    <row r="1543" spans="1:9" x14ac:dyDescent="0.45">
      <c r="A1543" t="s">
        <v>339</v>
      </c>
      <c r="B1543" t="str">
        <f t="shared" si="183"/>
        <v>2016</v>
      </c>
      <c r="C1543" t="str">
        <f t="shared" si="184"/>
        <v>Dunod</v>
      </c>
      <c r="D1543" t="str">
        <f t="shared" si="185"/>
        <v>Christine Eberhardt</v>
      </c>
      <c r="E1543" s="3" t="str">
        <f t="shared" si="186"/>
        <v/>
      </c>
      <c r="F1543" t="str">
        <f t="shared" si="187"/>
        <v>.pdf</v>
      </c>
      <c r="G1543">
        <f t="shared" si="188"/>
        <v>75</v>
      </c>
      <c r="H1543" s="3">
        <f>LEN(Table1[[#This Row],[Auteur]])</f>
        <v>19</v>
      </c>
      <c r="I1543" s="3" t="str">
        <f t="shared" si="189"/>
        <v>Travaux pratiques avec Word 2016</v>
      </c>
    </row>
    <row r="1544" spans="1:9" x14ac:dyDescent="0.45">
      <c r="A1544" t="s">
        <v>211</v>
      </c>
      <c r="B1544" t="str">
        <f t="shared" si="183"/>
        <v>1998</v>
      </c>
      <c r="C1544" t="str">
        <f t="shared" si="184"/>
        <v>O'Reilly</v>
      </c>
      <c r="D1544" t="str">
        <f t="shared" si="185"/>
        <v>Paul Lomax</v>
      </c>
      <c r="E1544" s="3" t="str">
        <f t="shared" si="186"/>
        <v/>
      </c>
      <c r="F1544" t="str">
        <f t="shared" si="187"/>
        <v>.pdf</v>
      </c>
      <c r="G1544">
        <f t="shared" si="188"/>
        <v>57</v>
      </c>
      <c r="H1544" s="3">
        <f>LEN(Table1[[#This Row],[Auteur]])</f>
        <v>10</v>
      </c>
      <c r="I1544" s="3" t="str">
        <f t="shared" si="189"/>
        <v>VB VBA in a Nutshell</v>
      </c>
    </row>
    <row r="1545" spans="1:9" x14ac:dyDescent="0.45">
      <c r="A1545" t="s">
        <v>340</v>
      </c>
      <c r="B1545" t="str">
        <f t="shared" si="183"/>
        <v>2016</v>
      </c>
      <c r="C1545" t="str">
        <f t="shared" si="184"/>
        <v>Eyrolles</v>
      </c>
      <c r="D1545" t="str">
        <f t="shared" si="185"/>
        <v>Daniel Jean-David</v>
      </c>
      <c r="E1545" s="3" t="str">
        <f t="shared" si="186"/>
        <v/>
      </c>
      <c r="F1545" t="str">
        <f t="shared" si="187"/>
        <v>.pdf</v>
      </c>
      <c r="G1545">
        <f t="shared" si="188"/>
        <v>77</v>
      </c>
      <c r="H1545" s="3">
        <f>LEN(Table1[[#This Row],[Auteur]])</f>
        <v>17</v>
      </c>
      <c r="I1545" s="3" t="str">
        <f t="shared" si="189"/>
        <v>VBA pour Excel 2010, 2013 et 2016</v>
      </c>
    </row>
    <row r="1546" spans="1:9" x14ac:dyDescent="0.45">
      <c r="A1546" t="s">
        <v>341</v>
      </c>
      <c r="B1546" t="str">
        <f t="shared" si="183"/>
        <v>2016</v>
      </c>
      <c r="C1546" t="str">
        <f t="shared" si="184"/>
        <v>?</v>
      </c>
      <c r="D1546" t="str">
        <f t="shared" si="185"/>
        <v>?</v>
      </c>
      <c r="E1546" s="3" t="str">
        <f t="shared" si="186"/>
        <v/>
      </c>
      <c r="F1546" s="3" t="str">
        <f t="shared" si="187"/>
        <v>.zip</v>
      </c>
      <c r="G1546" s="3">
        <f t="shared" si="188"/>
        <v>54</v>
      </c>
      <c r="H1546" s="3">
        <f>LEN(Table1[[#This Row],[Auteur]])</f>
        <v>1</v>
      </c>
      <c r="I1546" s="3" t="str">
        <f t="shared" si="189"/>
        <v>VBA pour Excel 2010, 2013 et 2016</v>
      </c>
    </row>
    <row r="1547" spans="1:9" x14ac:dyDescent="0.45">
      <c r="A1547" t="s">
        <v>212</v>
      </c>
      <c r="B1547" t="str">
        <f t="shared" si="183"/>
        <v>2002</v>
      </c>
      <c r="C1547" t="str">
        <f t="shared" si="184"/>
        <v>O'Reilly</v>
      </c>
      <c r="D1547" t="str">
        <f t="shared" si="185"/>
        <v>Steven Roman</v>
      </c>
      <c r="E1547" s="3" t="str">
        <f t="shared" si="186"/>
        <v>Dump</v>
      </c>
      <c r="F1547" t="str">
        <f t="shared" si="187"/>
        <v>.pdf</v>
      </c>
      <c r="G1547">
        <f t="shared" si="188"/>
        <v>83</v>
      </c>
      <c r="H1547" s="3">
        <f>LEN(Table1[[#This Row],[Auteur]])</f>
        <v>12</v>
      </c>
      <c r="I1547" s="3" t="str">
        <f t="shared" si="189"/>
        <v>Writing Excel Macros with VBA</v>
      </c>
    </row>
    <row r="1548" spans="1:9" x14ac:dyDescent="0.45">
      <c r="A1548" t="s">
        <v>528</v>
      </c>
      <c r="B1548" t="str">
        <f t="shared" si="183"/>
        <v>2015</v>
      </c>
      <c r="C1548" t="str">
        <f t="shared" si="184"/>
        <v>Heaton Research</v>
      </c>
      <c r="D1548" t="str">
        <f t="shared" si="185"/>
        <v>Jeff Heaton</v>
      </c>
      <c r="E1548" s="3" t="str">
        <f t="shared" si="186"/>
        <v/>
      </c>
      <c r="F1548" s="3" t="str">
        <f t="shared" si="187"/>
        <v>.pdf</v>
      </c>
      <c r="G1548" s="3">
        <f t="shared" si="188"/>
        <v>121</v>
      </c>
      <c r="H1548" s="3">
        <f>LEN(Table1[[#This Row],[Auteur]])</f>
        <v>11</v>
      </c>
      <c r="I1548" s="3" t="str">
        <f t="shared" si="189"/>
        <v>Artificial Intelligence for Humans, Vol 3, Deep learning and neural networks</v>
      </c>
    </row>
    <row r="1549" spans="1:9" x14ac:dyDescent="0.45">
      <c r="A1549" t="s">
        <v>343</v>
      </c>
      <c r="B1549" t="str">
        <f t="shared" si="183"/>
        <v>2015</v>
      </c>
      <c r="C1549" t="str">
        <f t="shared" si="184"/>
        <v>Dunod</v>
      </c>
      <c r="D1549" t="str">
        <f t="shared" si="185"/>
        <v>Lemberger, Batty, Morel, Rafaëlli</v>
      </c>
      <c r="E1549" s="3" t="str">
        <f t="shared" si="186"/>
        <v/>
      </c>
      <c r="F1549" t="str">
        <f t="shared" si="187"/>
        <v>.pdf</v>
      </c>
      <c r="G1549">
        <f t="shared" si="188"/>
        <v>85</v>
      </c>
      <c r="H1549" s="3">
        <f>LEN(Table1[[#This Row],[Auteur]])</f>
        <v>33</v>
      </c>
      <c r="I1549" s="3" t="str">
        <f t="shared" si="189"/>
        <v>Big Data et Machine Learning</v>
      </c>
    </row>
    <row r="1550" spans="1:9" x14ac:dyDescent="0.45">
      <c r="A1550" t="s">
        <v>79</v>
      </c>
      <c r="B1550" t="str">
        <f t="shared" si="183"/>
        <v>?</v>
      </c>
      <c r="C1550" t="str">
        <f t="shared" si="184"/>
        <v>?</v>
      </c>
      <c r="D1550" t="str">
        <f t="shared" si="185"/>
        <v>LazyProgrammer</v>
      </c>
      <c r="E1550" s="3" t="str">
        <f t="shared" si="186"/>
        <v/>
      </c>
      <c r="F1550" t="str">
        <f t="shared" si="187"/>
        <v>.epub</v>
      </c>
      <c r="G1550">
        <f t="shared" si="188"/>
        <v>45</v>
      </c>
      <c r="H1550" s="3">
        <f>LEN(Table1[[#This Row],[Auteur]])</f>
        <v>14</v>
      </c>
      <c r="I1550" s="3" t="str">
        <f t="shared" si="189"/>
        <v>Deep Learning in Python</v>
      </c>
    </row>
    <row r="1551" spans="1:9" x14ac:dyDescent="0.45">
      <c r="A1551" t="s">
        <v>80</v>
      </c>
      <c r="B1551" t="str">
        <f t="shared" si="183"/>
        <v>?</v>
      </c>
      <c r="C1551" t="str">
        <f t="shared" si="184"/>
        <v>?</v>
      </c>
      <c r="D1551" t="str">
        <f t="shared" si="185"/>
        <v>LazyProgrammer</v>
      </c>
      <c r="E1551" s="3" t="str">
        <f t="shared" si="186"/>
        <v/>
      </c>
      <c r="F1551" t="str">
        <f t="shared" si="187"/>
        <v>.pdf</v>
      </c>
      <c r="G1551">
        <f t="shared" si="188"/>
        <v>44</v>
      </c>
      <c r="H1551" s="3">
        <f>LEN(Table1[[#This Row],[Auteur]])</f>
        <v>14</v>
      </c>
      <c r="I1551" s="3" t="str">
        <f t="shared" si="189"/>
        <v>Deep Learning in Python</v>
      </c>
    </row>
    <row r="1552" spans="1:9" x14ac:dyDescent="0.45">
      <c r="A1552" t="s">
        <v>344</v>
      </c>
      <c r="B1552" t="str">
        <f t="shared" si="183"/>
        <v>2015</v>
      </c>
      <c r="C1552" t="str">
        <f t="shared" si="184"/>
        <v>CRC Press</v>
      </c>
      <c r="D1552" t="str">
        <f t="shared" si="185"/>
        <v>Tadeusiewicz, Chaki</v>
      </c>
      <c r="E1552" s="3" t="str">
        <f t="shared" si="186"/>
        <v/>
      </c>
      <c r="F1552" t="str">
        <f t="shared" si="187"/>
        <v>.pdf</v>
      </c>
      <c r="G1552">
        <f t="shared" si="188"/>
        <v>80</v>
      </c>
      <c r="H1552" s="3">
        <f>LEN(Table1[[#This Row],[Auteur]])</f>
        <v>19</v>
      </c>
      <c r="I1552" s="3" t="str">
        <f t="shared" si="189"/>
        <v>Exploring Neural Networks with C#</v>
      </c>
    </row>
    <row r="1553" spans="1:9" x14ac:dyDescent="0.45">
      <c r="A1553" t="s">
        <v>345</v>
      </c>
      <c r="B1553" t="str">
        <f t="shared" si="183"/>
        <v>2016</v>
      </c>
      <c r="C1553" t="str">
        <f t="shared" si="184"/>
        <v>Packt</v>
      </c>
      <c r="D1553" t="str">
        <f t="shared" si="185"/>
        <v>Sudipta Mukherjee</v>
      </c>
      <c r="E1553" s="3" t="str">
        <f t="shared" si="186"/>
        <v/>
      </c>
      <c r="F1553" t="str">
        <f t="shared" si="187"/>
        <v>.pdf</v>
      </c>
      <c r="G1553">
        <f t="shared" si="188"/>
        <v>64</v>
      </c>
      <c r="H1553" s="3">
        <f>LEN(Table1[[#This Row],[Auteur]])</f>
        <v>17</v>
      </c>
      <c r="I1553" s="3" t="str">
        <f t="shared" si="189"/>
        <v>F# for Machine Learning</v>
      </c>
    </row>
    <row r="1554" spans="1:9" x14ac:dyDescent="0.45">
      <c r="A1554" t="s">
        <v>346</v>
      </c>
      <c r="B1554" t="str">
        <f t="shared" si="183"/>
        <v>2006</v>
      </c>
      <c r="C1554" t="str">
        <f t="shared" si="184"/>
        <v>Springer</v>
      </c>
      <c r="D1554" t="str">
        <f t="shared" si="185"/>
        <v>Amos R. Omondi, Jagath C. Rajapakse</v>
      </c>
      <c r="E1554" s="3" t="str">
        <f t="shared" si="186"/>
        <v/>
      </c>
      <c r="F1554" s="3" t="str">
        <f t="shared" si="187"/>
        <v>.pdf</v>
      </c>
      <c r="G1554" s="3">
        <f t="shared" si="188"/>
        <v>101</v>
      </c>
      <c r="H1554" s="3">
        <f>LEN(Table1[[#This Row],[Auteur]])</f>
        <v>35</v>
      </c>
      <c r="I1554" s="3" t="str">
        <f t="shared" si="189"/>
        <v>FPGA Implementations of Neural Networks</v>
      </c>
    </row>
    <row r="1555" spans="1:9" x14ac:dyDescent="0.45">
      <c r="A1555" t="s">
        <v>347</v>
      </c>
      <c r="B1555" t="str">
        <f t="shared" si="183"/>
        <v>2002</v>
      </c>
      <c r="C1555" t="str">
        <f t="shared" si="184"/>
        <v>Cépaduès</v>
      </c>
      <c r="D1555" t="str">
        <f t="shared" si="185"/>
        <v>Alliot, Schiex, Brisset, Garcia</v>
      </c>
      <c r="E1555" s="3" t="str">
        <f t="shared" si="186"/>
        <v/>
      </c>
      <c r="F1555" t="str">
        <f t="shared" si="187"/>
        <v>.pdf</v>
      </c>
      <c r="G1555">
        <f t="shared" si="188"/>
        <v>116</v>
      </c>
      <c r="H1555" s="3">
        <f>LEN(Table1[[#This Row],[Auteur]])</f>
        <v>31</v>
      </c>
      <c r="I1555" s="3" t="str">
        <f t="shared" si="189"/>
        <v>Intelligence artificielle et informatique théorique</v>
      </c>
    </row>
    <row r="1556" spans="1:9" x14ac:dyDescent="0.45">
      <c r="A1556" t="s">
        <v>348</v>
      </c>
      <c r="B1556" t="str">
        <f t="shared" si="183"/>
        <v>1995</v>
      </c>
      <c r="C1556" t="str">
        <f t="shared" si="184"/>
        <v>Clarendon Press</v>
      </c>
      <c r="D1556" t="str">
        <f t="shared" si="185"/>
        <v>Christopher M. Bishop</v>
      </c>
      <c r="E1556" s="3" t="str">
        <f t="shared" si="186"/>
        <v>Scan</v>
      </c>
      <c r="F1556" t="str">
        <f t="shared" si="187"/>
        <v>.pdf</v>
      </c>
      <c r="G1556">
        <f t="shared" si="188"/>
        <v>101</v>
      </c>
      <c r="H1556" s="3">
        <f>LEN(Table1[[#This Row],[Auteur]])</f>
        <v>21</v>
      </c>
      <c r="I1556" s="3" t="str">
        <f t="shared" si="189"/>
        <v>Neural Networks for Pattern Recognition</v>
      </c>
    </row>
    <row r="1557" spans="1:9" x14ac:dyDescent="0.45">
      <c r="A1557" t="s">
        <v>174</v>
      </c>
      <c r="B1557" t="str">
        <f t="shared" si="183"/>
        <v>2014</v>
      </c>
      <c r="C1557" t="str">
        <f t="shared" si="184"/>
        <v>Cépaduès</v>
      </c>
      <c r="D1557" t="str">
        <f t="shared" si="185"/>
        <v>Pierre Marquis, Odile Papini</v>
      </c>
      <c r="E1557" s="3" t="str">
        <f t="shared" si="186"/>
        <v/>
      </c>
      <c r="F1557" t="str">
        <f t="shared" si="187"/>
        <v>.pdf</v>
      </c>
      <c r="G1557">
        <f t="shared" si="188"/>
        <v>144</v>
      </c>
      <c r="H1557" s="3">
        <f>LEN(Table1[[#This Row],[Auteur]])</f>
        <v>28</v>
      </c>
      <c r="I1557" s="3" t="str">
        <f t="shared" si="189"/>
        <v>Panorama de l'IA, 01, Représentation des connaissances et formalisation des raisonnements</v>
      </c>
    </row>
    <row r="1558" spans="1:9" x14ac:dyDescent="0.45">
      <c r="A1558" t="s">
        <v>175</v>
      </c>
      <c r="B1558" t="str">
        <f t="shared" si="183"/>
        <v>2014</v>
      </c>
      <c r="C1558" t="str">
        <f t="shared" si="184"/>
        <v>Cépaduès</v>
      </c>
      <c r="D1558" t="str">
        <f t="shared" si="185"/>
        <v>Pierre Marquis, Odile Papini</v>
      </c>
      <c r="E1558" s="3" t="str">
        <f t="shared" si="186"/>
        <v/>
      </c>
      <c r="F1558" s="3" t="str">
        <f t="shared" si="187"/>
        <v>.pdf</v>
      </c>
      <c r="G1558" s="3">
        <f t="shared" si="188"/>
        <v>121</v>
      </c>
      <c r="H1558" s="3">
        <f>LEN(Table1[[#This Row],[Auteur]])</f>
        <v>28</v>
      </c>
      <c r="I1558" s="3" t="str">
        <f t="shared" si="189"/>
        <v>Panorama de l'IA, 02, Algorithmes pour l'intelligence artificielle</v>
      </c>
    </row>
    <row r="1559" spans="1:9" x14ac:dyDescent="0.45">
      <c r="A1559" t="s">
        <v>176</v>
      </c>
      <c r="B1559" t="str">
        <f t="shared" si="183"/>
        <v>2014</v>
      </c>
      <c r="C1559" t="str">
        <f t="shared" si="184"/>
        <v>Cépaduès</v>
      </c>
      <c r="D1559" t="str">
        <f t="shared" si="185"/>
        <v>Pierre Marquis, Odile Papini</v>
      </c>
      <c r="E1559" s="3" t="str">
        <f t="shared" si="186"/>
        <v/>
      </c>
      <c r="F1559" t="str">
        <f t="shared" si="187"/>
        <v>.pdf</v>
      </c>
      <c r="G1559">
        <f t="shared" si="188"/>
        <v>132</v>
      </c>
      <c r="H1559" s="3">
        <f>LEN(Table1[[#This Row],[Auteur]])</f>
        <v>28</v>
      </c>
      <c r="I1559" s="3" t="str">
        <f t="shared" si="189"/>
        <v>Panorama de l'IA, 03, L'intelligence artificielle, frontières et applications</v>
      </c>
    </row>
    <row r="1560" spans="1:9" x14ac:dyDescent="0.45">
      <c r="A1560" t="s">
        <v>2072</v>
      </c>
      <c r="B1560" t="str">
        <f t="shared" si="183"/>
        <v>2002</v>
      </c>
      <c r="C1560" t="str">
        <f t="shared" si="184"/>
        <v>O'Reilly</v>
      </c>
      <c r="D1560" t="str">
        <f t="shared" si="185"/>
        <v>Matthew Gast</v>
      </c>
      <c r="E1560" s="3" t="str">
        <f t="shared" si="186"/>
        <v/>
      </c>
      <c r="F1560" s="3" t="str">
        <f t="shared" si="187"/>
        <v>.pdf</v>
      </c>
      <c r="G1560">
        <f t="shared" si="188"/>
        <v>85</v>
      </c>
      <c r="H1560" s="3">
        <f>LEN(Table1[[#This Row],[Auteur]])</f>
        <v>12</v>
      </c>
      <c r="I1560" s="3" t="str">
        <f t="shared" si="189"/>
        <v>802.11 Wireless Networks, The Definitive Guide</v>
      </c>
    </row>
    <row r="1561" spans="1:9" x14ac:dyDescent="0.45">
      <c r="A1561" t="s">
        <v>213</v>
      </c>
      <c r="B1561" t="str">
        <f t="shared" si="183"/>
        <v>2013</v>
      </c>
      <c r="C1561" t="str">
        <f t="shared" si="184"/>
        <v>Le site du zéro</v>
      </c>
      <c r="D1561" t="str">
        <f t="shared" si="185"/>
        <v>Romain Guichard</v>
      </c>
      <c r="E1561" s="3" t="str">
        <f t="shared" si="186"/>
        <v/>
      </c>
      <c r="F1561" s="3" t="str">
        <f t="shared" si="187"/>
        <v>.pdf</v>
      </c>
      <c r="G1561">
        <f t="shared" si="188"/>
        <v>94</v>
      </c>
      <c r="H1561" s="3">
        <f>LEN(Table1[[#This Row],[Auteur]])</f>
        <v>15</v>
      </c>
      <c r="I1561" s="3" t="str">
        <f t="shared" si="189"/>
        <v>Apprenez le fonctionnement des réseaux TCP IP</v>
      </c>
    </row>
    <row r="1562" spans="1:9" x14ac:dyDescent="0.45">
      <c r="A1562" t="s">
        <v>214</v>
      </c>
      <c r="B1562" t="str">
        <f t="shared" si="183"/>
        <v>2009</v>
      </c>
      <c r="C1562" t="str">
        <f t="shared" si="184"/>
        <v>Pearson</v>
      </c>
      <c r="D1562" t="str">
        <f t="shared" si="185"/>
        <v>Danièle Dromard, Dominique Seret</v>
      </c>
      <c r="E1562" s="3" t="str">
        <f t="shared" si="186"/>
        <v/>
      </c>
      <c r="F1562" t="str">
        <f t="shared" si="187"/>
        <v>.pdf</v>
      </c>
      <c r="G1562">
        <f t="shared" si="188"/>
        <v>82</v>
      </c>
      <c r="H1562" s="3">
        <f>LEN(Table1[[#This Row],[Auteur]])</f>
        <v>32</v>
      </c>
      <c r="I1562" s="3" t="str">
        <f t="shared" si="189"/>
        <v>Architecture des réseaux</v>
      </c>
    </row>
    <row r="1563" spans="1:9" x14ac:dyDescent="0.45">
      <c r="A1563" t="s">
        <v>215</v>
      </c>
      <c r="B1563" t="str">
        <f t="shared" si="183"/>
        <v>2001</v>
      </c>
      <c r="C1563" t="str">
        <f t="shared" si="184"/>
        <v>O'Reilly</v>
      </c>
      <c r="D1563" t="str">
        <f t="shared" si="185"/>
        <v>Jeff Sedayao</v>
      </c>
      <c r="E1563" s="3" t="str">
        <f t="shared" si="186"/>
        <v/>
      </c>
      <c r="F1563" t="str">
        <f t="shared" si="187"/>
        <v>.pdf</v>
      </c>
      <c r="G1563">
        <f t="shared" si="188"/>
        <v>61</v>
      </c>
      <c r="H1563" s="3">
        <f>LEN(Table1[[#This Row],[Auteur]])</f>
        <v>12</v>
      </c>
      <c r="I1563" s="3" t="str">
        <f t="shared" si="189"/>
        <v>Cisco IOS Access Lists</v>
      </c>
    </row>
    <row r="1564" spans="1:9" x14ac:dyDescent="0.45">
      <c r="A1564" t="s">
        <v>216</v>
      </c>
      <c r="B1564" t="str">
        <f t="shared" si="183"/>
        <v>2001</v>
      </c>
      <c r="C1564" t="str">
        <f t="shared" si="184"/>
        <v>O'Reilly</v>
      </c>
      <c r="D1564" t="str">
        <f t="shared" si="185"/>
        <v>James Boney</v>
      </c>
      <c r="E1564" s="3" t="str">
        <f t="shared" si="186"/>
        <v>Dump</v>
      </c>
      <c r="F1564" s="3" t="str">
        <f t="shared" si="187"/>
        <v>.pdf</v>
      </c>
      <c r="G1564">
        <f t="shared" si="188"/>
        <v>68</v>
      </c>
      <c r="H1564" s="3">
        <f>LEN(Table1[[#This Row],[Auteur]])</f>
        <v>11</v>
      </c>
      <c r="I1564" s="3" t="str">
        <f t="shared" si="189"/>
        <v>Cisco IOS in a Nutshell</v>
      </c>
    </row>
    <row r="1565" spans="1:9" x14ac:dyDescent="0.45">
      <c r="A1565" t="s">
        <v>1767</v>
      </c>
      <c r="B1565" t="str">
        <f t="shared" si="183"/>
        <v>2008</v>
      </c>
      <c r="C1565" t="str">
        <f t="shared" si="184"/>
        <v>Elsevier</v>
      </c>
      <c r="D1565" t="str">
        <f t="shared" si="185"/>
        <v>Emad Aboelela</v>
      </c>
      <c r="E1565" s="3" t="str">
        <f t="shared" si="186"/>
        <v/>
      </c>
      <c r="F1565" s="3" t="str">
        <f t="shared" si="187"/>
        <v>.pdf</v>
      </c>
      <c r="G1565" s="3">
        <f t="shared" si="188"/>
        <v>85</v>
      </c>
      <c r="H1565" s="3">
        <f>LEN(Table1[[#This Row],[Auteur]])</f>
        <v>13</v>
      </c>
      <c r="I1565" s="3" t="str">
        <f t="shared" si="189"/>
        <v>Computer Networks, A Systems Approach</v>
      </c>
    </row>
    <row r="1566" spans="1:9" x14ac:dyDescent="0.45">
      <c r="A1566" t="s">
        <v>217</v>
      </c>
      <c r="B1566" t="str">
        <f t="shared" si="183"/>
        <v>2001</v>
      </c>
      <c r="C1566" t="str">
        <f t="shared" si="184"/>
        <v>O'Reilly</v>
      </c>
      <c r="D1566" t="str">
        <f t="shared" si="185"/>
        <v>Kevin Dooley</v>
      </c>
      <c r="E1566" s="3" t="str">
        <f t="shared" si="186"/>
        <v/>
      </c>
      <c r="F1566" t="str">
        <f t="shared" si="187"/>
        <v>.pdf</v>
      </c>
      <c r="G1566">
        <f t="shared" si="188"/>
        <v>65</v>
      </c>
      <c r="H1566" s="3">
        <f>LEN(Table1[[#This Row],[Auteur]])</f>
        <v>12</v>
      </c>
      <c r="I1566" s="3" t="str">
        <f t="shared" si="189"/>
        <v>Designing Large-Scale LANs</v>
      </c>
    </row>
    <row r="1567" spans="1:9" x14ac:dyDescent="0.45">
      <c r="A1567" t="s">
        <v>218</v>
      </c>
      <c r="B1567" t="str">
        <f t="shared" si="183"/>
        <v>2000</v>
      </c>
      <c r="C1567" t="str">
        <f t="shared" si="184"/>
        <v>O'Reilly</v>
      </c>
      <c r="D1567" t="str">
        <f t="shared" si="185"/>
        <v>Charles E. Spurgeon</v>
      </c>
      <c r="E1567" s="3" t="str">
        <f t="shared" si="186"/>
        <v>Dump</v>
      </c>
      <c r="F1567" t="str">
        <f t="shared" si="187"/>
        <v>.pdf</v>
      </c>
      <c r="G1567">
        <f t="shared" si="188"/>
        <v>78</v>
      </c>
      <c r="H1567" s="3">
        <f>LEN(Table1[[#This Row],[Auteur]])</f>
        <v>19</v>
      </c>
      <c r="I1567" s="3" t="str">
        <f t="shared" si="189"/>
        <v>Ethernet Definitive Guide</v>
      </c>
    </row>
    <row r="1568" spans="1:9" x14ac:dyDescent="0.45">
      <c r="A1568" t="s">
        <v>219</v>
      </c>
      <c r="B1568" t="str">
        <f t="shared" si="183"/>
        <v>2002</v>
      </c>
      <c r="C1568" t="str">
        <f t="shared" si="184"/>
        <v>O'Reilly</v>
      </c>
      <c r="D1568" t="str">
        <f t="shared" si="185"/>
        <v>Silvia Hagen</v>
      </c>
      <c r="E1568" s="3" t="str">
        <f t="shared" si="186"/>
        <v/>
      </c>
      <c r="F1568" t="str">
        <f t="shared" si="187"/>
        <v>.pdf</v>
      </c>
      <c r="G1568">
        <f t="shared" si="188"/>
        <v>54</v>
      </c>
      <c r="H1568" s="3">
        <f>LEN(Table1[[#This Row],[Auteur]])</f>
        <v>12</v>
      </c>
      <c r="I1568" s="3" t="str">
        <f t="shared" si="189"/>
        <v>IPv6 Essentials</v>
      </c>
    </row>
    <row r="1569" spans="1:9" x14ac:dyDescent="0.45">
      <c r="A1569" t="s">
        <v>220</v>
      </c>
      <c r="B1569" t="str">
        <f t="shared" si="183"/>
        <v>2008</v>
      </c>
      <c r="C1569" t="str">
        <f t="shared" si="184"/>
        <v>Eyrolles</v>
      </c>
      <c r="D1569" t="str">
        <f t="shared" si="185"/>
        <v>Guy Pujolle</v>
      </c>
      <c r="E1569" s="3" t="str">
        <f t="shared" si="186"/>
        <v/>
      </c>
      <c r="F1569" s="3" t="str">
        <f t="shared" si="187"/>
        <v>.pdf</v>
      </c>
      <c r="G1569">
        <f t="shared" si="188"/>
        <v>56</v>
      </c>
      <c r="H1569" s="3">
        <f>LEN(Table1[[#This Row],[Auteur]])</f>
        <v>11</v>
      </c>
      <c r="I1569" s="3" t="str">
        <f t="shared" si="189"/>
        <v>Les réseaux</v>
      </c>
    </row>
    <row r="1570" spans="1:9" x14ac:dyDescent="0.45">
      <c r="A1570" t="s">
        <v>221</v>
      </c>
      <c r="B1570" t="str">
        <f t="shared" si="183"/>
        <v>2014</v>
      </c>
      <c r="C1570" t="str">
        <f t="shared" si="184"/>
        <v>Eyrolles</v>
      </c>
      <c r="D1570" t="str">
        <f t="shared" si="185"/>
        <v>Guy Pujolle</v>
      </c>
      <c r="E1570" s="3" t="str">
        <f t="shared" si="186"/>
        <v/>
      </c>
      <c r="F1570" t="str">
        <f t="shared" si="187"/>
        <v>.pdf</v>
      </c>
      <c r="G1570">
        <f t="shared" si="188"/>
        <v>56</v>
      </c>
      <c r="H1570" s="3">
        <f>LEN(Table1[[#This Row],[Auteur]])</f>
        <v>11</v>
      </c>
      <c r="I1570" s="3" t="str">
        <f t="shared" si="189"/>
        <v>Les réseaux</v>
      </c>
    </row>
    <row r="1571" spans="1:9" x14ac:dyDescent="0.45">
      <c r="A1571" t="s">
        <v>1768</v>
      </c>
      <c r="B1571" t="str">
        <f t="shared" si="183"/>
        <v>2008</v>
      </c>
      <c r="C1571" t="str">
        <f t="shared" si="184"/>
        <v>Elsevier</v>
      </c>
      <c r="D1571" t="str">
        <f t="shared" si="185"/>
        <v>Ran Giladi</v>
      </c>
      <c r="E1571" s="3" t="str">
        <f t="shared" si="186"/>
        <v/>
      </c>
      <c r="F1571" s="3" t="str">
        <f t="shared" si="187"/>
        <v>.pdf</v>
      </c>
      <c r="G1571">
        <f t="shared" si="188"/>
        <v>102</v>
      </c>
      <c r="H1571" s="3">
        <f>LEN(Table1[[#This Row],[Auteur]])</f>
        <v>10</v>
      </c>
      <c r="I1571" s="3" t="str">
        <f t="shared" si="189"/>
        <v>Network Processors, Architecture, Programming, and Implementation</v>
      </c>
    </row>
    <row r="1572" spans="1:9" x14ac:dyDescent="0.45">
      <c r="A1572" t="s">
        <v>222</v>
      </c>
      <c r="B1572" t="str">
        <f t="shared" si="183"/>
        <v>2001</v>
      </c>
      <c r="C1572" t="str">
        <f t="shared" si="184"/>
        <v>O'Reilly</v>
      </c>
      <c r="D1572" t="str">
        <f t="shared" si="185"/>
        <v>Joseph D. Sloan</v>
      </c>
      <c r="E1572" s="3" t="str">
        <f t="shared" si="186"/>
        <v>Dump</v>
      </c>
      <c r="F1572" s="3" t="str">
        <f t="shared" si="187"/>
        <v>.pdf</v>
      </c>
      <c r="G1572" s="3">
        <f t="shared" si="188"/>
        <v>78</v>
      </c>
      <c r="H1572" s="3">
        <f>LEN(Table1[[#This Row],[Auteur]])</f>
        <v>15</v>
      </c>
      <c r="I1572" s="3" t="str">
        <f t="shared" si="189"/>
        <v>Network Troubleshooting Tools</v>
      </c>
    </row>
    <row r="1573" spans="1:9" x14ac:dyDescent="0.45">
      <c r="A1573" t="s">
        <v>223</v>
      </c>
      <c r="B1573" t="str">
        <f t="shared" si="183"/>
        <v>2011</v>
      </c>
      <c r="C1573" t="str">
        <f t="shared" si="184"/>
        <v>O'Reilly</v>
      </c>
      <c r="D1573" t="str">
        <f t="shared" si="185"/>
        <v>Gary A. Donahue</v>
      </c>
      <c r="E1573" s="3" t="str">
        <f t="shared" si="186"/>
        <v/>
      </c>
      <c r="F1573" t="str">
        <f t="shared" si="187"/>
        <v>.pdf</v>
      </c>
      <c r="G1573">
        <f t="shared" si="188"/>
        <v>65</v>
      </c>
      <c r="H1573" s="3">
        <f>LEN(Table1[[#This Row],[Auteur]])</f>
        <v>15</v>
      </c>
      <c r="I1573" s="3" t="str">
        <f t="shared" si="189"/>
        <v>Network Warrior</v>
      </c>
    </row>
    <row r="1574" spans="1:9" x14ac:dyDescent="0.45">
      <c r="A1574" t="s">
        <v>1769</v>
      </c>
      <c r="B1574" t="str">
        <f t="shared" si="183"/>
        <v>2009</v>
      </c>
      <c r="C1574" t="str">
        <f t="shared" si="184"/>
        <v>Wiley</v>
      </c>
      <c r="D1574" t="str">
        <f t="shared" si="185"/>
        <v>James Edwards, Richard Bramante</v>
      </c>
      <c r="E1574" s="3" t="str">
        <f t="shared" si="186"/>
        <v/>
      </c>
      <c r="F1574" s="3" t="str">
        <f t="shared" si="187"/>
        <v>.pdf</v>
      </c>
      <c r="G1574" s="3">
        <f t="shared" si="188"/>
        <v>85</v>
      </c>
      <c r="H1574" s="3">
        <f>LEN(Table1[[#This Row],[Auteur]])</f>
        <v>31</v>
      </c>
      <c r="I1574" s="3" t="str">
        <f t="shared" si="189"/>
        <v>Networking Self-teaching Guide</v>
      </c>
    </row>
    <row r="1575" spans="1:9" x14ac:dyDescent="0.45">
      <c r="A1575" t="s">
        <v>82</v>
      </c>
      <c r="B1575" t="str">
        <f t="shared" si="183"/>
        <v>2001</v>
      </c>
      <c r="C1575" t="str">
        <f t="shared" si="184"/>
        <v>?</v>
      </c>
      <c r="D1575" t="str">
        <f t="shared" si="185"/>
        <v>Andy Oram</v>
      </c>
      <c r="E1575" s="3" t="str">
        <f t="shared" si="186"/>
        <v/>
      </c>
      <c r="F1575" t="str">
        <f t="shared" si="187"/>
        <v>.pdf</v>
      </c>
      <c r="G1575">
        <f t="shared" si="188"/>
        <v>35</v>
      </c>
      <c r="H1575" s="3">
        <f>LEN(Table1[[#This Row],[Auteur]])</f>
        <v>9</v>
      </c>
      <c r="I1575" s="3" t="str">
        <f t="shared" si="189"/>
        <v>Peer to Peer</v>
      </c>
    </row>
    <row r="1576" spans="1:9" x14ac:dyDescent="0.45">
      <c r="A1576" t="s">
        <v>1770</v>
      </c>
      <c r="B1576" t="str">
        <f t="shared" si="183"/>
        <v>2003</v>
      </c>
      <c r="C1576" t="str">
        <f t="shared" si="184"/>
        <v>Elsevier</v>
      </c>
      <c r="D1576" t="str">
        <f t="shared" si="185"/>
        <v>Deon Reynders, Edwin Wright</v>
      </c>
      <c r="E1576" s="3" t="str">
        <f t="shared" si="186"/>
        <v/>
      </c>
      <c r="F1576" s="3" t="str">
        <f t="shared" si="187"/>
        <v>.pdf</v>
      </c>
      <c r="G1576">
        <f t="shared" si="188"/>
        <v>94</v>
      </c>
      <c r="H1576" s="3">
        <f>LEN(Table1[[#This Row],[Auteur]])</f>
        <v>27</v>
      </c>
      <c r="I1576" s="3" t="str">
        <f t="shared" si="189"/>
        <v>Practical TCP-IP and Ethernet Networking</v>
      </c>
    </row>
    <row r="1577" spans="1:9" x14ac:dyDescent="0.45">
      <c r="A1577" t="s">
        <v>224</v>
      </c>
      <c r="B1577" t="str">
        <f t="shared" si="183"/>
        <v>2006</v>
      </c>
      <c r="C1577" t="str">
        <f t="shared" si="184"/>
        <v>Apress</v>
      </c>
      <c r="D1577" t="str">
        <f t="shared" si="185"/>
        <v>Iljitsch van Beijnum</v>
      </c>
      <c r="E1577" s="3" t="str">
        <f t="shared" si="186"/>
        <v/>
      </c>
      <c r="F1577" s="3" t="str">
        <f t="shared" si="187"/>
        <v>.pdf</v>
      </c>
      <c r="G1577" s="3">
        <f t="shared" si="188"/>
        <v>57</v>
      </c>
      <c r="H1577" s="3">
        <f>LEN(Table1[[#This Row],[Auteur]])</f>
        <v>20</v>
      </c>
      <c r="I1577" s="3" t="str">
        <f t="shared" si="189"/>
        <v>Running IPv6</v>
      </c>
    </row>
    <row r="1578" spans="1:9" x14ac:dyDescent="0.45">
      <c r="A1578" t="s">
        <v>1771</v>
      </c>
      <c r="B1578" t="str">
        <f t="shared" si="183"/>
        <v>2003</v>
      </c>
      <c r="C1578" t="str">
        <f t="shared" si="184"/>
        <v>Elsevier</v>
      </c>
      <c r="D1578" t="str">
        <f t="shared" si="185"/>
        <v>Pete Loshin</v>
      </c>
      <c r="E1578" s="3" t="str">
        <f t="shared" si="186"/>
        <v/>
      </c>
      <c r="F1578" t="str">
        <f t="shared" si="187"/>
        <v>.pdf</v>
      </c>
      <c r="G1578">
        <f t="shared" si="188"/>
        <v>70</v>
      </c>
      <c r="H1578" s="3">
        <f>LEN(Table1[[#This Row],[Auteur]])</f>
        <v>11</v>
      </c>
      <c r="I1578" s="3" t="str">
        <f t="shared" si="189"/>
        <v>TCP-IP Clearly Explained</v>
      </c>
    </row>
    <row r="1579" spans="1:9" x14ac:dyDescent="0.45">
      <c r="A1579" t="s">
        <v>1772</v>
      </c>
      <c r="B1579" t="str">
        <f t="shared" si="183"/>
        <v>2004</v>
      </c>
      <c r="C1579" t="str">
        <f t="shared" si="184"/>
        <v>Sybex</v>
      </c>
      <c r="D1579" t="str">
        <f t="shared" si="185"/>
        <v>Andrew G. Blank</v>
      </c>
      <c r="E1579" s="3" t="str">
        <f t="shared" si="186"/>
        <v/>
      </c>
      <c r="F1579" t="str">
        <f t="shared" si="187"/>
        <v>.pdf</v>
      </c>
      <c r="G1579">
        <f t="shared" si="188"/>
        <v>57</v>
      </c>
      <c r="H1579" s="3">
        <f>LEN(Table1[[#This Row],[Auteur]])</f>
        <v>15</v>
      </c>
      <c r="I1579" s="3" t="str">
        <f t="shared" si="189"/>
        <v>TCP-IP Foundations</v>
      </c>
    </row>
    <row r="1580" spans="1:9" x14ac:dyDescent="0.45">
      <c r="A1580" t="s">
        <v>1773</v>
      </c>
      <c r="B1580" t="str">
        <f t="shared" si="183"/>
        <v>2009</v>
      </c>
      <c r="C1580" t="str">
        <f t="shared" si="184"/>
        <v>Elsevier</v>
      </c>
      <c r="D1580" t="str">
        <f t="shared" si="185"/>
        <v>Michael J. Donahoo, Kenneth L. Calvert</v>
      </c>
      <c r="E1580" s="3" t="str">
        <f t="shared" si="186"/>
        <v/>
      </c>
      <c r="F1580" t="str">
        <f t="shared" si="187"/>
        <v>.pdf</v>
      </c>
      <c r="G1580">
        <f t="shared" si="188"/>
        <v>92</v>
      </c>
      <c r="H1580" s="3">
        <f>LEN(Table1[[#This Row],[Auteur]])</f>
        <v>38</v>
      </c>
      <c r="I1580" s="3" t="str">
        <f t="shared" si="189"/>
        <v>TCP-IP Sockets in C</v>
      </c>
    </row>
    <row r="1581" spans="1:9" x14ac:dyDescent="0.45">
      <c r="A1581" t="s">
        <v>1774</v>
      </c>
      <c r="B1581" t="str">
        <f t="shared" si="183"/>
        <v>2004</v>
      </c>
      <c r="C1581" t="str">
        <f t="shared" si="184"/>
        <v>Charles River Media</v>
      </c>
      <c r="D1581" t="str">
        <f t="shared" si="185"/>
        <v>Thomas F. Herbert</v>
      </c>
      <c r="E1581" s="3" t="str">
        <f t="shared" si="186"/>
        <v/>
      </c>
      <c r="F1581" t="str">
        <f t="shared" si="187"/>
        <v>.pdf</v>
      </c>
      <c r="G1581">
        <f t="shared" si="188"/>
        <v>110</v>
      </c>
      <c r="H1581" s="3">
        <f>LEN(Table1[[#This Row],[Auteur]])</f>
        <v>17</v>
      </c>
      <c r="I1581" s="3" t="str">
        <f t="shared" si="189"/>
        <v>The Linux TCP-IP Stack, Networking for Embedded Systems</v>
      </c>
    </row>
    <row r="1582" spans="1:9" x14ac:dyDescent="0.45">
      <c r="A1582" t="s">
        <v>1775</v>
      </c>
      <c r="B1582" t="str">
        <f t="shared" si="183"/>
        <v>2005</v>
      </c>
      <c r="C1582" t="str">
        <f t="shared" si="184"/>
        <v>?</v>
      </c>
      <c r="D1582" t="str">
        <f t="shared" si="185"/>
        <v>Charles M. Kozierok</v>
      </c>
      <c r="E1582" s="3" t="str">
        <f t="shared" si="186"/>
        <v/>
      </c>
      <c r="F1582" t="str">
        <f t="shared" si="187"/>
        <v>.pdf</v>
      </c>
      <c r="G1582">
        <f t="shared" si="188"/>
        <v>49</v>
      </c>
      <c r="H1582" s="3">
        <f>LEN(Table1[[#This Row],[Auteur]])</f>
        <v>19</v>
      </c>
      <c r="I1582" s="3" t="str">
        <f t="shared" si="189"/>
        <v>The TCP-IP Guide</v>
      </c>
    </row>
    <row r="1583" spans="1:9" x14ac:dyDescent="0.45">
      <c r="A1583" t="s">
        <v>1776</v>
      </c>
      <c r="B1583" t="str">
        <f t="shared" si="183"/>
        <v>2006</v>
      </c>
      <c r="C1583" t="str">
        <f t="shared" si="184"/>
        <v>Information Science</v>
      </c>
      <c r="D1583" t="str">
        <f t="shared" si="185"/>
        <v>Nurul I. Sarkar</v>
      </c>
      <c r="E1583" s="3" t="str">
        <f t="shared" si="186"/>
        <v/>
      </c>
      <c r="F1583" t="str">
        <f t="shared" si="187"/>
        <v>.pdf</v>
      </c>
      <c r="G1583">
        <f t="shared" si="188"/>
        <v>113</v>
      </c>
      <c r="H1583" s="3">
        <f>LEN(Table1[[#This Row],[Auteur]])</f>
        <v>15</v>
      </c>
      <c r="I1583" s="3" t="str">
        <f t="shared" si="189"/>
        <v>Tools for Teaching Computer Networking and Hardware Concepts</v>
      </c>
    </row>
    <row r="1584" spans="1:9" x14ac:dyDescent="0.45">
      <c r="A1584" t="s">
        <v>1777</v>
      </c>
      <c r="B1584" t="str">
        <f t="shared" si="183"/>
        <v>2012</v>
      </c>
      <c r="C1584" t="str">
        <f t="shared" si="184"/>
        <v>Dunod</v>
      </c>
      <c r="D1584" t="str">
        <f t="shared" si="185"/>
        <v>Pillou, Lemainque</v>
      </c>
      <c r="E1584" s="3" t="str">
        <f t="shared" si="186"/>
        <v/>
      </c>
      <c r="F1584" s="3" t="str">
        <f t="shared" si="187"/>
        <v>.pdf</v>
      </c>
      <c r="G1584">
        <f t="shared" si="188"/>
        <v>73</v>
      </c>
      <c r="H1584" s="3">
        <f>LEN(Table1[[#This Row],[Auteur]])</f>
        <v>17</v>
      </c>
      <c r="I1584" s="3" t="str">
        <f t="shared" si="189"/>
        <v>Tout sur les réseaux et Internet</v>
      </c>
    </row>
    <row r="1585" spans="1:9" x14ac:dyDescent="0.45">
      <c r="A1585" t="s">
        <v>225</v>
      </c>
      <c r="B1585" t="str">
        <f t="shared" si="183"/>
        <v>2009</v>
      </c>
      <c r="C1585" t="str">
        <f t="shared" si="184"/>
        <v>Dunod</v>
      </c>
      <c r="D1585" t="str">
        <f t="shared" si="185"/>
        <v>Fabrice Lemainque</v>
      </c>
      <c r="E1585" s="3" t="str">
        <f t="shared" si="186"/>
        <v/>
      </c>
      <c r="F1585" t="str">
        <f t="shared" si="187"/>
        <v>.pdf</v>
      </c>
      <c r="G1585">
        <f t="shared" si="188"/>
        <v>70</v>
      </c>
      <c r="H1585" s="3">
        <f>LEN(Table1[[#This Row],[Auteur]])</f>
        <v>17</v>
      </c>
      <c r="I1585" s="3" t="str">
        <f t="shared" si="189"/>
        <v>Tout sur les réseaux sans fil</v>
      </c>
    </row>
    <row r="1586" spans="1:9" x14ac:dyDescent="0.45">
      <c r="A1586" t="s">
        <v>1778</v>
      </c>
      <c r="B1586" t="str">
        <f t="shared" si="183"/>
        <v>2006</v>
      </c>
      <c r="C1586" t="str">
        <f t="shared" si="184"/>
        <v>Packt</v>
      </c>
      <c r="D1586" t="str">
        <f t="shared" si="185"/>
        <v>Libor Dostálek, Alena Kabelová</v>
      </c>
      <c r="E1586" s="3" t="str">
        <f t="shared" si="186"/>
        <v/>
      </c>
      <c r="F1586" t="str">
        <f t="shared" si="187"/>
        <v>.pdf</v>
      </c>
      <c r="G1586">
        <f t="shared" si="188"/>
        <v>74</v>
      </c>
      <c r="H1586" s="3">
        <f>LEN(Table1[[#This Row],[Auteur]])</f>
        <v>30</v>
      </c>
      <c r="I1586" s="3" t="str">
        <f t="shared" si="189"/>
        <v>Understanding TCP-IP</v>
      </c>
    </row>
    <row r="1587" spans="1:9" x14ac:dyDescent="0.45">
      <c r="A1587" t="s">
        <v>226</v>
      </c>
      <c r="B1587" t="str">
        <f t="shared" si="183"/>
        <v>1999</v>
      </c>
      <c r="C1587" t="str">
        <f t="shared" si="184"/>
        <v>O'Reilly</v>
      </c>
      <c r="D1587" t="str">
        <f t="shared" si="185"/>
        <v>Charlie Scott, Paul Wolfe, Mike Erwin</v>
      </c>
      <c r="E1587" s="3" t="str">
        <f t="shared" si="186"/>
        <v/>
      </c>
      <c r="F1587" t="str">
        <f t="shared" si="187"/>
        <v>.pdf</v>
      </c>
      <c r="G1587">
        <f t="shared" si="188"/>
        <v>96</v>
      </c>
      <c r="H1587" s="3">
        <f>LEN(Table1[[#This Row],[Auteur]])</f>
        <v>37</v>
      </c>
      <c r="I1587" s="3" t="str">
        <f t="shared" si="189"/>
        <v>Virtual Private Networks</v>
      </c>
    </row>
    <row r="1588" spans="1:9" x14ac:dyDescent="0.45">
      <c r="A1588" t="s">
        <v>227</v>
      </c>
      <c r="B1588" t="str">
        <f t="shared" si="183"/>
        <v>2009</v>
      </c>
      <c r="C1588" t="str">
        <f t="shared" si="184"/>
        <v>Dunod</v>
      </c>
      <c r="D1588" t="str">
        <f t="shared" si="185"/>
        <v>Aurélien Géron</v>
      </c>
      <c r="E1588" s="3" t="str">
        <f t="shared" si="186"/>
        <v/>
      </c>
      <c r="F1588" t="str">
        <f t="shared" si="187"/>
        <v>.pdf</v>
      </c>
      <c r="G1588">
        <f t="shared" si="188"/>
        <v>109</v>
      </c>
      <c r="H1588" s="3">
        <f>LEN(Table1[[#This Row],[Auteur]])</f>
        <v>14</v>
      </c>
      <c r="I1588" s="3" t="str">
        <f t="shared" si="189"/>
        <v>WiFi professionnel, La norme 802.11, le déploiement, la sécurité</v>
      </c>
    </row>
    <row r="1589" spans="1:9" x14ac:dyDescent="0.45">
      <c r="A1589" t="s">
        <v>378</v>
      </c>
      <c r="B1589" t="str">
        <f t="shared" si="183"/>
        <v>2012</v>
      </c>
      <c r="C1589" t="str">
        <f t="shared" si="184"/>
        <v>Afnor</v>
      </c>
      <c r="D1589" t="str">
        <f t="shared" si="185"/>
        <v>Claude Pinet</v>
      </c>
      <c r="E1589" s="3" t="str">
        <f t="shared" si="186"/>
        <v/>
      </c>
      <c r="F1589" t="str">
        <f t="shared" si="187"/>
        <v>.pdf</v>
      </c>
      <c r="G1589">
        <f t="shared" si="188"/>
        <v>88</v>
      </c>
      <c r="H1589" s="3">
        <f>LEN(Table1[[#This Row],[Auteur]])</f>
        <v>12</v>
      </c>
      <c r="I1589" s="3" t="str">
        <f t="shared" si="189"/>
        <v>10 clés pour la sécurité de l'information, ISO 27001</v>
      </c>
    </row>
    <row r="1590" spans="1:9" x14ac:dyDescent="0.45">
      <c r="A1590" t="s">
        <v>83</v>
      </c>
      <c r="B1590" t="str">
        <f t="shared" si="183"/>
        <v>2002</v>
      </c>
      <c r="C1590" t="str">
        <f t="shared" si="184"/>
        <v>?</v>
      </c>
      <c r="D1590" t="str">
        <f t="shared" si="185"/>
        <v>Pierre-Alain Fayolle, Vincent Glaume</v>
      </c>
      <c r="E1590" s="3" t="str">
        <f t="shared" si="186"/>
        <v/>
      </c>
      <c r="F1590" s="3" t="str">
        <f t="shared" si="187"/>
        <v>.pdf</v>
      </c>
      <c r="G1590">
        <f t="shared" si="188"/>
        <v>95</v>
      </c>
      <c r="H1590" s="3">
        <f>LEN(Table1[[#This Row],[Auteur]])</f>
        <v>36</v>
      </c>
      <c r="I1590" s="3" t="str">
        <f t="shared" si="189"/>
        <v>A Buffer Overflow Study, Attacks and Defenses</v>
      </c>
    </row>
    <row r="1591" spans="1:9" x14ac:dyDescent="0.45">
      <c r="A1591" t="s">
        <v>1779</v>
      </c>
      <c r="B1591" t="str">
        <f t="shared" si="183"/>
        <v>2005</v>
      </c>
      <c r="C1591" t="str">
        <f t="shared" si="184"/>
        <v>Syngress</v>
      </c>
      <c r="D1591" t="str">
        <f t="shared" si="185"/>
        <v>James C. Foster</v>
      </c>
      <c r="E1591" s="3" t="str">
        <f t="shared" si="186"/>
        <v/>
      </c>
      <c r="F1591" t="str">
        <f t="shared" si="187"/>
        <v>.pdf</v>
      </c>
      <c r="G1591">
        <f t="shared" si="188"/>
        <v>91</v>
      </c>
      <c r="H1591" s="3">
        <f>LEN(Table1[[#This Row],[Auteur]])</f>
        <v>15</v>
      </c>
      <c r="I1591" s="3" t="str">
        <f t="shared" si="189"/>
        <v>Buffer Overflow Attacks, Detect, Exploit, Prevent</v>
      </c>
    </row>
    <row r="1592" spans="1:9" x14ac:dyDescent="0.45">
      <c r="A1592" t="s">
        <v>379</v>
      </c>
      <c r="B1592" t="str">
        <f t="shared" si="183"/>
        <v>2000</v>
      </c>
      <c r="C1592" t="str">
        <f t="shared" si="184"/>
        <v>O'Reilly</v>
      </c>
      <c r="D1592" t="str">
        <f t="shared" si="185"/>
        <v>Zwicky, Cooper, Brent Chapman</v>
      </c>
      <c r="E1592" s="3" t="str">
        <f t="shared" si="186"/>
        <v/>
      </c>
      <c r="F1592" s="3" t="str">
        <f t="shared" si="187"/>
        <v>.pdf</v>
      </c>
      <c r="G1592">
        <f t="shared" si="188"/>
        <v>91</v>
      </c>
      <c r="H1592" s="3">
        <f>LEN(Table1[[#This Row],[Auteur]])</f>
        <v>29</v>
      </c>
      <c r="I1592" s="3" t="str">
        <f t="shared" si="189"/>
        <v>Building Internet Firewalls</v>
      </c>
    </row>
    <row r="1593" spans="1:9" x14ac:dyDescent="0.45">
      <c r="A1593" t="s">
        <v>1780</v>
      </c>
      <c r="B1593" t="str">
        <f t="shared" si="183"/>
        <v>2007</v>
      </c>
      <c r="C1593" t="str">
        <f t="shared" si="184"/>
        <v>Syngress</v>
      </c>
      <c r="D1593" t="str">
        <f t="shared" si="185"/>
        <v>Paul Crowley</v>
      </c>
      <c r="E1593" s="3" t="str">
        <f t="shared" si="186"/>
        <v/>
      </c>
      <c r="F1593" s="3" t="str">
        <f t="shared" si="187"/>
        <v>.pdf</v>
      </c>
      <c r="G1593">
        <f t="shared" si="188"/>
        <v>59</v>
      </c>
      <c r="H1593" s="3">
        <f>LEN(Table1[[#This Row],[Auteur]])</f>
        <v>12</v>
      </c>
      <c r="I1593" s="3" t="str">
        <f t="shared" si="189"/>
        <v>CD And DVD Forensics</v>
      </c>
    </row>
    <row r="1594" spans="1:9" x14ac:dyDescent="0.45">
      <c r="A1594" t="s">
        <v>380</v>
      </c>
      <c r="B1594" t="str">
        <f t="shared" si="183"/>
        <v>2005</v>
      </c>
      <c r="C1594" t="str">
        <f t="shared" si="184"/>
        <v>Springer</v>
      </c>
      <c r="D1594" t="str">
        <f t="shared" si="185"/>
        <v>Andreas Uhl, Andreas Pommer</v>
      </c>
      <c r="E1594" s="3" t="str">
        <f t="shared" si="186"/>
        <v/>
      </c>
      <c r="F1594" s="3" t="str">
        <f t="shared" si="187"/>
        <v>.pdf</v>
      </c>
      <c r="G1594">
        <f t="shared" si="188"/>
        <v>80</v>
      </c>
      <c r="H1594" s="3">
        <f>LEN(Table1[[#This Row],[Auteur]])</f>
        <v>27</v>
      </c>
      <c r="I1594" s="3" t="str">
        <f t="shared" si="189"/>
        <v>Image and Video Encryption</v>
      </c>
    </row>
    <row r="1595" spans="1:9" x14ac:dyDescent="0.45">
      <c r="A1595" t="s">
        <v>381</v>
      </c>
      <c r="B1595" t="str">
        <f t="shared" si="183"/>
        <v>2010</v>
      </c>
      <c r="C1595" t="str">
        <f t="shared" si="184"/>
        <v>McGraw-Hill</v>
      </c>
      <c r="D1595" t="str">
        <f t="shared" si="185"/>
        <v>Lance Hayden</v>
      </c>
      <c r="E1595" s="3" t="str">
        <f t="shared" si="186"/>
        <v/>
      </c>
      <c r="F1595" s="3" t="str">
        <f t="shared" si="187"/>
        <v>.pdf</v>
      </c>
      <c r="G1595">
        <f t="shared" si="188"/>
        <v>61</v>
      </c>
      <c r="H1595" s="3">
        <f>LEN(Table1[[#This Row],[Auteur]])</f>
        <v>12</v>
      </c>
      <c r="I1595" s="3" t="str">
        <f t="shared" si="189"/>
        <v>IT Security Metrics</v>
      </c>
    </row>
    <row r="1596" spans="1:9" x14ac:dyDescent="0.45">
      <c r="A1596" t="s">
        <v>382</v>
      </c>
      <c r="B1596" t="str">
        <f t="shared" si="183"/>
        <v>?</v>
      </c>
      <c r="C1596" t="str">
        <f t="shared" si="184"/>
        <v>Edigo</v>
      </c>
      <c r="D1596" t="str">
        <f t="shared" si="185"/>
        <v>?</v>
      </c>
      <c r="E1596" s="3" t="str">
        <f t="shared" si="186"/>
        <v>Scan</v>
      </c>
      <c r="F1596" t="str">
        <f t="shared" si="187"/>
        <v>.pdf</v>
      </c>
      <c r="G1596">
        <f t="shared" si="188"/>
        <v>41</v>
      </c>
      <c r="H1596" s="3">
        <f>LEN(Table1[[#This Row],[Auteur]])</f>
        <v>1</v>
      </c>
      <c r="I1596" s="3" t="str">
        <f t="shared" si="189"/>
        <v>Le piratage de A à Z</v>
      </c>
    </row>
    <row r="1597" spans="1:9" x14ac:dyDescent="0.45">
      <c r="A1597" t="s">
        <v>1820</v>
      </c>
      <c r="B1597" t="str">
        <f t="shared" si="183"/>
        <v>2002</v>
      </c>
      <c r="C1597" t="str">
        <f t="shared" si="184"/>
        <v>Sams</v>
      </c>
      <c r="D1597" t="str">
        <f t="shared" si="185"/>
        <v>?</v>
      </c>
      <c r="E1597" s="3" t="str">
        <f t="shared" si="186"/>
        <v/>
      </c>
      <c r="F1597" s="3" t="str">
        <f t="shared" si="187"/>
        <v>.pdf</v>
      </c>
      <c r="G1597">
        <f t="shared" si="188"/>
        <v>43</v>
      </c>
      <c r="H1597" s="3">
        <f>LEN(Table1[[#This Row],[Auteur]])</f>
        <v>1</v>
      </c>
      <c r="I1597" s="3" t="str">
        <f t="shared" si="189"/>
        <v>Maximum Apache Security</v>
      </c>
    </row>
    <row r="1598" spans="1:9" x14ac:dyDescent="0.45">
      <c r="A1598" t="s">
        <v>1821</v>
      </c>
      <c r="B1598" t="str">
        <f t="shared" si="183"/>
        <v>2001</v>
      </c>
      <c r="C1598" t="str">
        <f t="shared" si="184"/>
        <v>Sams</v>
      </c>
      <c r="D1598" t="str">
        <f t="shared" si="185"/>
        <v>?</v>
      </c>
      <c r="E1598" s="3" t="str">
        <f t="shared" si="186"/>
        <v/>
      </c>
      <c r="F1598" s="3" t="str">
        <f t="shared" si="187"/>
        <v>.pdf</v>
      </c>
      <c r="G1598">
        <f t="shared" si="188"/>
        <v>50</v>
      </c>
      <c r="H1598" s="3">
        <f>LEN(Table1[[#This Row],[Auteur]])</f>
        <v>1</v>
      </c>
      <c r="I1598" s="3" t="str">
        <f t="shared" si="189"/>
        <v>Maximum Linux Security</v>
      </c>
    </row>
    <row r="1599" spans="1:9" x14ac:dyDescent="0.45">
      <c r="A1599" t="s">
        <v>383</v>
      </c>
      <c r="B1599" t="str">
        <f t="shared" si="183"/>
        <v>2002</v>
      </c>
      <c r="C1599" t="str">
        <f t="shared" si="184"/>
        <v>O'Reilly</v>
      </c>
      <c r="D1599" t="str">
        <f t="shared" si="185"/>
        <v>Pravir Chandra, Matt Messier, John Viega</v>
      </c>
      <c r="E1599" s="3" t="str">
        <f t="shared" si="186"/>
        <v>Dump</v>
      </c>
      <c r="F1599" t="str">
        <f t="shared" si="187"/>
        <v>.pdf</v>
      </c>
      <c r="G1599">
        <f t="shared" si="188"/>
        <v>103</v>
      </c>
      <c r="H1599" s="3">
        <f>LEN(Table1[[#This Row],[Auteur]])</f>
        <v>40</v>
      </c>
      <c r="I1599" s="3" t="str">
        <f t="shared" si="189"/>
        <v>Network Security with OpenSSL</v>
      </c>
    </row>
    <row r="1600" spans="1:9" x14ac:dyDescent="0.45">
      <c r="A1600" t="s">
        <v>384</v>
      </c>
      <c r="B1600" t="str">
        <f t="shared" si="183"/>
        <v>2006</v>
      </c>
      <c r="C1600" t="str">
        <f t="shared" si="184"/>
        <v>No Starch</v>
      </c>
      <c r="D1600" t="str">
        <f t="shared" si="185"/>
        <v>Michael W. Lucas</v>
      </c>
      <c r="E1600" s="3" t="str">
        <f t="shared" si="186"/>
        <v/>
      </c>
      <c r="F1600" t="str">
        <f t="shared" si="187"/>
        <v>.pdf</v>
      </c>
      <c r="G1600">
        <f t="shared" si="188"/>
        <v>86</v>
      </c>
      <c r="H1600" s="3">
        <f>LEN(Table1[[#This Row],[Auteur]])</f>
        <v>16</v>
      </c>
      <c r="I1600" s="3" t="str">
        <f t="shared" si="189"/>
        <v>PGP &amp; GPG Email for the Practical Paranoid</v>
      </c>
    </row>
    <row r="1601" spans="1:9" x14ac:dyDescent="0.45">
      <c r="A1601" t="s">
        <v>385</v>
      </c>
      <c r="B1601" t="str">
        <f t="shared" si="183"/>
        <v>2012</v>
      </c>
      <c r="C1601" t="str">
        <f t="shared" si="184"/>
        <v>Eyrolles</v>
      </c>
      <c r="D1601" t="str">
        <f t="shared" si="185"/>
        <v>Dimitri Mouton</v>
      </c>
      <c r="E1601" s="3" t="str">
        <f t="shared" si="186"/>
        <v/>
      </c>
      <c r="F1601" s="3" t="str">
        <f t="shared" si="187"/>
        <v>.pdf</v>
      </c>
      <c r="G1601">
        <f t="shared" si="188"/>
        <v>73</v>
      </c>
      <c r="H1601" s="3">
        <f>LEN(Table1[[#This Row],[Auteur]])</f>
        <v>14</v>
      </c>
      <c r="I1601" s="3" t="str">
        <f t="shared" si="189"/>
        <v>Sécurité de la dématérialisation</v>
      </c>
    </row>
    <row r="1602" spans="1:9" x14ac:dyDescent="0.45">
      <c r="A1602" t="s">
        <v>386</v>
      </c>
      <c r="B1602" t="str">
        <f t="shared" ref="B1602:B1665" si="190">DatePub(A1602)</f>
        <v>2013</v>
      </c>
      <c r="C1602" t="str">
        <f t="shared" ref="C1602:C1665" si="191">Editeur(A1602)</f>
        <v>Eyrolles</v>
      </c>
      <c r="D1602" t="str">
        <f t="shared" ref="D1602:D1665" si="192">Auteur(A1602)</f>
        <v>Laurent Bloch, Christophe Wolfhugel</v>
      </c>
      <c r="E1602" s="3" t="str">
        <f t="shared" ref="E1602:E1665" si="193">ExtraInfo(A1602)</f>
        <v/>
      </c>
      <c r="F1602" t="str">
        <f t="shared" ref="F1602:F1665" si="194">Extension(A1602)</f>
        <v>.pdf</v>
      </c>
      <c r="G1602">
        <f t="shared" ref="G1602:G1665" si="195">LenFileName(A1602)</f>
        <v>131</v>
      </c>
      <c r="H1602" s="3">
        <f>LEN(Table1[[#This Row],[Auteur]])</f>
        <v>35</v>
      </c>
      <c r="I1602" s="3" t="str">
        <f t="shared" ref="I1602:I1643" si="196">Title(A1602)</f>
        <v>Sécurité informatique, Principes et méthodes à l'usage des DSI</v>
      </c>
    </row>
    <row r="1603" spans="1:9" x14ac:dyDescent="0.45">
      <c r="A1603" t="s">
        <v>387</v>
      </c>
      <c r="B1603" t="str">
        <f t="shared" si="190"/>
        <v>2000</v>
      </c>
      <c r="C1603" t="str">
        <f t="shared" si="191"/>
        <v>Wiley</v>
      </c>
      <c r="D1603" t="str">
        <f t="shared" si="192"/>
        <v>Stephen Thomas</v>
      </c>
      <c r="E1603" s="3" t="str">
        <f t="shared" si="193"/>
        <v/>
      </c>
      <c r="F1603" t="str">
        <f t="shared" si="194"/>
        <v>.pdf</v>
      </c>
      <c r="G1603">
        <f t="shared" si="195"/>
        <v>78</v>
      </c>
      <c r="H1603" s="3">
        <f>LEN(Table1[[#This Row],[Auteur]])</f>
        <v>14</v>
      </c>
      <c r="I1603" s="3" t="str">
        <f t="shared" si="196"/>
        <v>SSL and TLS Essentials, Securing the Web</v>
      </c>
    </row>
    <row r="1604" spans="1:9" x14ac:dyDescent="0.45">
      <c r="A1604" t="s">
        <v>1822</v>
      </c>
      <c r="B1604" t="str">
        <f t="shared" si="190"/>
        <v>2008</v>
      </c>
      <c r="C1604" t="str">
        <f t="shared" si="191"/>
        <v>?</v>
      </c>
      <c r="D1604" t="str">
        <f t="shared" si="192"/>
        <v>James</v>
      </c>
      <c r="E1604" s="3" t="str">
        <f t="shared" si="193"/>
        <v/>
      </c>
      <c r="F1604" s="3" t="str">
        <f t="shared" si="194"/>
        <v>.pdf</v>
      </c>
      <c r="G1604">
        <f t="shared" si="195"/>
        <v>108</v>
      </c>
      <c r="H1604" s="3">
        <f>LEN(Table1[[#This Row],[Auteur]])</f>
        <v>5</v>
      </c>
      <c r="I1604" s="3" t="str">
        <f t="shared" si="196"/>
        <v>Télécommunications et écoutes, Étude sur la confidentialité des communications à distance</v>
      </c>
    </row>
    <row r="1605" spans="1:9" x14ac:dyDescent="0.45">
      <c r="A1605" t="s">
        <v>354</v>
      </c>
      <c r="B1605" t="str">
        <f t="shared" si="190"/>
        <v>2003</v>
      </c>
      <c r="C1605" t="str">
        <f t="shared" si="191"/>
        <v>Wiley</v>
      </c>
      <c r="D1605" t="str">
        <f t="shared" si="192"/>
        <v>Kevin D. Mitnick, William L. Simon</v>
      </c>
      <c r="E1605" s="3" t="str">
        <f t="shared" si="193"/>
        <v/>
      </c>
      <c r="F1605" s="3" t="str">
        <f t="shared" si="194"/>
        <v>.pdf</v>
      </c>
      <c r="G1605">
        <f t="shared" si="195"/>
        <v>121</v>
      </c>
      <c r="H1605" s="3">
        <f>LEN(Table1[[#This Row],[Auteur]])</f>
        <v>34</v>
      </c>
      <c r="I1605" s="3" t="str">
        <f t="shared" si="196"/>
        <v>The Art of Deception, Controlling the Human Element of Security</v>
      </c>
    </row>
    <row r="1606" spans="1:9" x14ac:dyDescent="0.45">
      <c r="A1606" t="s">
        <v>388</v>
      </c>
      <c r="B1606" t="str">
        <f t="shared" si="190"/>
        <v>2005</v>
      </c>
      <c r="C1606" t="str">
        <f t="shared" si="191"/>
        <v>Wiley</v>
      </c>
      <c r="D1606" t="str">
        <f t="shared" si="192"/>
        <v>Kevin D. Mitnick, William L. Simon</v>
      </c>
      <c r="E1606" s="3" t="str">
        <f t="shared" si="193"/>
        <v/>
      </c>
      <c r="F1606" s="3" t="str">
        <f t="shared" si="194"/>
        <v>.pdf</v>
      </c>
      <c r="G1606">
        <f t="shared" si="195"/>
        <v>78</v>
      </c>
      <c r="H1606" s="3">
        <f>LEN(Table1[[#This Row],[Auteur]])</f>
        <v>34</v>
      </c>
      <c r="I1606" s="3" t="str">
        <f t="shared" si="196"/>
        <v>The Art of Intrusion</v>
      </c>
    </row>
    <row r="1607" spans="1:9" x14ac:dyDescent="0.45">
      <c r="A1607" t="s">
        <v>355</v>
      </c>
      <c r="B1607" t="str">
        <f t="shared" si="190"/>
        <v>2013</v>
      </c>
      <c r="C1607" t="str">
        <f t="shared" si="191"/>
        <v>Dunod</v>
      </c>
      <c r="D1607" t="str">
        <f t="shared" si="192"/>
        <v>Pillou, Bay</v>
      </c>
      <c r="E1607" s="3" t="str">
        <f t="shared" si="193"/>
        <v/>
      </c>
      <c r="F1607" t="str">
        <f t="shared" si="194"/>
        <v>.pdf</v>
      </c>
      <c r="G1607">
        <f t="shared" si="195"/>
        <v>75</v>
      </c>
      <c r="H1607" s="3">
        <f>LEN(Table1[[#This Row],[Auteur]])</f>
        <v>11</v>
      </c>
      <c r="I1607" s="3" t="str">
        <f t="shared" si="196"/>
        <v>Tout sur la sécurité informatique</v>
      </c>
    </row>
    <row r="1608" spans="1:9" x14ac:dyDescent="0.45">
      <c r="A1608" t="s">
        <v>356</v>
      </c>
      <c r="B1608" t="str">
        <f t="shared" si="190"/>
        <v>2016</v>
      </c>
      <c r="C1608" t="str">
        <f t="shared" si="191"/>
        <v>Dunod</v>
      </c>
      <c r="D1608" t="str">
        <f t="shared" si="192"/>
        <v>Pillou, Bay</v>
      </c>
      <c r="E1608" s="3" t="str">
        <f t="shared" si="193"/>
        <v/>
      </c>
      <c r="F1608" t="str">
        <f t="shared" si="194"/>
        <v>.pdf</v>
      </c>
      <c r="G1608">
        <f t="shared" si="195"/>
        <v>75</v>
      </c>
      <c r="H1608" s="3">
        <f>LEN(Table1[[#This Row],[Auteur]])</f>
        <v>11</v>
      </c>
      <c r="I1608" s="3" t="str">
        <f t="shared" si="196"/>
        <v>Tout sur la sécurité informatique</v>
      </c>
    </row>
    <row r="1609" spans="1:9" x14ac:dyDescent="0.45">
      <c r="A1609" t="s">
        <v>357</v>
      </c>
      <c r="B1609" t="str">
        <f t="shared" si="190"/>
        <v>2009</v>
      </c>
      <c r="C1609" t="str">
        <f t="shared" si="191"/>
        <v>Springer</v>
      </c>
      <c r="D1609" t="str">
        <f t="shared" si="192"/>
        <v>Éric Filiol</v>
      </c>
      <c r="E1609" s="3" t="str">
        <f t="shared" si="193"/>
        <v/>
      </c>
      <c r="F1609" s="3" t="str">
        <f t="shared" si="194"/>
        <v>.pdf</v>
      </c>
      <c r="G1609">
        <f t="shared" si="195"/>
        <v>64</v>
      </c>
      <c r="H1609" s="3">
        <f>LEN(Table1[[#This Row],[Auteur]])</f>
        <v>11</v>
      </c>
      <c r="I1609" s="3" t="str">
        <f t="shared" si="196"/>
        <v>Virus informatiques</v>
      </c>
    </row>
    <row r="1610" spans="1:9" x14ac:dyDescent="0.45">
      <c r="A1610" t="s">
        <v>1781</v>
      </c>
      <c r="B1610" t="str">
        <f t="shared" si="190"/>
        <v>2005</v>
      </c>
      <c r="C1610" t="str">
        <f t="shared" si="191"/>
        <v>Springer</v>
      </c>
      <c r="D1610" t="str">
        <f t="shared" si="192"/>
        <v>Markus Jakobsson, Moti Yung, Jianying Zhou</v>
      </c>
      <c r="E1610" s="3" t="str">
        <f t="shared" si="193"/>
        <v/>
      </c>
      <c r="F1610" t="str">
        <f t="shared" si="194"/>
        <v>.pdf</v>
      </c>
      <c r="G1610">
        <f t="shared" si="195"/>
        <v>110</v>
      </c>
      <c r="H1610" s="3">
        <f>LEN(Table1[[#This Row],[Auteur]])</f>
        <v>42</v>
      </c>
      <c r="I1610" s="3" t="str">
        <f t="shared" si="196"/>
        <v>Applied Cryptography and Network Security</v>
      </c>
    </row>
    <row r="1611" spans="1:9" x14ac:dyDescent="0.45">
      <c r="A1611" t="s">
        <v>1782</v>
      </c>
      <c r="B1611" t="str">
        <f t="shared" si="190"/>
        <v>2006</v>
      </c>
      <c r="C1611" t="str">
        <f t="shared" si="191"/>
        <v>Cambridge</v>
      </c>
      <c r="D1611" t="str">
        <f t="shared" si="192"/>
        <v>John Talbot, Dominic Welsh</v>
      </c>
      <c r="E1611" s="3" t="str">
        <f t="shared" si="193"/>
        <v/>
      </c>
      <c r="F1611" t="str">
        <f t="shared" si="194"/>
        <v>.pdf</v>
      </c>
      <c r="G1611">
        <f t="shared" si="195"/>
        <v>98</v>
      </c>
      <c r="H1611" s="3">
        <f>LEN(Table1[[#This Row],[Auteur]])</f>
        <v>26</v>
      </c>
      <c r="I1611" s="3" t="str">
        <f t="shared" si="196"/>
        <v>Complexity and Cryptography, An Introduction</v>
      </c>
    </row>
    <row r="1612" spans="1:9" x14ac:dyDescent="0.45">
      <c r="A1612" t="s">
        <v>1783</v>
      </c>
      <c r="B1612" t="str">
        <f t="shared" si="190"/>
        <v>2005</v>
      </c>
      <c r="C1612" t="str">
        <f t="shared" si="191"/>
        <v>Artech House</v>
      </c>
      <c r="D1612" t="str">
        <f t="shared" si="192"/>
        <v>Rolf Oppliger</v>
      </c>
      <c r="E1612" s="3" t="str">
        <f t="shared" si="193"/>
        <v/>
      </c>
      <c r="F1612" s="3" t="str">
        <f t="shared" si="194"/>
        <v>.pdf</v>
      </c>
      <c r="G1612">
        <f t="shared" si="195"/>
        <v>69</v>
      </c>
      <c r="H1612" s="3">
        <f>LEN(Table1[[#This Row],[Auteur]])</f>
        <v>13</v>
      </c>
      <c r="I1612" s="3" t="str">
        <f t="shared" si="196"/>
        <v>Contemporary Cryptography</v>
      </c>
    </row>
    <row r="1613" spans="1:9" x14ac:dyDescent="0.45">
      <c r="A1613" t="s">
        <v>1784</v>
      </c>
      <c r="B1613" t="str">
        <f t="shared" si="190"/>
        <v>2010</v>
      </c>
      <c r="C1613" t="str">
        <f t="shared" si="191"/>
        <v>Wiley</v>
      </c>
      <c r="D1613" t="str">
        <f t="shared" si="192"/>
        <v>Denise Sutherland, Mark E. Koltko-Rivera</v>
      </c>
      <c r="E1613" t="str">
        <f t="shared" si="193"/>
        <v/>
      </c>
      <c r="F1613" t="str">
        <f t="shared" si="194"/>
        <v>.pdf</v>
      </c>
      <c r="G1613">
        <f t="shared" si="195"/>
        <v>106</v>
      </c>
      <c r="H1613" s="3">
        <f>LEN(Table1[[#This Row],[Auteur]])</f>
        <v>40</v>
      </c>
      <c r="I1613" s="3" t="str">
        <f t="shared" si="196"/>
        <v>Cracking Codes and Cryptograms for Dummies</v>
      </c>
    </row>
    <row r="1614" spans="1:9" x14ac:dyDescent="0.45">
      <c r="A1614" t="s">
        <v>1785</v>
      </c>
      <c r="B1614" t="str">
        <f t="shared" si="190"/>
        <v>2002</v>
      </c>
      <c r="C1614" t="str">
        <f t="shared" si="191"/>
        <v>Penguin</v>
      </c>
      <c r="D1614" t="str">
        <f t="shared" si="192"/>
        <v>Steven Levy</v>
      </c>
      <c r="E1614" s="3" t="str">
        <f t="shared" si="193"/>
        <v/>
      </c>
      <c r="F1614" s="3" t="str">
        <f t="shared" si="194"/>
        <v>.pdf</v>
      </c>
      <c r="G1614">
        <f t="shared" si="195"/>
        <v>118</v>
      </c>
      <c r="H1614" s="3">
        <f>LEN(Table1[[#This Row],[Auteur]])</f>
        <v>11</v>
      </c>
      <c r="I1614" s="3" t="str">
        <f t="shared" si="196"/>
        <v>Crypto, How the Code Rebels Beat the Government Saving Privacy in the Digital Age</v>
      </c>
    </row>
    <row r="1615" spans="1:9" x14ac:dyDescent="0.45">
      <c r="A1615" t="s">
        <v>1786</v>
      </c>
      <c r="B1615" t="str">
        <f t="shared" si="190"/>
        <v>2006</v>
      </c>
      <c r="C1615" t="str">
        <f t="shared" si="191"/>
        <v>Prentice Hall</v>
      </c>
      <c r="D1615" t="str">
        <f t="shared" si="192"/>
        <v>William Stallings</v>
      </c>
      <c r="E1615" s="3" t="str">
        <f t="shared" si="193"/>
        <v>Webdump</v>
      </c>
      <c r="F1615" t="str">
        <f t="shared" si="194"/>
        <v>.pdf</v>
      </c>
      <c r="G1615">
        <f t="shared" si="195"/>
        <v>126</v>
      </c>
      <c r="H1615" s="3">
        <f>LEN(Table1[[#This Row],[Auteur]])</f>
        <v>17</v>
      </c>
      <c r="I1615" s="3" t="str">
        <f t="shared" si="196"/>
        <v>Cryptography and Network Security, Principles and Practices</v>
      </c>
    </row>
    <row r="1616" spans="1:9" x14ac:dyDescent="0.45">
      <c r="A1616" t="s">
        <v>1787</v>
      </c>
      <c r="B1616" t="str">
        <f t="shared" si="190"/>
        <v>2011</v>
      </c>
      <c r="C1616" t="str">
        <f t="shared" si="191"/>
        <v>Prentice Hall</v>
      </c>
      <c r="D1616" t="str">
        <f t="shared" si="192"/>
        <v>William Stallings</v>
      </c>
      <c r="E1616" s="3" t="str">
        <f t="shared" si="193"/>
        <v/>
      </c>
      <c r="F1616" t="str">
        <f t="shared" si="194"/>
        <v>.pdf</v>
      </c>
      <c r="G1616">
        <f t="shared" si="195"/>
        <v>116</v>
      </c>
      <c r="H1616" s="3">
        <f>LEN(Table1[[#This Row],[Auteur]])</f>
        <v>17</v>
      </c>
      <c r="I1616" s="3" t="str">
        <f t="shared" si="196"/>
        <v>Cryptography and Network Security, Principles and Practices</v>
      </c>
    </row>
    <row r="1617" spans="1:9" x14ac:dyDescent="0.45">
      <c r="A1617" t="s">
        <v>1788</v>
      </c>
      <c r="B1617" t="str">
        <f t="shared" si="190"/>
        <v>2001</v>
      </c>
      <c r="C1617" t="str">
        <f t="shared" si="191"/>
        <v>Wiley</v>
      </c>
      <c r="D1617" t="str">
        <f t="shared" si="192"/>
        <v>Klaus Schmeh</v>
      </c>
      <c r="E1617" s="3" t="str">
        <f t="shared" si="193"/>
        <v/>
      </c>
      <c r="F1617" t="str">
        <f t="shared" si="194"/>
        <v>.pdf</v>
      </c>
      <c r="G1617">
        <f t="shared" si="195"/>
        <v>94</v>
      </c>
      <c r="H1617" s="3">
        <f>LEN(Table1[[#This Row],[Auteur]])</f>
        <v>12</v>
      </c>
      <c r="I1617" s="3" t="str">
        <f t="shared" si="196"/>
        <v>Cryptography and Public Key Infrastructure on the Internet</v>
      </c>
    </row>
    <row r="1618" spans="1:9" x14ac:dyDescent="0.45">
      <c r="A1618" t="s">
        <v>1789</v>
      </c>
      <c r="B1618" t="str">
        <f t="shared" si="190"/>
        <v>2007</v>
      </c>
      <c r="C1618" t="str">
        <f t="shared" si="191"/>
        <v>Syngress</v>
      </c>
      <c r="D1618" t="str">
        <f t="shared" si="192"/>
        <v>Tom St Denis</v>
      </c>
      <c r="E1618" s="3" t="str">
        <f t="shared" si="193"/>
        <v/>
      </c>
      <c r="F1618" s="3" t="str">
        <f t="shared" si="194"/>
        <v>.pdf</v>
      </c>
      <c r="G1618" s="3">
        <f t="shared" si="195"/>
        <v>66</v>
      </c>
      <c r="H1618" s="3">
        <f>LEN(Table1[[#This Row],[Auteur]])</f>
        <v>12</v>
      </c>
      <c r="I1618" s="3" t="str">
        <f t="shared" si="196"/>
        <v>Cryptography for Developers</v>
      </c>
    </row>
    <row r="1619" spans="1:9" x14ac:dyDescent="0.45">
      <c r="A1619" t="s">
        <v>1790</v>
      </c>
      <c r="B1619" t="str">
        <f t="shared" si="190"/>
        <v>1995</v>
      </c>
      <c r="C1619" t="str">
        <f t="shared" si="191"/>
        <v>CRC Press</v>
      </c>
      <c r="D1619" t="str">
        <f t="shared" si="192"/>
        <v>Douglas Stinson</v>
      </c>
      <c r="E1619" s="3" t="str">
        <f t="shared" si="193"/>
        <v>Dump</v>
      </c>
      <c r="F1619" t="str">
        <f t="shared" si="194"/>
        <v>.pdf</v>
      </c>
      <c r="G1619">
        <f t="shared" si="195"/>
        <v>83</v>
      </c>
      <c r="H1619" s="3">
        <f>LEN(Table1[[#This Row],[Auteur]])</f>
        <v>15</v>
      </c>
      <c r="I1619" s="3" t="str">
        <f t="shared" si="196"/>
        <v>Cryptography, Theory and Practice</v>
      </c>
    </row>
    <row r="1620" spans="1:9" x14ac:dyDescent="0.45">
      <c r="A1620" t="s">
        <v>1791</v>
      </c>
      <c r="B1620" t="str">
        <f t="shared" si="190"/>
        <v>2011</v>
      </c>
      <c r="C1620" t="str">
        <f t="shared" si="191"/>
        <v>Springer</v>
      </c>
      <c r="D1620" t="str">
        <f t="shared" si="192"/>
        <v>Henk van Tilborg, Sushil Jajodia</v>
      </c>
      <c r="E1620" s="3" t="str">
        <f t="shared" si="193"/>
        <v/>
      </c>
      <c r="F1620" t="str">
        <f t="shared" si="194"/>
        <v>.pdf</v>
      </c>
      <c r="G1620">
        <f t="shared" si="195"/>
        <v>108</v>
      </c>
      <c r="H1620" s="3">
        <f>LEN(Table1[[#This Row],[Auteur]])</f>
        <v>32</v>
      </c>
      <c r="I1620" s="3" t="str">
        <f t="shared" si="196"/>
        <v>Encyclopedia of Cryptography and Security</v>
      </c>
    </row>
    <row r="1621" spans="1:9" x14ac:dyDescent="0.45">
      <c r="A1621" t="s">
        <v>1792</v>
      </c>
      <c r="B1621" t="str">
        <f t="shared" si="190"/>
        <v>2005</v>
      </c>
      <c r="C1621" t="str">
        <f t="shared" si="191"/>
        <v>Now</v>
      </c>
      <c r="D1621" t="str">
        <f t="shared" si="192"/>
        <v>Oded Goldreich</v>
      </c>
      <c r="E1621" s="3" t="str">
        <f t="shared" si="193"/>
        <v/>
      </c>
      <c r="F1621" t="str">
        <f t="shared" si="194"/>
        <v>.pdf</v>
      </c>
      <c r="G1621">
        <f t="shared" si="195"/>
        <v>73</v>
      </c>
      <c r="H1621" s="3">
        <f>LEN(Table1[[#This Row],[Auteur]])</f>
        <v>14</v>
      </c>
      <c r="I1621" s="3" t="str">
        <f t="shared" si="196"/>
        <v>Foundations of Cryptography, A Primer</v>
      </c>
    </row>
    <row r="1622" spans="1:9" x14ac:dyDescent="0.45">
      <c r="A1622" t="s">
        <v>1793</v>
      </c>
      <c r="B1622" t="str">
        <f t="shared" si="190"/>
        <v>2004</v>
      </c>
      <c r="C1622" t="str">
        <f t="shared" si="191"/>
        <v>Springer</v>
      </c>
      <c r="D1622" t="str">
        <f t="shared" si="192"/>
        <v>Darrel Hankerson, Alfred Menezes, Scott Vanstone</v>
      </c>
      <c r="E1622" s="3" t="str">
        <f t="shared" si="193"/>
        <v/>
      </c>
      <c r="F1622" t="str">
        <f t="shared" si="194"/>
        <v>.pdf</v>
      </c>
      <c r="G1622">
        <f t="shared" si="195"/>
        <v>111</v>
      </c>
      <c r="H1622" s="3">
        <f>LEN(Table1[[#This Row],[Auteur]])</f>
        <v>48</v>
      </c>
      <c r="I1622" s="3" t="str">
        <f t="shared" si="196"/>
        <v>Guide to Elliptic Curve Cryptography</v>
      </c>
    </row>
    <row r="1623" spans="1:9" x14ac:dyDescent="0.45">
      <c r="A1623" t="s">
        <v>1794</v>
      </c>
      <c r="B1623" t="str">
        <f t="shared" si="190"/>
        <v>1996</v>
      </c>
      <c r="C1623" t="str">
        <f t="shared" si="191"/>
        <v>CRC Press</v>
      </c>
      <c r="D1623" t="str">
        <f t="shared" si="192"/>
        <v>A. Menezes, P. van Oorschot, S. Vanstone</v>
      </c>
      <c r="E1623" s="3" t="str">
        <f t="shared" si="193"/>
        <v/>
      </c>
      <c r="F1623" s="3" t="str">
        <f t="shared" si="194"/>
        <v>.pdf</v>
      </c>
      <c r="G1623">
        <f t="shared" si="195"/>
        <v>100</v>
      </c>
      <c r="H1623" s="3">
        <f>LEN(Table1[[#This Row],[Auteur]])</f>
        <v>40</v>
      </c>
      <c r="I1623" s="3" t="str">
        <f t="shared" si="196"/>
        <v>Handbook of Applied Cryptography</v>
      </c>
    </row>
    <row r="1624" spans="1:9" x14ac:dyDescent="0.45">
      <c r="A1624" t="s">
        <v>1795</v>
      </c>
      <c r="B1624" t="str">
        <f t="shared" si="190"/>
        <v>2009</v>
      </c>
      <c r="C1624" t="str">
        <f t="shared" si="191"/>
        <v>Développez.com</v>
      </c>
      <c r="D1624" t="str">
        <f t="shared" si="192"/>
        <v>Raymond</v>
      </c>
      <c r="E1624" s="3" t="str">
        <f t="shared" si="193"/>
        <v/>
      </c>
      <c r="F1624" t="str">
        <f t="shared" si="194"/>
        <v>.pdf</v>
      </c>
      <c r="G1624">
        <f t="shared" si="195"/>
        <v>71</v>
      </c>
      <c r="H1624" s="3">
        <f>LEN(Table1[[#This Row],[Auteur]])</f>
        <v>7</v>
      </c>
      <c r="I1624" s="3" t="str">
        <f t="shared" si="196"/>
        <v>Introduction à la cryptographie</v>
      </c>
    </row>
    <row r="1625" spans="1:9" x14ac:dyDescent="0.45">
      <c r="A1625" t="s">
        <v>1796</v>
      </c>
      <c r="B1625" t="str">
        <f t="shared" si="190"/>
        <v>2003</v>
      </c>
      <c r="C1625" t="str">
        <f t="shared" si="191"/>
        <v>Jones &amp; Bartlett</v>
      </c>
      <c r="D1625" t="str">
        <f t="shared" si="192"/>
        <v>David Bishop</v>
      </c>
      <c r="E1625" s="3" t="str">
        <f t="shared" si="193"/>
        <v/>
      </c>
      <c r="F1625" s="3" t="str">
        <f t="shared" si="194"/>
        <v>.pdf</v>
      </c>
      <c r="G1625">
        <f t="shared" si="195"/>
        <v>93</v>
      </c>
      <c r="H1625" s="3">
        <f>LEN(Table1[[#This Row],[Auteur]])</f>
        <v>12</v>
      </c>
      <c r="I1625" s="3" t="str">
        <f t="shared" si="196"/>
        <v>Introduction to Cryptography with Java Applets</v>
      </c>
    </row>
    <row r="1626" spans="1:9" x14ac:dyDescent="0.45">
      <c r="A1626" t="s">
        <v>1797</v>
      </c>
      <c r="B1626" t="str">
        <f t="shared" si="190"/>
        <v>1998</v>
      </c>
      <c r="C1626" t="str">
        <f t="shared" si="191"/>
        <v>O'Reilly</v>
      </c>
      <c r="D1626" t="str">
        <f t="shared" si="192"/>
        <v>Jonathan Knudsen</v>
      </c>
      <c r="E1626" s="3" t="str">
        <f t="shared" si="193"/>
        <v/>
      </c>
      <c r="F1626" t="str">
        <f t="shared" si="194"/>
        <v>.pdf</v>
      </c>
      <c r="G1626">
        <f t="shared" si="195"/>
        <v>60</v>
      </c>
      <c r="H1626" s="3">
        <f>LEN(Table1[[#This Row],[Auteur]])</f>
        <v>16</v>
      </c>
      <c r="I1626" s="3" t="str">
        <f t="shared" si="196"/>
        <v>Java Cryptography</v>
      </c>
    </row>
    <row r="1627" spans="1:9" x14ac:dyDescent="0.45">
      <c r="A1627" t="s">
        <v>1798</v>
      </c>
      <c r="B1627" t="str">
        <f t="shared" si="190"/>
        <v>2004</v>
      </c>
      <c r="C1627" t="str">
        <f t="shared" si="191"/>
        <v>Wiley</v>
      </c>
      <c r="D1627" t="str">
        <f t="shared" si="192"/>
        <v>Adam Young, Moti Yung</v>
      </c>
      <c r="E1627" s="3" t="str">
        <f t="shared" si="193"/>
        <v/>
      </c>
      <c r="F1627" s="3" t="str">
        <f t="shared" si="194"/>
        <v>.pdf</v>
      </c>
      <c r="G1627">
        <f t="shared" si="195"/>
        <v>92</v>
      </c>
      <c r="H1627" s="3">
        <f>LEN(Table1[[#This Row],[Auteur]])</f>
        <v>21</v>
      </c>
      <c r="I1627" s="3" t="str">
        <f t="shared" si="196"/>
        <v>Malicious Cryptography, Exposing Cryptovirology</v>
      </c>
    </row>
    <row r="1628" spans="1:9" x14ac:dyDescent="0.45">
      <c r="A1628" t="s">
        <v>1799</v>
      </c>
      <c r="B1628" t="str">
        <f t="shared" si="190"/>
        <v>2003</v>
      </c>
      <c r="C1628" t="str">
        <f t="shared" si="191"/>
        <v>Prentice Hall</v>
      </c>
      <c r="D1628" t="str">
        <f t="shared" si="192"/>
        <v>Wenbo Mao</v>
      </c>
      <c r="E1628" s="3" t="str">
        <f t="shared" si="193"/>
        <v>Dump</v>
      </c>
      <c r="F1628" t="str">
        <f t="shared" si="194"/>
        <v>.pdf</v>
      </c>
      <c r="G1628">
        <f t="shared" si="195"/>
        <v>87</v>
      </c>
      <c r="H1628" s="3">
        <f>LEN(Table1[[#This Row],[Auteur]])</f>
        <v>9</v>
      </c>
      <c r="I1628" s="3" t="str">
        <f t="shared" si="196"/>
        <v>Modern Cryptography Theory and Practice</v>
      </c>
    </row>
    <row r="1629" spans="1:9" x14ac:dyDescent="0.45">
      <c r="A1629" t="s">
        <v>1800</v>
      </c>
      <c r="B1629" t="str">
        <f t="shared" si="190"/>
        <v>2014</v>
      </c>
      <c r="C1629" t="str">
        <f t="shared" si="191"/>
        <v>CRC Press</v>
      </c>
      <c r="D1629" t="str">
        <f t="shared" si="192"/>
        <v>Saiful Azad, Al-Sakib Khan Pathan</v>
      </c>
      <c r="E1629" s="3" t="str">
        <f t="shared" si="193"/>
        <v/>
      </c>
      <c r="F1629" t="str">
        <f t="shared" si="194"/>
        <v>.pdf</v>
      </c>
      <c r="G1629">
        <f t="shared" si="195"/>
        <v>125</v>
      </c>
      <c r="H1629" s="3">
        <f>LEN(Table1[[#This Row],[Auteur]])</f>
        <v>33</v>
      </c>
      <c r="I1629" s="3" t="str">
        <f t="shared" si="196"/>
        <v>Practical Cryptography, Algorithms and Implementations Using C++</v>
      </c>
    </row>
    <row r="1630" spans="1:9" x14ac:dyDescent="0.45">
      <c r="A1630" t="s">
        <v>1801</v>
      </c>
      <c r="B1630" t="str">
        <f t="shared" si="190"/>
        <v>2004</v>
      </c>
      <c r="C1630" t="str">
        <f t="shared" si="191"/>
        <v>Kluwer Academic Publishers</v>
      </c>
      <c r="D1630" t="str">
        <f t="shared" si="192"/>
        <v>Kefei Chen</v>
      </c>
      <c r="E1630" s="3" t="str">
        <f t="shared" si="193"/>
        <v/>
      </c>
      <c r="F1630" s="3" t="str">
        <f t="shared" si="194"/>
        <v>.pdf</v>
      </c>
      <c r="G1630" s="3">
        <f t="shared" si="195"/>
        <v>114</v>
      </c>
      <c r="H1630" s="3">
        <f>LEN(Table1[[#This Row],[Auteur]])</f>
        <v>10</v>
      </c>
      <c r="I1630" s="3" t="str">
        <f t="shared" si="196"/>
        <v>Progress on Cryptography, 25 Years of Cryptography in China</v>
      </c>
    </row>
    <row r="1631" spans="1:9" x14ac:dyDescent="0.45">
      <c r="A1631" t="s">
        <v>1802</v>
      </c>
      <c r="B1631" t="str">
        <f t="shared" si="190"/>
        <v>2006</v>
      </c>
      <c r="C1631" t="str">
        <f t="shared" si="191"/>
        <v>CRC Press</v>
      </c>
      <c r="D1631" t="str">
        <f t="shared" si="192"/>
        <v>Alexander V. Sergienko</v>
      </c>
      <c r="E1631" s="3" t="str">
        <f t="shared" si="193"/>
        <v/>
      </c>
      <c r="F1631" s="3" t="str">
        <f t="shared" si="194"/>
        <v>.pdf</v>
      </c>
      <c r="G1631" s="3">
        <f t="shared" si="195"/>
        <v>89</v>
      </c>
      <c r="H1631" s="3">
        <f>LEN(Table1[[#This Row],[Auteur]])</f>
        <v>22</v>
      </c>
      <c r="I1631" s="3" t="str">
        <f t="shared" si="196"/>
        <v>Quantum Communications and Cryptography</v>
      </c>
    </row>
    <row r="1632" spans="1:9" x14ac:dyDescent="0.45">
      <c r="A1632" t="s">
        <v>1803</v>
      </c>
      <c r="B1632" t="str">
        <f t="shared" si="190"/>
        <v>2011</v>
      </c>
      <c r="C1632" t="str">
        <f t="shared" si="191"/>
        <v>Springer</v>
      </c>
      <c r="D1632" t="str">
        <f t="shared" si="192"/>
        <v>Oded Goldreich et al</v>
      </c>
      <c r="E1632" s="3" t="str">
        <f t="shared" si="193"/>
        <v/>
      </c>
      <c r="F1632" t="str">
        <f t="shared" si="194"/>
        <v>.pdf</v>
      </c>
      <c r="G1632">
        <f t="shared" si="195"/>
        <v>85</v>
      </c>
      <c r="H1632" s="3">
        <f>LEN(Table1[[#This Row],[Auteur]])</f>
        <v>20</v>
      </c>
      <c r="I1632" s="3" t="str">
        <f t="shared" si="196"/>
        <v>Studies in Complexity and Cryptography</v>
      </c>
    </row>
    <row r="1633" spans="1:9" x14ac:dyDescent="0.45">
      <c r="A1633" t="s">
        <v>1804</v>
      </c>
      <c r="B1633" t="str">
        <f t="shared" si="190"/>
        <v>2012</v>
      </c>
      <c r="C1633" t="str">
        <f t="shared" si="191"/>
        <v>?</v>
      </c>
      <c r="D1633" t="str">
        <f t="shared" si="192"/>
        <v>?</v>
      </c>
      <c r="E1633" s="3" t="str">
        <f t="shared" si="193"/>
        <v/>
      </c>
      <c r="F1633" t="str">
        <f t="shared" si="194"/>
        <v>.pdf</v>
      </c>
      <c r="G1633">
        <f t="shared" si="195"/>
        <v>43</v>
      </c>
      <c r="H1633" s="3">
        <f>LEN(Table1[[#This Row],[Auteur]])</f>
        <v>1</v>
      </c>
      <c r="I1633" s="3" t="str">
        <f t="shared" si="196"/>
        <v>The CryptoParty handbook</v>
      </c>
    </row>
    <row r="1634" spans="1:9" x14ac:dyDescent="0.45">
      <c r="A1634" t="s">
        <v>1805</v>
      </c>
      <c r="B1634" t="str">
        <f t="shared" si="190"/>
        <v>2012</v>
      </c>
      <c r="C1634" t="str">
        <f t="shared" si="191"/>
        <v>CRC Press</v>
      </c>
      <c r="D1634" t="str">
        <f t="shared" si="192"/>
        <v>Stelvio Cimato, Ching-Nung Yang</v>
      </c>
      <c r="E1634" s="3" t="str">
        <f t="shared" si="193"/>
        <v/>
      </c>
      <c r="F1634" s="3" t="str">
        <f t="shared" si="194"/>
        <v>.pdf</v>
      </c>
      <c r="G1634">
        <f t="shared" si="195"/>
        <v>103</v>
      </c>
      <c r="H1634" s="3">
        <f>LEN(Table1[[#This Row],[Auteur]])</f>
        <v>31</v>
      </c>
      <c r="I1634" s="3" t="str">
        <f t="shared" si="196"/>
        <v>Visual Cryptography and Secret Image Sharing</v>
      </c>
    </row>
    <row r="1635" spans="1:9" x14ac:dyDescent="0.45">
      <c r="A1635" t="s">
        <v>1806</v>
      </c>
      <c r="B1635" t="str">
        <f t="shared" si="190"/>
        <v>2010</v>
      </c>
      <c r="C1635" t="str">
        <f t="shared" si="191"/>
        <v>Elsevier</v>
      </c>
      <c r="D1635" t="str">
        <f t="shared" si="192"/>
        <v>Jayson E. Street, Kent Nabors</v>
      </c>
      <c r="E1635" s="3" t="str">
        <f t="shared" si="193"/>
        <v/>
      </c>
      <c r="F1635" t="str">
        <f t="shared" si="194"/>
        <v>.pdf</v>
      </c>
      <c r="G1635">
        <f t="shared" si="195"/>
        <v>98</v>
      </c>
      <c r="H1635" s="3">
        <f>LEN(Table1[[#This Row],[Auteur]])</f>
        <v>29</v>
      </c>
      <c r="I1635" s="3" t="str">
        <f t="shared" si="196"/>
        <v>Dissecting the Hack, The F0rb1dd3n Network</v>
      </c>
    </row>
    <row r="1636" spans="1:9" x14ac:dyDescent="0.45">
      <c r="A1636" t="s">
        <v>1807</v>
      </c>
      <c r="B1636" t="str">
        <f t="shared" si="190"/>
        <v>2013</v>
      </c>
      <c r="C1636" t="str">
        <f t="shared" si="191"/>
        <v>Au Diable Vauvert</v>
      </c>
      <c r="D1636" t="str">
        <f t="shared" si="192"/>
        <v>Amaelle Guiton</v>
      </c>
      <c r="E1636" s="3" t="str">
        <f t="shared" si="193"/>
        <v/>
      </c>
      <c r="F1636" t="str">
        <f t="shared" si="194"/>
        <v>.pdf</v>
      </c>
      <c r="G1636">
        <f t="shared" si="195"/>
        <v>94</v>
      </c>
      <c r="H1636" s="3">
        <f>LEN(Table1[[#This Row],[Auteur]])</f>
        <v>14</v>
      </c>
      <c r="I1636" s="3" t="str">
        <f t="shared" si="196"/>
        <v>Hackers, Au coeur de la résistance numérique</v>
      </c>
    </row>
    <row r="1637" spans="1:9" x14ac:dyDescent="0.45">
      <c r="A1637" t="s">
        <v>1808</v>
      </c>
      <c r="B1637" t="str">
        <f t="shared" si="190"/>
        <v>2010</v>
      </c>
      <c r="C1637" t="str">
        <f t="shared" si="191"/>
        <v>Micro Application</v>
      </c>
      <c r="D1637" t="str">
        <f t="shared" si="192"/>
        <v>Alexandre Gomez-Urbina</v>
      </c>
      <c r="E1637" s="3" t="str">
        <f t="shared" si="193"/>
        <v/>
      </c>
      <c r="F1637" t="str">
        <f t="shared" si="194"/>
        <v>.pdf</v>
      </c>
      <c r="G1637">
        <f t="shared" si="195"/>
        <v>74</v>
      </c>
      <c r="H1637" s="3">
        <f>LEN(Table1[[#This Row],[Auteur]])</f>
        <v>22</v>
      </c>
      <c r="I1637" s="3" t="str">
        <f t="shared" si="196"/>
        <v>Hacking interdit</v>
      </c>
    </row>
    <row r="1638" spans="1:9" x14ac:dyDescent="0.45">
      <c r="A1638" t="s">
        <v>1809</v>
      </c>
      <c r="B1638" t="str">
        <f t="shared" si="190"/>
        <v>2005</v>
      </c>
      <c r="C1638" t="str">
        <f t="shared" si="191"/>
        <v>Wiley</v>
      </c>
      <c r="D1638" t="str">
        <f t="shared" si="192"/>
        <v>Beaver, Davis</v>
      </c>
      <c r="E1638" s="3" t="str">
        <f t="shared" si="193"/>
        <v/>
      </c>
      <c r="F1638" t="str">
        <f t="shared" si="194"/>
        <v>.epub</v>
      </c>
      <c r="G1638">
        <f t="shared" si="195"/>
        <v>75</v>
      </c>
      <c r="H1638" s="3">
        <f>LEN(Table1[[#This Row],[Auteur]])</f>
        <v>13</v>
      </c>
      <c r="I1638" s="3" t="str">
        <f t="shared" si="196"/>
        <v>Hacking Wireless Networks for Dummies</v>
      </c>
    </row>
    <row r="1639" spans="1:9" x14ac:dyDescent="0.45">
      <c r="A1639" t="s">
        <v>1810</v>
      </c>
      <c r="B1639" t="str">
        <f t="shared" si="190"/>
        <v>2005</v>
      </c>
      <c r="C1639" t="str">
        <f t="shared" si="191"/>
        <v>Wiley</v>
      </c>
      <c r="D1639" t="str">
        <f t="shared" si="192"/>
        <v>Beaver, Davis</v>
      </c>
      <c r="E1639" s="3" t="str">
        <f t="shared" si="193"/>
        <v/>
      </c>
      <c r="F1639" t="str">
        <f t="shared" si="194"/>
        <v>.pdf</v>
      </c>
      <c r="G1639">
        <f t="shared" si="195"/>
        <v>74</v>
      </c>
      <c r="H1639" s="3">
        <f>LEN(Table1[[#This Row],[Auteur]])</f>
        <v>13</v>
      </c>
      <c r="I1639" s="3" t="str">
        <f t="shared" si="196"/>
        <v>Hacking Wireless Networks for Dummies</v>
      </c>
    </row>
    <row r="1640" spans="1:9" x14ac:dyDescent="0.45">
      <c r="A1640" t="s">
        <v>1811</v>
      </c>
      <c r="B1640" t="str">
        <f t="shared" si="190"/>
        <v>2008</v>
      </c>
      <c r="C1640" t="str">
        <f t="shared" si="191"/>
        <v>No Starch</v>
      </c>
      <c r="D1640" t="str">
        <f t="shared" si="192"/>
        <v>Jon Erickson</v>
      </c>
      <c r="E1640" s="3" t="str">
        <f t="shared" si="193"/>
        <v/>
      </c>
      <c r="F1640" s="3" t="str">
        <f t="shared" si="194"/>
        <v>.pdf</v>
      </c>
      <c r="G1640">
        <f t="shared" si="195"/>
        <v>80</v>
      </c>
      <c r="H1640" s="3">
        <f>LEN(Table1[[#This Row],[Auteur]])</f>
        <v>12</v>
      </c>
      <c r="I1640" s="3" t="str">
        <f t="shared" si="196"/>
        <v>Hacking, The Art of Exploitation</v>
      </c>
    </row>
    <row r="1641" spans="1:9" x14ac:dyDescent="0.45">
      <c r="A1641" t="s">
        <v>1812</v>
      </c>
      <c r="B1641" t="str">
        <f t="shared" si="190"/>
        <v>2004</v>
      </c>
      <c r="C1641" t="str">
        <f t="shared" si="191"/>
        <v>Syngress</v>
      </c>
      <c r="D1641" t="str">
        <f t="shared" si="192"/>
        <v>Joe Grand, Ryan Russell</v>
      </c>
      <c r="E1641" s="3" t="str">
        <f t="shared" si="193"/>
        <v/>
      </c>
      <c r="F1641" t="str">
        <f t="shared" si="194"/>
        <v>.pdf</v>
      </c>
      <c r="G1641">
        <f t="shared" si="195"/>
        <v>104</v>
      </c>
      <c r="H1641" s="3">
        <f>LEN(Table1[[#This Row],[Auteur]])</f>
        <v>23</v>
      </c>
      <c r="I1641" s="3" t="str">
        <f t="shared" si="196"/>
        <v>Hardware Hacking, Have Fun While Voiding Your Warranty</v>
      </c>
    </row>
    <row r="1642" spans="1:9" x14ac:dyDescent="0.45">
      <c r="A1642" t="s">
        <v>1813</v>
      </c>
      <c r="B1642" t="str">
        <f t="shared" si="190"/>
        <v>?</v>
      </c>
      <c r="C1642" t="str">
        <f t="shared" si="191"/>
        <v>Sams</v>
      </c>
      <c r="D1642" t="str">
        <f t="shared" si="192"/>
        <v>?</v>
      </c>
      <c r="E1642" s="3" t="str">
        <f t="shared" si="193"/>
        <v/>
      </c>
      <c r="F1642" t="str">
        <f t="shared" si="194"/>
        <v>.pdf</v>
      </c>
      <c r="G1642">
        <f t="shared" si="195"/>
        <v>65</v>
      </c>
      <c r="H1642" s="3">
        <f>LEN(Table1[[#This Row],[Auteur]])</f>
        <v>1</v>
      </c>
      <c r="I1642" s="3" t="str">
        <f t="shared" si="196"/>
        <v>Maximum Security, A Hacker's Guide to Protecting You</v>
      </c>
    </row>
    <row r="1643" spans="1:9" x14ac:dyDescent="0.45">
      <c r="A1643" t="s">
        <v>1814</v>
      </c>
      <c r="B1643" t="str">
        <f t="shared" si="190"/>
        <v>2007</v>
      </c>
      <c r="C1643" t="str">
        <f t="shared" si="191"/>
        <v>Auerbach</v>
      </c>
      <c r="D1643" t="str">
        <f t="shared" si="192"/>
        <v>Mark D. Spivey</v>
      </c>
      <c r="E1643" s="3" t="str">
        <f t="shared" si="193"/>
        <v/>
      </c>
      <c r="F1643" t="str">
        <f t="shared" si="194"/>
        <v>.pdf</v>
      </c>
      <c r="G1643">
        <f t="shared" si="195"/>
        <v>89</v>
      </c>
      <c r="H1643" s="3">
        <f>LEN(Table1[[#This Row],[Auteur]])</f>
        <v>14</v>
      </c>
      <c r="I1643" s="3" t="str">
        <f t="shared" si="196"/>
        <v>Practical Hacking Techniques and Countermeasures</v>
      </c>
    </row>
    <row r="1644" spans="1:9" hidden="1" x14ac:dyDescent="0.45">
      <c r="A1644" t="s">
        <v>1815</v>
      </c>
      <c r="B1644" t="str">
        <f t="shared" si="190"/>
        <v>2009</v>
      </c>
      <c r="C1644" t="str">
        <f t="shared" si="191"/>
        <v>ENI</v>
      </c>
      <c r="D1644" t="str">
        <f t="shared" si="192"/>
        <v>?</v>
      </c>
      <c r="E1644" s="3" t="str">
        <f t="shared" si="193"/>
        <v/>
      </c>
      <c r="F1644" t="str">
        <f t="shared" si="194"/>
        <v>.pdf</v>
      </c>
      <c r="G1644">
        <f t="shared" si="195"/>
        <v>57</v>
      </c>
      <c r="H1644" s="3">
        <f>LEN(Table1[[#This Row],[Auteur]])</f>
        <v>1</v>
      </c>
      <c r="I1644" s="3" t="str">
        <f t="shared" ref="I1644:I1665" si="197">Title(A1644)</f>
        <v>Sécurité Informatique, Ethical Hacking</v>
      </c>
    </row>
    <row r="1645" spans="1:9" x14ac:dyDescent="0.45">
      <c r="A1645" t="s">
        <v>1816</v>
      </c>
      <c r="B1645" t="str">
        <f t="shared" si="190"/>
        <v>2014</v>
      </c>
      <c r="C1645" t="str">
        <f t="shared" si="191"/>
        <v>Secure Planet</v>
      </c>
      <c r="D1645" t="str">
        <f t="shared" si="192"/>
        <v>Peter Kim</v>
      </c>
      <c r="E1645" s="3" t="str">
        <f t="shared" si="193"/>
        <v/>
      </c>
      <c r="F1645" t="str">
        <f t="shared" si="194"/>
        <v>.pdf</v>
      </c>
      <c r="G1645">
        <f t="shared" si="195"/>
        <v>100</v>
      </c>
      <c r="H1645" s="3">
        <f>LEN(Table1[[#This Row],[Auteur]])</f>
        <v>9</v>
      </c>
      <c r="I1645" s="3" t="str">
        <f t="shared" si="197"/>
        <v>The Hacker Playbook, Practical Guide to Penetration Testing</v>
      </c>
    </row>
    <row r="1646" spans="1:9" x14ac:dyDescent="0.45">
      <c r="A1646" t="s">
        <v>1817</v>
      </c>
      <c r="B1646" t="str">
        <f t="shared" si="190"/>
        <v>2015</v>
      </c>
      <c r="C1646" t="str">
        <f t="shared" si="191"/>
        <v>Future</v>
      </c>
      <c r="D1646" t="str">
        <f t="shared" si="192"/>
        <v>Guru Guide</v>
      </c>
      <c r="E1646" s="3" t="str">
        <f t="shared" si="193"/>
        <v/>
      </c>
      <c r="F1646" s="3" t="str">
        <f t="shared" si="194"/>
        <v>.pdf</v>
      </c>
      <c r="G1646">
        <f t="shared" si="195"/>
        <v>54</v>
      </c>
      <c r="H1646" s="3">
        <f>LEN(Table1[[#This Row],[Auteur]])</f>
        <v>10</v>
      </c>
      <c r="I1646" s="3" t="str">
        <f t="shared" si="197"/>
        <v>The Hacker's Manual</v>
      </c>
    </row>
    <row r="1647" spans="1:9" x14ac:dyDescent="0.45">
      <c r="A1647" t="s">
        <v>1818</v>
      </c>
      <c r="B1647" t="str">
        <f t="shared" si="190"/>
        <v>2015</v>
      </c>
      <c r="C1647" t="str">
        <f t="shared" si="191"/>
        <v>Future</v>
      </c>
      <c r="D1647" t="str">
        <f t="shared" si="192"/>
        <v>Tech Active</v>
      </c>
      <c r="E1647" s="3" t="str">
        <f t="shared" si="193"/>
        <v/>
      </c>
      <c r="F1647" t="str">
        <f t="shared" si="194"/>
        <v>.pdf</v>
      </c>
      <c r="G1647">
        <f t="shared" si="195"/>
        <v>55</v>
      </c>
      <c r="H1647" s="3">
        <f>LEN(Table1[[#This Row],[Auteur]])</f>
        <v>11</v>
      </c>
      <c r="I1647" s="3" t="str">
        <f t="shared" si="197"/>
        <v>The Hacker's Manual</v>
      </c>
    </row>
    <row r="1648" spans="1:9" x14ac:dyDescent="0.45">
      <c r="A1648" t="s">
        <v>1819</v>
      </c>
      <c r="B1648" t="str">
        <f t="shared" si="190"/>
        <v>2014</v>
      </c>
      <c r="C1648" t="str">
        <f t="shared" si="191"/>
        <v>Springer</v>
      </c>
      <c r="D1648" t="str">
        <f t="shared" si="192"/>
        <v>Bastian Ballmann</v>
      </c>
      <c r="E1648" s="3" t="str">
        <f t="shared" si="193"/>
        <v/>
      </c>
      <c r="F1648" t="str">
        <f t="shared" si="194"/>
        <v>.pdf</v>
      </c>
      <c r="G1648">
        <f t="shared" si="195"/>
        <v>101</v>
      </c>
      <c r="H1648" s="3">
        <f>LEN(Table1[[#This Row],[Auteur]])</f>
        <v>16</v>
      </c>
      <c r="I1648" s="3" t="str">
        <f t="shared" si="197"/>
        <v>Understanding Network Hacks, Attack and Defense with Pyton</v>
      </c>
    </row>
    <row r="1649" spans="1:9" x14ac:dyDescent="0.45">
      <c r="A1649" t="s">
        <v>1827</v>
      </c>
      <c r="B1649" t="str">
        <f t="shared" si="190"/>
        <v>1995</v>
      </c>
      <c r="C1649" t="str">
        <f t="shared" si="191"/>
        <v>Pearson</v>
      </c>
      <c r="D1649" t="str">
        <f t="shared" si="192"/>
        <v>Andrew S. Tanenbaum</v>
      </c>
      <c r="E1649" s="3" t="str">
        <f t="shared" si="193"/>
        <v>Scan</v>
      </c>
      <c r="F1649" s="3" t="str">
        <f t="shared" si="194"/>
        <v>.pdf</v>
      </c>
      <c r="G1649" s="3">
        <f t="shared" si="195"/>
        <v>81</v>
      </c>
      <c r="H1649" s="3">
        <f>LEN(Table1[[#This Row],[Auteur]])</f>
        <v>19</v>
      </c>
      <c r="I1649" s="3" t="str">
        <f t="shared" si="197"/>
        <v>Distributed Operating Systems</v>
      </c>
    </row>
    <row r="1650" spans="1:9" x14ac:dyDescent="0.45">
      <c r="A1650" t="s">
        <v>1875</v>
      </c>
      <c r="B1650" t="str">
        <f t="shared" si="190"/>
        <v>2001</v>
      </c>
      <c r="C1650" t="str">
        <f t="shared" si="191"/>
        <v>Prentice Hall</v>
      </c>
      <c r="D1650" t="str">
        <f t="shared" si="192"/>
        <v>Andrew S. Tanenbaum</v>
      </c>
      <c r="E1650" s="3" t="str">
        <f t="shared" si="193"/>
        <v>Scan</v>
      </c>
      <c r="F1650" t="str">
        <f t="shared" si="194"/>
        <v>.pdf</v>
      </c>
      <c r="G1650">
        <f t="shared" si="195"/>
        <v>90</v>
      </c>
      <c r="H1650" s="3">
        <f>LEN(Table1[[#This Row],[Auteur]])</f>
        <v>19</v>
      </c>
      <c r="I1650" s="3" t="str">
        <f t="shared" si="197"/>
        <v>Modern Operating Systems</v>
      </c>
    </row>
    <row r="1651" spans="1:9" x14ac:dyDescent="0.45">
      <c r="A1651" t="s">
        <v>1876</v>
      </c>
      <c r="B1651" t="str">
        <f t="shared" si="190"/>
        <v>2005</v>
      </c>
      <c r="C1651" t="str">
        <f t="shared" si="191"/>
        <v>Wiley</v>
      </c>
      <c r="D1651" t="str">
        <f t="shared" si="192"/>
        <v>Silberschatz, Galvin, Gagne</v>
      </c>
      <c r="E1651" s="3" t="str">
        <f t="shared" si="193"/>
        <v/>
      </c>
      <c r="F1651" t="str">
        <f t="shared" si="194"/>
        <v>.pdf</v>
      </c>
      <c r="G1651">
        <f t="shared" si="195"/>
        <v>84</v>
      </c>
      <c r="H1651" s="3">
        <f>LEN(Table1[[#This Row],[Auteur]])</f>
        <v>27</v>
      </c>
      <c r="I1651" s="3" t="str">
        <f t="shared" si="197"/>
        <v>Operating System Concepts</v>
      </c>
    </row>
    <row r="1652" spans="1:9" x14ac:dyDescent="0.45">
      <c r="A1652" t="s">
        <v>1877</v>
      </c>
      <c r="B1652" t="str">
        <f t="shared" si="190"/>
        <v>1999</v>
      </c>
      <c r="C1652" t="str">
        <f t="shared" si="191"/>
        <v>Morgan Kaufmann</v>
      </c>
      <c r="D1652" t="str">
        <f t="shared" si="192"/>
        <v>Dominic Giampaolo</v>
      </c>
      <c r="E1652" s="3" t="str">
        <f t="shared" si="193"/>
        <v/>
      </c>
      <c r="F1652" s="3" t="str">
        <f t="shared" si="194"/>
        <v>.pdf</v>
      </c>
      <c r="G1652" s="3">
        <f t="shared" si="195"/>
        <v>103</v>
      </c>
      <c r="H1652" s="3">
        <f>LEN(Table1[[#This Row],[Auteur]])</f>
        <v>17</v>
      </c>
      <c r="I1652" s="3" t="str">
        <f t="shared" si="197"/>
        <v>Practical File System Design with the Be File System</v>
      </c>
    </row>
    <row r="1653" spans="1:9" x14ac:dyDescent="0.45">
      <c r="A1653" t="s">
        <v>1878</v>
      </c>
      <c r="B1653" t="str">
        <f t="shared" si="190"/>
        <v>2008</v>
      </c>
      <c r="C1653" t="str">
        <f t="shared" si="191"/>
        <v>?</v>
      </c>
      <c r="D1653" t="str">
        <f t="shared" si="192"/>
        <v>Allen B. Downey</v>
      </c>
      <c r="E1653" s="3" t="str">
        <f t="shared" si="193"/>
        <v/>
      </c>
      <c r="F1653" s="3" t="str">
        <f t="shared" si="194"/>
        <v>.pdf</v>
      </c>
      <c r="G1653">
        <f t="shared" si="195"/>
        <v>66</v>
      </c>
      <c r="H1653" s="3">
        <f>LEN(Table1[[#This Row],[Auteur]])</f>
        <v>15</v>
      </c>
      <c r="I1653" s="3" t="str">
        <f t="shared" si="197"/>
        <v>The Little Book of Semaphores</v>
      </c>
    </row>
    <row r="1654" spans="1:9" x14ac:dyDescent="0.45">
      <c r="A1654" t="s">
        <v>1823</v>
      </c>
      <c r="B1654" t="str">
        <f t="shared" si="190"/>
        <v>2013</v>
      </c>
      <c r="C1654" t="str">
        <f t="shared" si="191"/>
        <v>Les Applications Android</v>
      </c>
      <c r="D1654" t="str">
        <f t="shared" si="192"/>
        <v>Jean-Louis Dell'Oro, Michael Picard</v>
      </c>
      <c r="E1654" s="3" t="str">
        <f t="shared" si="193"/>
        <v/>
      </c>
      <c r="F1654" t="str">
        <f t="shared" si="194"/>
        <v>.pdf</v>
      </c>
      <c r="G1654">
        <f t="shared" si="195"/>
        <v>102</v>
      </c>
      <c r="H1654" s="3">
        <f>LEN(Table1[[#This Row],[Auteur]])</f>
        <v>35</v>
      </c>
      <c r="I1654" s="3" t="str">
        <f t="shared" si="197"/>
        <v>Android, le guide ultime</v>
      </c>
    </row>
    <row r="1655" spans="1:9" x14ac:dyDescent="0.45">
      <c r="A1655" t="s">
        <v>1824</v>
      </c>
      <c r="B1655" t="str">
        <f t="shared" si="190"/>
        <v>2013</v>
      </c>
      <c r="C1655" t="str">
        <f t="shared" si="191"/>
        <v>Eyrolles</v>
      </c>
      <c r="D1655" t="str">
        <f t="shared" si="192"/>
        <v>Arnaud Fraque</v>
      </c>
      <c r="E1655" s="3" t="str">
        <f t="shared" si="193"/>
        <v/>
      </c>
      <c r="F1655" s="3" t="str">
        <f t="shared" si="194"/>
        <v>.pdf</v>
      </c>
      <c r="G1655">
        <f t="shared" si="195"/>
        <v>72</v>
      </c>
      <c r="H1655" s="3">
        <f>LEN(Table1[[#This Row],[Auteur]])</f>
        <v>13</v>
      </c>
      <c r="I1655" s="3" t="str">
        <f t="shared" si="197"/>
        <v>Google Android 4 efficace</v>
      </c>
    </row>
    <row r="1656" spans="1:9" x14ac:dyDescent="0.45">
      <c r="A1656" t="s">
        <v>1825</v>
      </c>
      <c r="B1656" t="str">
        <f t="shared" si="190"/>
        <v>2014</v>
      </c>
      <c r="C1656" t="str">
        <f t="shared" si="191"/>
        <v>Eyrolles</v>
      </c>
      <c r="D1656" t="str">
        <f t="shared" si="192"/>
        <v>Fabrice Neuman, Jacques Harbonn</v>
      </c>
      <c r="E1656" s="3" t="str">
        <f t="shared" si="193"/>
        <v/>
      </c>
      <c r="F1656" t="str">
        <f t="shared" si="194"/>
        <v>.pdf</v>
      </c>
      <c r="G1656">
        <f t="shared" si="195"/>
        <v>97</v>
      </c>
      <c r="H1656" s="3">
        <f>LEN(Table1[[#This Row],[Auteur]])</f>
        <v>31</v>
      </c>
      <c r="I1656" s="3" t="str">
        <f t="shared" si="197"/>
        <v>Le guide pratique des tablettes Android</v>
      </c>
    </row>
    <row r="1657" spans="1:9" x14ac:dyDescent="0.45">
      <c r="A1657" t="s">
        <v>1826</v>
      </c>
      <c r="B1657" t="str">
        <f t="shared" si="190"/>
        <v>2016</v>
      </c>
      <c r="C1657" t="str">
        <f t="shared" si="191"/>
        <v>Eyrolles</v>
      </c>
      <c r="D1657" t="str">
        <f t="shared" si="192"/>
        <v>Fabrice Neuman, José Roda</v>
      </c>
      <c r="E1657" s="3" t="str">
        <f t="shared" si="193"/>
        <v/>
      </c>
      <c r="F1657" s="3" t="str">
        <f t="shared" si="194"/>
        <v>.pdf</v>
      </c>
      <c r="G1657">
        <f t="shared" si="195"/>
        <v>91</v>
      </c>
      <c r="H1657" s="3">
        <f>LEN(Table1[[#This Row],[Auteur]])</f>
        <v>25</v>
      </c>
      <c r="I1657" s="3" t="str">
        <f t="shared" si="197"/>
        <v>Le guide pratique des tablettes Android</v>
      </c>
    </row>
    <row r="1658" spans="1:9" x14ac:dyDescent="0.45">
      <c r="A1658" t="s">
        <v>1828</v>
      </c>
      <c r="B1658" t="str">
        <f t="shared" si="190"/>
        <v>2016</v>
      </c>
      <c r="C1658" t="str">
        <f t="shared" si="191"/>
        <v>Eyrolles</v>
      </c>
      <c r="D1658" t="str">
        <f t="shared" si="192"/>
        <v>Fabrice Neuman</v>
      </c>
      <c r="E1658" s="3" t="str">
        <f t="shared" si="193"/>
        <v/>
      </c>
      <c r="F1658" t="str">
        <f t="shared" si="194"/>
        <v>.pdf</v>
      </c>
      <c r="G1658">
        <f t="shared" si="195"/>
        <v>71</v>
      </c>
      <c r="H1658" s="3">
        <f>LEN(Table1[[#This Row],[Auteur]])</f>
        <v>14</v>
      </c>
      <c r="I1658" s="3" t="str">
        <f t="shared" si="197"/>
        <v>Le guide pratique iPad et iOS9</v>
      </c>
    </row>
    <row r="1659" spans="1:9" x14ac:dyDescent="0.45">
      <c r="A1659" t="s">
        <v>1829</v>
      </c>
      <c r="B1659" t="str">
        <f t="shared" si="190"/>
        <v>2011</v>
      </c>
      <c r="C1659" t="str">
        <f t="shared" si="191"/>
        <v>Dunod</v>
      </c>
      <c r="D1659" t="str">
        <f t="shared" si="192"/>
        <v>Jean-Christophe Courte</v>
      </c>
      <c r="E1659" s="3" t="str">
        <f t="shared" si="193"/>
        <v/>
      </c>
      <c r="F1659" t="str">
        <f t="shared" si="194"/>
        <v>.pdf</v>
      </c>
      <c r="G1659">
        <f t="shared" si="195"/>
        <v>69</v>
      </c>
      <c r="H1659" s="3">
        <f>LEN(Table1[[#This Row],[Auteur]])</f>
        <v>22</v>
      </c>
      <c r="I1659" s="3" t="str">
        <f t="shared" si="197"/>
        <v>Travailler avec un iPad</v>
      </c>
    </row>
    <row r="1660" spans="1:9" x14ac:dyDescent="0.45">
      <c r="A1660" t="s">
        <v>1830</v>
      </c>
      <c r="B1660" t="str">
        <f t="shared" si="190"/>
        <v>2015</v>
      </c>
      <c r="C1660" t="str">
        <f t="shared" si="191"/>
        <v>Apress</v>
      </c>
      <c r="D1660" t="str">
        <f t="shared" si="192"/>
        <v>Sander van Vugt</v>
      </c>
      <c r="E1660" s="3" t="str">
        <f t="shared" si="193"/>
        <v/>
      </c>
      <c r="F1660" t="str">
        <f t="shared" si="194"/>
        <v>.pdf</v>
      </c>
      <c r="G1660">
        <f t="shared" si="195"/>
        <v>80</v>
      </c>
      <c r="H1660" s="3">
        <f>LEN(Table1[[#This Row],[Auteur]])</f>
        <v>15</v>
      </c>
      <c r="I1660" s="3" t="str">
        <f t="shared" si="197"/>
        <v>Beginning the Linux Command Line</v>
      </c>
    </row>
    <row r="1661" spans="1:9" x14ac:dyDescent="0.45">
      <c r="A1661" t="s">
        <v>1831</v>
      </c>
      <c r="B1661" t="str">
        <f t="shared" si="190"/>
        <v>2011</v>
      </c>
      <c r="C1661" t="str">
        <f t="shared" si="191"/>
        <v>Apress</v>
      </c>
      <c r="D1661" t="str">
        <f t="shared" si="192"/>
        <v>Emilio Raggi, Keir Thomas, Sander van Vugt</v>
      </c>
      <c r="E1661" s="3" t="str">
        <f t="shared" si="193"/>
        <v/>
      </c>
      <c r="F1661" t="str">
        <f t="shared" si="194"/>
        <v>.pdf</v>
      </c>
      <c r="G1661">
        <f t="shared" si="195"/>
        <v>97</v>
      </c>
      <c r="H1661" s="3">
        <f>LEN(Table1[[#This Row],[Auteur]])</f>
        <v>42</v>
      </c>
      <c r="I1661" s="3" t="str">
        <f t="shared" si="197"/>
        <v>Beginning Ubuntu Linux</v>
      </c>
    </row>
    <row r="1662" spans="1:9" x14ac:dyDescent="0.45">
      <c r="A1662" t="s">
        <v>1832</v>
      </c>
      <c r="B1662" t="str">
        <f t="shared" si="190"/>
        <v>2010</v>
      </c>
      <c r="C1662" t="str">
        <f t="shared" si="191"/>
        <v>Wiley</v>
      </c>
      <c r="D1662" t="str">
        <f t="shared" si="192"/>
        <v>Roderick W. Smith</v>
      </c>
      <c r="E1662" s="3" t="str">
        <f t="shared" si="193"/>
        <v/>
      </c>
      <c r="F1662" s="3" t="str">
        <f t="shared" si="194"/>
        <v>.pdf</v>
      </c>
      <c r="G1662">
        <f t="shared" si="195"/>
        <v>76</v>
      </c>
      <c r="H1662" s="3">
        <f>LEN(Table1[[#This Row],[Auteur]])</f>
        <v>17</v>
      </c>
      <c r="I1662" s="3" t="str">
        <f t="shared" si="197"/>
        <v>CompTIA Linux+ Complete Study Guide</v>
      </c>
    </row>
    <row r="1663" spans="1:9" x14ac:dyDescent="0.45">
      <c r="A1663" t="s">
        <v>1833</v>
      </c>
      <c r="B1663" t="str">
        <f t="shared" si="190"/>
        <v>2001</v>
      </c>
      <c r="C1663" t="str">
        <f t="shared" si="191"/>
        <v>Syngress</v>
      </c>
      <c r="D1663" t="str">
        <f t="shared" si="192"/>
        <v>James Stanger, Patrick T. Lane</v>
      </c>
      <c r="E1663" s="3" t="str">
        <f t="shared" si="193"/>
        <v/>
      </c>
      <c r="F1663" t="str">
        <f t="shared" si="194"/>
        <v>.pdf</v>
      </c>
      <c r="G1663">
        <f t="shared" si="195"/>
        <v>109</v>
      </c>
      <c r="H1663" s="3">
        <f>LEN(Table1[[#This Row],[Auteur]])</f>
        <v>30</v>
      </c>
      <c r="I1663" s="3" t="str">
        <f t="shared" si="197"/>
        <v>Hack Proofing Linux, A Guide to Open Source Security</v>
      </c>
    </row>
    <row r="1664" spans="1:9" x14ac:dyDescent="0.45">
      <c r="A1664" t="s">
        <v>1834</v>
      </c>
      <c r="B1664" t="str">
        <f t="shared" si="190"/>
        <v>2008</v>
      </c>
      <c r="C1664" t="str">
        <f t="shared" si="191"/>
        <v>McGraw-Hill</v>
      </c>
      <c r="D1664" t="str">
        <f t="shared" si="192"/>
        <v>Isecom</v>
      </c>
      <c r="E1664" s="3" t="str">
        <f t="shared" si="193"/>
        <v/>
      </c>
      <c r="F1664" t="str">
        <f t="shared" si="194"/>
        <v>.pdf</v>
      </c>
      <c r="G1664">
        <f t="shared" si="195"/>
        <v>65</v>
      </c>
      <c r="H1664" s="3">
        <f>LEN(Table1[[#This Row],[Auteur]])</f>
        <v>6</v>
      </c>
      <c r="I1664" s="3" t="str">
        <f t="shared" si="197"/>
        <v>Hacking Exposed Linux</v>
      </c>
    </row>
    <row r="1665" spans="1:9" x14ac:dyDescent="0.45">
      <c r="A1665" t="s">
        <v>1835</v>
      </c>
      <c r="B1665" t="str">
        <f t="shared" si="190"/>
        <v>2005</v>
      </c>
      <c r="C1665" t="str">
        <f t="shared" si="191"/>
        <v>Apress</v>
      </c>
      <c r="D1665" t="str">
        <f t="shared" si="192"/>
        <v>James Turnbull</v>
      </c>
      <c r="E1665" s="3" t="str">
        <f t="shared" si="193"/>
        <v/>
      </c>
      <c r="F1665" s="3" t="str">
        <f t="shared" si="194"/>
        <v>.pdf</v>
      </c>
      <c r="G1665">
        <f t="shared" si="195"/>
        <v>54</v>
      </c>
      <c r="H1665" s="3">
        <f>LEN(Table1[[#This Row],[Auteur]])</f>
        <v>14</v>
      </c>
      <c r="I1665" s="3" t="str">
        <f t="shared" si="197"/>
        <v>Hardening Linux</v>
      </c>
    </row>
    <row r="1666" spans="1:9" x14ac:dyDescent="0.45">
      <c r="A1666" t="s">
        <v>1836</v>
      </c>
      <c r="B1666" t="str">
        <f t="shared" ref="B1666:B1729" si="198">DatePub(A1666)</f>
        <v>2015</v>
      </c>
      <c r="C1666" t="str">
        <f t="shared" ref="C1666:C1729" si="199">Editeur(A1666)</f>
        <v>No Starch</v>
      </c>
      <c r="D1666" t="str">
        <f t="shared" ref="D1666:D1729" si="200">Auteur(A1666)</f>
        <v>Brian Ward</v>
      </c>
      <c r="E1666" s="3" t="str">
        <f t="shared" ref="E1666:E1729" si="201">ExtraInfo(A1666)</f>
        <v/>
      </c>
      <c r="F1666" t="str">
        <f t="shared" ref="F1666:F1729" si="202">Extension(A1666)</f>
        <v>.pdf</v>
      </c>
      <c r="G1666">
        <f t="shared" ref="G1666:G1729" si="203">LenFileName(A1666)</f>
        <v>61</v>
      </c>
      <c r="H1666" s="3">
        <f>LEN(Table1[[#This Row],[Auteur]])</f>
        <v>10</v>
      </c>
      <c r="I1666" s="3" t="str">
        <f t="shared" ref="I1666:I1729" si="204">Title(A1666)</f>
        <v>How Linux Works</v>
      </c>
    </row>
    <row r="1667" spans="1:9" x14ac:dyDescent="0.45">
      <c r="A1667" t="s">
        <v>1837</v>
      </c>
      <c r="B1667" t="str">
        <f t="shared" si="198"/>
        <v>1998</v>
      </c>
      <c r="C1667" t="str">
        <f t="shared" si="199"/>
        <v>Eyrolles</v>
      </c>
      <c r="D1667" t="str">
        <f t="shared" si="200"/>
        <v>Card, Dumas, Mével</v>
      </c>
      <c r="E1667" s="3" t="str">
        <f t="shared" si="201"/>
        <v>Scan</v>
      </c>
      <c r="F1667" s="3" t="str">
        <f t="shared" si="202"/>
        <v>.pdf</v>
      </c>
      <c r="G1667">
        <f t="shared" si="203"/>
        <v>101</v>
      </c>
      <c r="H1667" s="3">
        <f>LEN(Table1[[#This Row],[Auteur]])</f>
        <v>18</v>
      </c>
      <c r="I1667" s="3" t="str">
        <f t="shared" si="204"/>
        <v>Linux 2.0, API système et fonctionnement du noyau</v>
      </c>
    </row>
    <row r="1668" spans="1:9" x14ac:dyDescent="0.45">
      <c r="A1668" t="s">
        <v>1838</v>
      </c>
      <c r="B1668" t="str">
        <f t="shared" si="198"/>
        <v>2009</v>
      </c>
      <c r="C1668" t="str">
        <f t="shared" si="199"/>
        <v>?</v>
      </c>
      <c r="D1668" t="str">
        <f t="shared" si="200"/>
        <v>Ramesh Natarajan</v>
      </c>
      <c r="E1668" s="3" t="str">
        <f t="shared" si="201"/>
        <v/>
      </c>
      <c r="F1668" t="str">
        <f t="shared" si="202"/>
        <v>.pdf</v>
      </c>
      <c r="G1668">
        <f t="shared" si="203"/>
        <v>45</v>
      </c>
      <c r="H1668" s="3">
        <f>LEN(Table1[[#This Row],[Auteur]])</f>
        <v>16</v>
      </c>
      <c r="I1668" s="3" t="str">
        <f t="shared" si="204"/>
        <v>Linux 101 Hacks</v>
      </c>
    </row>
    <row r="1669" spans="1:9" x14ac:dyDescent="0.45">
      <c r="A1669" t="s">
        <v>1839</v>
      </c>
      <c r="B1669" t="str">
        <f t="shared" si="198"/>
        <v>2010</v>
      </c>
      <c r="C1669" t="str">
        <f t="shared" si="199"/>
        <v>Wiley</v>
      </c>
      <c r="D1669" t="str">
        <f t="shared" si="200"/>
        <v>Christopher Negus</v>
      </c>
      <c r="E1669" s="3" t="str">
        <f t="shared" si="201"/>
        <v/>
      </c>
      <c r="F1669" s="3" t="str">
        <f t="shared" si="202"/>
        <v>.pdf</v>
      </c>
      <c r="G1669" s="3">
        <f t="shared" si="203"/>
        <v>52</v>
      </c>
      <c r="H1669" s="3">
        <f>LEN(Table1[[#This Row],[Auteur]])</f>
        <v>17</v>
      </c>
      <c r="I1669" s="3" t="str">
        <f t="shared" si="204"/>
        <v>Linux Bible</v>
      </c>
    </row>
    <row r="1670" spans="1:9" x14ac:dyDescent="0.45">
      <c r="A1670" t="s">
        <v>1840</v>
      </c>
      <c r="B1670" t="str">
        <f t="shared" si="198"/>
        <v>2009</v>
      </c>
      <c r="C1670" t="str">
        <f t="shared" si="199"/>
        <v>Wiley</v>
      </c>
      <c r="D1670" t="str">
        <f t="shared" si="200"/>
        <v>Christopher Negus</v>
      </c>
      <c r="E1670" s="3" t="str">
        <f t="shared" si="201"/>
        <v/>
      </c>
      <c r="F1670" t="str">
        <f t="shared" si="202"/>
        <v>.pdf</v>
      </c>
      <c r="G1670">
        <f t="shared" si="203"/>
        <v>142</v>
      </c>
      <c r="H1670" s="3">
        <f>LEN(Table1[[#This Row],[Auteur]])</f>
        <v>17</v>
      </c>
      <c r="I1670" s="3" t="str">
        <f t="shared" si="204"/>
        <v>Linux Bible 2009 Edition, Boot up to Ubuntu, Fedora, KNOPPIX, Debian, SUSE and 13 Other Distributions</v>
      </c>
    </row>
    <row r="1671" spans="1:9" x14ac:dyDescent="0.45">
      <c r="A1671" t="s">
        <v>1841</v>
      </c>
      <c r="B1671" t="str">
        <f t="shared" si="198"/>
        <v>2007</v>
      </c>
      <c r="C1671" t="str">
        <f t="shared" si="199"/>
        <v>No Starch</v>
      </c>
      <c r="D1671" t="str">
        <f t="shared" si="200"/>
        <v>Michal Rash</v>
      </c>
      <c r="E1671" s="3" t="str">
        <f t="shared" si="201"/>
        <v/>
      </c>
      <c r="F1671" t="str">
        <f t="shared" si="202"/>
        <v>.pdf</v>
      </c>
      <c r="G1671">
        <f t="shared" si="203"/>
        <v>54</v>
      </c>
      <c r="H1671" s="3">
        <f>LEN(Table1[[#This Row],[Auteur]])</f>
        <v>11</v>
      </c>
      <c r="I1671" s="3" t="str">
        <f t="shared" si="204"/>
        <v>Linux Firewalls</v>
      </c>
    </row>
    <row r="1672" spans="1:9" x14ac:dyDescent="0.45">
      <c r="A1672" t="s">
        <v>1842</v>
      </c>
      <c r="B1672" t="str">
        <f t="shared" si="198"/>
        <v>2009</v>
      </c>
      <c r="C1672" t="str">
        <f t="shared" si="199"/>
        <v>Wiley</v>
      </c>
      <c r="D1672" t="str">
        <f t="shared" si="200"/>
        <v>Richard Blum</v>
      </c>
      <c r="E1672" s="3" t="str">
        <f t="shared" si="201"/>
        <v/>
      </c>
      <c r="F1672" s="3" t="str">
        <f t="shared" si="202"/>
        <v>.pdf</v>
      </c>
      <c r="G1672">
        <f t="shared" si="203"/>
        <v>61</v>
      </c>
      <c r="H1672" s="3">
        <f>LEN(Table1[[#This Row],[Auteur]])</f>
        <v>12</v>
      </c>
      <c r="I1672" s="3" t="str">
        <f t="shared" si="204"/>
        <v>Linux for Dummies</v>
      </c>
    </row>
    <row r="1673" spans="1:9" x14ac:dyDescent="0.45">
      <c r="A1673" t="s">
        <v>1843</v>
      </c>
      <c r="B1673" t="str">
        <f t="shared" si="198"/>
        <v>2009</v>
      </c>
      <c r="C1673" t="str">
        <f t="shared" si="199"/>
        <v>O'Reilly</v>
      </c>
      <c r="D1673" t="str">
        <f t="shared" si="200"/>
        <v>Ellen Siever, Stephen Figgins, Robert Love, Arnold Robbins</v>
      </c>
      <c r="E1673" s="3" t="str">
        <f t="shared" si="201"/>
        <v/>
      </c>
      <c r="F1673" t="str">
        <f t="shared" si="202"/>
        <v>.pdf</v>
      </c>
      <c r="G1673">
        <f t="shared" si="203"/>
        <v>112</v>
      </c>
      <c r="H1673" s="3">
        <f>LEN(Table1[[#This Row],[Auteur]])</f>
        <v>58</v>
      </c>
      <c r="I1673" s="3" t="str">
        <f t="shared" si="204"/>
        <v>Linux in a Nutshell</v>
      </c>
    </row>
    <row r="1674" spans="1:9" x14ac:dyDescent="0.45">
      <c r="A1674" t="s">
        <v>1844</v>
      </c>
      <c r="B1674" t="str">
        <f t="shared" si="198"/>
        <v>2000</v>
      </c>
      <c r="C1674" t="str">
        <f t="shared" si="199"/>
        <v>O'Reilly</v>
      </c>
      <c r="D1674" t="str">
        <f t="shared" si="200"/>
        <v>Olaf Kirch, Terry Dawson</v>
      </c>
      <c r="E1674" s="3" t="str">
        <f t="shared" si="201"/>
        <v>Dump</v>
      </c>
      <c r="F1674" t="str">
        <f t="shared" si="202"/>
        <v>.pdf</v>
      </c>
      <c r="G1674">
        <f t="shared" si="203"/>
        <v>101</v>
      </c>
      <c r="H1674" s="3">
        <f>LEN(Table1[[#This Row],[Auteur]])</f>
        <v>24</v>
      </c>
      <c r="I1674" s="3" t="str">
        <f t="shared" si="204"/>
        <v>Linux Network Administrator's Guide</v>
      </c>
    </row>
    <row r="1675" spans="1:9" x14ac:dyDescent="0.45">
      <c r="A1675" t="s">
        <v>1845</v>
      </c>
      <c r="B1675" t="str">
        <f t="shared" si="198"/>
        <v>2008</v>
      </c>
      <c r="C1675" t="str">
        <f t="shared" si="199"/>
        <v>O'Reilly</v>
      </c>
      <c r="D1675" t="str">
        <f t="shared" si="200"/>
        <v>Carla Schroder</v>
      </c>
      <c r="E1675" s="3" t="str">
        <f t="shared" si="201"/>
        <v/>
      </c>
      <c r="F1675" t="str">
        <f t="shared" si="202"/>
        <v>.pdf</v>
      </c>
      <c r="G1675">
        <f t="shared" si="203"/>
        <v>66</v>
      </c>
      <c r="H1675" s="3">
        <f>LEN(Table1[[#This Row],[Auteur]])</f>
        <v>14</v>
      </c>
      <c r="I1675" s="3" t="str">
        <f t="shared" si="204"/>
        <v>Linux Networking Cookbook</v>
      </c>
    </row>
    <row r="1676" spans="1:9" x14ac:dyDescent="0.45">
      <c r="A1676" t="s">
        <v>1846</v>
      </c>
      <c r="B1676" t="str">
        <f t="shared" si="198"/>
        <v>2013</v>
      </c>
      <c r="C1676" t="str">
        <f t="shared" si="199"/>
        <v>Cengage Learning</v>
      </c>
      <c r="D1676" t="str">
        <f t="shared" si="200"/>
        <v>Basta, Finamore, Palladino</v>
      </c>
      <c r="E1676" s="3" t="str">
        <f t="shared" si="201"/>
        <v/>
      </c>
      <c r="F1676" t="str">
        <f t="shared" si="202"/>
        <v>.pdf</v>
      </c>
      <c r="G1676">
        <f t="shared" si="203"/>
        <v>96</v>
      </c>
      <c r="H1676" s="3">
        <f>LEN(Table1[[#This Row],[Auteur]])</f>
        <v>26</v>
      </c>
      <c r="I1676" s="3" t="str">
        <f t="shared" si="204"/>
        <v>Linux Operations and Administration</v>
      </c>
    </row>
    <row r="1677" spans="1:9" x14ac:dyDescent="0.45">
      <c r="A1677" t="s">
        <v>1847</v>
      </c>
      <c r="B1677" t="str">
        <f t="shared" si="198"/>
        <v>2012</v>
      </c>
      <c r="C1677" t="str">
        <f t="shared" si="199"/>
        <v>O'Reilly</v>
      </c>
      <c r="D1677" t="str">
        <f t="shared" si="200"/>
        <v>Daniel J. Barrett</v>
      </c>
      <c r="E1677" s="3" t="str">
        <f t="shared" si="201"/>
        <v/>
      </c>
      <c r="F1677" t="str">
        <f t="shared" si="202"/>
        <v>.pdf</v>
      </c>
      <c r="G1677">
        <f t="shared" si="203"/>
        <v>90</v>
      </c>
      <c r="H1677" s="3">
        <f>LEN(Table1[[#This Row],[Auteur]])</f>
        <v>17</v>
      </c>
      <c r="I1677" s="3" t="str">
        <f t="shared" si="204"/>
        <v>Linux Pocket Guide, Essential Commands</v>
      </c>
    </row>
    <row r="1678" spans="1:9" x14ac:dyDescent="0.45">
      <c r="A1678" t="s">
        <v>1848</v>
      </c>
      <c r="B1678" t="str">
        <f t="shared" si="198"/>
        <v>2016</v>
      </c>
      <c r="C1678" t="str">
        <f t="shared" si="199"/>
        <v>O'Reilly</v>
      </c>
      <c r="D1678" t="str">
        <f t="shared" si="200"/>
        <v>Daniel Barrett</v>
      </c>
      <c r="E1678" s="3" t="str">
        <f t="shared" si="201"/>
        <v/>
      </c>
      <c r="F1678" t="str">
        <f t="shared" si="202"/>
        <v>.pdf</v>
      </c>
      <c r="G1678">
        <f t="shared" si="203"/>
        <v>87</v>
      </c>
      <c r="H1678" s="3">
        <f>LEN(Table1[[#This Row],[Auteur]])</f>
        <v>14</v>
      </c>
      <c r="I1678" s="3" t="str">
        <f t="shared" si="204"/>
        <v>Linux Pocket Guide, Essential Commands</v>
      </c>
    </row>
    <row r="1679" spans="1:9" x14ac:dyDescent="0.45">
      <c r="A1679" t="s">
        <v>1849</v>
      </c>
      <c r="B1679" t="str">
        <f t="shared" si="198"/>
        <v>2003</v>
      </c>
      <c r="C1679" t="str">
        <f t="shared" si="199"/>
        <v>O'Reilly</v>
      </c>
      <c r="D1679" t="str">
        <f t="shared" si="200"/>
        <v>Rob Flickenger</v>
      </c>
      <c r="E1679" s="3" t="str">
        <f t="shared" si="201"/>
        <v/>
      </c>
      <c r="F1679" t="str">
        <f t="shared" si="202"/>
        <v>.pdf</v>
      </c>
      <c r="G1679">
        <f t="shared" si="203"/>
        <v>97</v>
      </c>
      <c r="H1679" s="3">
        <f>LEN(Table1[[#This Row],[Auteur]])</f>
        <v>14</v>
      </c>
      <c r="I1679" s="3" t="str">
        <f t="shared" si="204"/>
        <v>Linux Server Hacks</v>
      </c>
    </row>
    <row r="1680" spans="1:9" x14ac:dyDescent="0.45">
      <c r="A1680" t="s">
        <v>1850</v>
      </c>
      <c r="B1680" t="str">
        <f t="shared" si="198"/>
        <v>2007</v>
      </c>
      <c r="C1680" t="str">
        <f t="shared" si="199"/>
        <v>O'Reilly</v>
      </c>
      <c r="D1680" t="str">
        <f t="shared" si="200"/>
        <v>Tom Adelstein, Bill Lubanovic</v>
      </c>
      <c r="E1680" s="3" t="str">
        <f t="shared" si="201"/>
        <v/>
      </c>
      <c r="F1680" s="3" t="str">
        <f t="shared" si="202"/>
        <v>.pdf</v>
      </c>
      <c r="G1680">
        <f t="shared" si="203"/>
        <v>83</v>
      </c>
      <c r="H1680" s="3">
        <f>LEN(Table1[[#This Row],[Auteur]])</f>
        <v>29</v>
      </c>
      <c r="I1680" s="3" t="str">
        <f t="shared" si="204"/>
        <v>Linux System Administration</v>
      </c>
    </row>
    <row r="1681" spans="1:9" x14ac:dyDescent="0.45">
      <c r="A1681" t="s">
        <v>1851</v>
      </c>
      <c r="B1681" t="str">
        <f t="shared" si="198"/>
        <v>2009</v>
      </c>
      <c r="C1681" t="str">
        <f t="shared" si="199"/>
        <v>ENI</v>
      </c>
      <c r="D1681" t="str">
        <f t="shared" si="200"/>
        <v>Sébastien Rohaut</v>
      </c>
      <c r="E1681" s="3" t="str">
        <f t="shared" si="201"/>
        <v/>
      </c>
      <c r="F1681" s="3" t="str">
        <f t="shared" si="202"/>
        <v>.pdf</v>
      </c>
      <c r="G1681">
        <f t="shared" si="203"/>
        <v>89</v>
      </c>
      <c r="H1681" s="3">
        <f>LEN(Table1[[#This Row],[Auteur]])</f>
        <v>16</v>
      </c>
      <c r="I1681" s="3" t="str">
        <f t="shared" si="204"/>
        <v>Linux, Maîtrisez l'administration du système</v>
      </c>
    </row>
    <row r="1682" spans="1:9" x14ac:dyDescent="0.45">
      <c r="A1682" t="s">
        <v>1852</v>
      </c>
      <c r="B1682" t="str">
        <f t="shared" si="198"/>
        <v>2008</v>
      </c>
      <c r="C1682" t="str">
        <f t="shared" si="199"/>
        <v>McGraw-Hill</v>
      </c>
      <c r="D1682" t="str">
        <f t="shared" si="200"/>
        <v>Richard Petersen</v>
      </c>
      <c r="E1682" s="3" t="str">
        <f t="shared" si="201"/>
        <v/>
      </c>
      <c r="F1682" t="str">
        <f t="shared" si="202"/>
        <v>.pdf</v>
      </c>
      <c r="G1682">
        <f t="shared" si="203"/>
        <v>83</v>
      </c>
      <c r="H1682" s="3">
        <f>LEN(Table1[[#This Row],[Auteur]])</f>
        <v>16</v>
      </c>
      <c r="I1682" s="3" t="str">
        <f t="shared" si="204"/>
        <v>Linux, The Complete Reference</v>
      </c>
    </row>
    <row r="1683" spans="1:9" x14ac:dyDescent="0.45">
      <c r="A1683" t="s">
        <v>1853</v>
      </c>
      <c r="B1683" t="str">
        <f t="shared" si="198"/>
        <v>2012</v>
      </c>
      <c r="C1683" t="str">
        <f t="shared" si="199"/>
        <v>Cengage Learning</v>
      </c>
      <c r="D1683" t="str">
        <f t="shared" si="200"/>
        <v>Jason W. Eckert</v>
      </c>
      <c r="E1683" s="3" t="str">
        <f t="shared" si="201"/>
        <v/>
      </c>
      <c r="F1683" s="3" t="str">
        <f t="shared" si="202"/>
        <v>.pdf</v>
      </c>
      <c r="G1683" s="3">
        <f t="shared" si="203"/>
        <v>93</v>
      </c>
      <c r="H1683" s="3">
        <f>LEN(Table1[[#This Row],[Auteur]])</f>
        <v>15</v>
      </c>
      <c r="I1683" s="3" t="str">
        <f t="shared" si="204"/>
        <v>Linux+ Guide to Linux Certification</v>
      </c>
    </row>
    <row r="1684" spans="1:9" x14ac:dyDescent="0.45">
      <c r="A1684" t="s">
        <v>1854</v>
      </c>
      <c r="B1684" t="str">
        <f t="shared" si="198"/>
        <v>2009</v>
      </c>
      <c r="C1684" t="str">
        <f t="shared" si="199"/>
        <v>Wiley</v>
      </c>
      <c r="D1684" t="str">
        <f t="shared" si="200"/>
        <v>Roderick W. Smith</v>
      </c>
      <c r="E1684" s="3" t="str">
        <f t="shared" si="201"/>
        <v/>
      </c>
      <c r="F1684" s="3" t="str">
        <f t="shared" si="202"/>
        <v>.pdf</v>
      </c>
      <c r="G1684">
        <f t="shared" si="203"/>
        <v>111</v>
      </c>
      <c r="H1684" s="3">
        <f>LEN(Table1[[#This Row],[Auteur]])</f>
        <v>17</v>
      </c>
      <c r="I1684" s="3" t="str">
        <f t="shared" si="204"/>
        <v>LPIC 1, Linux Professional Institute Certification Study Guide</v>
      </c>
    </row>
    <row r="1685" spans="1:9" x14ac:dyDescent="0.45">
      <c r="A1685" t="s">
        <v>1855</v>
      </c>
      <c r="B1685" t="str">
        <f t="shared" si="198"/>
        <v>2011</v>
      </c>
      <c r="C1685" t="str">
        <f t="shared" si="199"/>
        <v>Wiley</v>
      </c>
      <c r="D1685" t="str">
        <f t="shared" si="200"/>
        <v>Roderick W. Smith</v>
      </c>
      <c r="E1685" s="3" t="str">
        <f t="shared" si="201"/>
        <v/>
      </c>
      <c r="F1685" t="str">
        <f t="shared" si="202"/>
        <v>.pdf</v>
      </c>
      <c r="G1685">
        <f t="shared" si="203"/>
        <v>103</v>
      </c>
      <c r="H1685" s="3">
        <f>LEN(Table1[[#This Row],[Auteur]])</f>
        <v>17</v>
      </c>
      <c r="I1685" s="3" t="str">
        <f t="shared" si="204"/>
        <v>LPIC 2, Linux Professional Institute Certification Study Guide</v>
      </c>
    </row>
    <row r="1686" spans="1:9" x14ac:dyDescent="0.45">
      <c r="A1686" t="s">
        <v>1856</v>
      </c>
      <c r="B1686" t="str">
        <f t="shared" si="198"/>
        <v>2001</v>
      </c>
      <c r="C1686" t="str">
        <f t="shared" si="199"/>
        <v>O'Reilly</v>
      </c>
      <c r="D1686" t="str">
        <f t="shared" si="200"/>
        <v>Stern, Eisler, Labiaga</v>
      </c>
      <c r="E1686" s="3" t="str">
        <f t="shared" si="201"/>
        <v/>
      </c>
      <c r="F1686" t="str">
        <f t="shared" si="202"/>
        <v>.pdf</v>
      </c>
      <c r="G1686">
        <f t="shared" si="203"/>
        <v>77</v>
      </c>
      <c r="H1686" s="3">
        <f>LEN(Table1[[#This Row],[Auteur]])</f>
        <v>22</v>
      </c>
      <c r="I1686" s="3" t="str">
        <f t="shared" si="204"/>
        <v>Managing NFS and NIS</v>
      </c>
    </row>
    <row r="1687" spans="1:9" x14ac:dyDescent="0.45">
      <c r="A1687" t="s">
        <v>1857</v>
      </c>
      <c r="B1687" t="str">
        <f t="shared" si="198"/>
        <v>2003</v>
      </c>
      <c r="C1687" t="str">
        <f t="shared" si="199"/>
        <v>O'Reilly</v>
      </c>
      <c r="D1687" t="str">
        <f t="shared" si="200"/>
        <v>Derek Vadala</v>
      </c>
      <c r="E1687" s="3" t="str">
        <f t="shared" si="201"/>
        <v/>
      </c>
      <c r="F1687" s="3" t="str">
        <f t="shared" si="202"/>
        <v>.pdf</v>
      </c>
      <c r="G1687" s="3">
        <f t="shared" si="203"/>
        <v>61</v>
      </c>
      <c r="H1687" s="3">
        <f>LEN(Table1[[#This Row],[Auteur]])</f>
        <v>12</v>
      </c>
      <c r="I1687" s="3" t="str">
        <f t="shared" si="204"/>
        <v>Managing RAID on Linux</v>
      </c>
    </row>
    <row r="1688" spans="1:9" x14ac:dyDescent="0.45">
      <c r="A1688" t="s">
        <v>1858</v>
      </c>
      <c r="B1688" t="str">
        <f t="shared" si="198"/>
        <v>2009</v>
      </c>
      <c r="C1688" t="str">
        <f t="shared" si="199"/>
        <v>Apress</v>
      </c>
      <c r="D1688" t="str">
        <f t="shared" si="200"/>
        <v>James Turnbull, Peter Lieverdink, Dennis Matotek</v>
      </c>
      <c r="E1688" s="3" t="str">
        <f t="shared" si="201"/>
        <v/>
      </c>
      <c r="F1688" s="3" t="str">
        <f t="shared" si="202"/>
        <v>.pdf</v>
      </c>
      <c r="G1688">
        <f t="shared" si="203"/>
        <v>104</v>
      </c>
      <c r="H1688" s="3">
        <f>LEN(Table1[[#This Row],[Auteur]])</f>
        <v>48</v>
      </c>
      <c r="I1688" s="3" t="str">
        <f t="shared" si="204"/>
        <v>Pro Linux System Administration</v>
      </c>
    </row>
    <row r="1689" spans="1:9" x14ac:dyDescent="0.45">
      <c r="A1689" t="s">
        <v>1859</v>
      </c>
      <c r="B1689" t="str">
        <f t="shared" si="198"/>
        <v>2008</v>
      </c>
      <c r="C1689" t="str">
        <f t="shared" si="199"/>
        <v>O'Reilly</v>
      </c>
      <c r="D1689" t="str">
        <f t="shared" si="200"/>
        <v>Noah Gift, Jeremy M. Jones</v>
      </c>
      <c r="E1689" s="3" t="str">
        <f t="shared" si="201"/>
        <v/>
      </c>
      <c r="F1689" t="str">
        <f t="shared" si="202"/>
        <v>.pdf</v>
      </c>
      <c r="G1689">
        <f t="shared" si="203"/>
        <v>100</v>
      </c>
      <c r="H1689" s="3">
        <f>LEN(Table1[[#This Row],[Auteur]])</f>
        <v>26</v>
      </c>
      <c r="I1689" s="3" t="str">
        <f t="shared" si="204"/>
        <v>Python for Unix and Linux System Administration</v>
      </c>
    </row>
    <row r="1690" spans="1:9" x14ac:dyDescent="0.45">
      <c r="A1690" t="s">
        <v>1978</v>
      </c>
      <c r="B1690" t="str">
        <f t="shared" si="198"/>
        <v>2003</v>
      </c>
      <c r="C1690" t="str">
        <f t="shared" si="199"/>
        <v>O'Reilly</v>
      </c>
      <c r="D1690" t="str">
        <f t="shared" si="200"/>
        <v>Kalle Dalheimer, Dawson, Kaufman, Welsh</v>
      </c>
      <c r="E1690" s="3" t="str">
        <f t="shared" si="201"/>
        <v/>
      </c>
      <c r="F1690" t="str">
        <f t="shared" si="202"/>
        <v>.pdf</v>
      </c>
      <c r="G1690">
        <f t="shared" si="203"/>
        <v>87</v>
      </c>
      <c r="H1690" s="3">
        <f>LEN(Table1[[#This Row],[Auteur]])</f>
        <v>39</v>
      </c>
      <c r="I1690" s="3" t="str">
        <f t="shared" si="204"/>
        <v>Running Linux</v>
      </c>
    </row>
    <row r="1691" spans="1:9" x14ac:dyDescent="0.45">
      <c r="A1691" t="s">
        <v>1860</v>
      </c>
      <c r="B1691" t="str">
        <f t="shared" si="198"/>
        <v>2006</v>
      </c>
      <c r="C1691" t="str">
        <f t="shared" si="199"/>
        <v>O'Reilly</v>
      </c>
      <c r="D1691" t="str">
        <f t="shared" si="200"/>
        <v>Matthias Kalle Dalheimer, Matt Welsh</v>
      </c>
      <c r="E1691" s="3" t="str">
        <f t="shared" si="201"/>
        <v/>
      </c>
      <c r="F1691" s="3" t="str">
        <f t="shared" si="202"/>
        <v>.pdf</v>
      </c>
      <c r="G1691">
        <f t="shared" si="203"/>
        <v>84</v>
      </c>
      <c r="H1691" s="3">
        <f>LEN(Table1[[#This Row],[Auteur]])</f>
        <v>36</v>
      </c>
      <c r="I1691" s="3" t="str">
        <f t="shared" si="204"/>
        <v>Running Linux</v>
      </c>
    </row>
    <row r="1692" spans="1:9" x14ac:dyDescent="0.45">
      <c r="A1692" t="s">
        <v>1861</v>
      </c>
      <c r="B1692" t="str">
        <f t="shared" si="198"/>
        <v>2016</v>
      </c>
      <c r="C1692" t="str">
        <f t="shared" si="199"/>
        <v>Eyrolles</v>
      </c>
      <c r="D1692" t="str">
        <f t="shared" si="200"/>
        <v>Christophe Blaess</v>
      </c>
      <c r="E1692" s="3" t="str">
        <f t="shared" si="201"/>
        <v/>
      </c>
      <c r="F1692" s="3" t="str">
        <f t="shared" si="202"/>
        <v>.pdf</v>
      </c>
      <c r="G1692" s="3">
        <f t="shared" si="203"/>
        <v>82</v>
      </c>
      <c r="H1692" s="3">
        <f>LEN(Table1[[#This Row],[Auteur]])</f>
        <v>17</v>
      </c>
      <c r="I1692" s="3" t="str">
        <f t="shared" si="204"/>
        <v>Solutions temps réel sous Linux</v>
      </c>
    </row>
    <row r="1693" spans="1:9" x14ac:dyDescent="0.45">
      <c r="A1693" t="s">
        <v>1862</v>
      </c>
      <c r="B1693" t="str">
        <f t="shared" si="198"/>
        <v>2001</v>
      </c>
      <c r="C1693" t="str">
        <f t="shared" si="199"/>
        <v>O'Reilly</v>
      </c>
      <c r="D1693" t="str">
        <f t="shared" si="200"/>
        <v>Daniel J. Barrett, Richard Silverman</v>
      </c>
      <c r="E1693" s="3" t="str">
        <f t="shared" si="201"/>
        <v>Dump</v>
      </c>
      <c r="F1693" s="3" t="str">
        <f t="shared" si="202"/>
        <v>.pdf</v>
      </c>
      <c r="G1693">
        <f t="shared" si="203"/>
        <v>113</v>
      </c>
      <c r="H1693" s="3">
        <f>LEN(Table1[[#This Row],[Auteur]])</f>
        <v>36</v>
      </c>
      <c r="I1693" s="3" t="str">
        <f t="shared" si="204"/>
        <v>SSH, The Secure Shell, The Definitive Guide</v>
      </c>
    </row>
    <row r="1694" spans="1:9" x14ac:dyDescent="0.45">
      <c r="A1694" t="s">
        <v>1863</v>
      </c>
      <c r="B1694" t="str">
        <f t="shared" si="198"/>
        <v>1999</v>
      </c>
      <c r="C1694" t="str">
        <f t="shared" si="199"/>
        <v>Sams</v>
      </c>
      <c r="D1694" t="str">
        <f t="shared" si="200"/>
        <v>Sriranga Veeraraghavan</v>
      </c>
      <c r="E1694" s="3" t="str">
        <f t="shared" si="201"/>
        <v/>
      </c>
      <c r="F1694" s="3" t="str">
        <f t="shared" si="202"/>
        <v>.pdf</v>
      </c>
      <c r="G1694">
        <f t="shared" si="203"/>
        <v>94</v>
      </c>
      <c r="H1694" s="3">
        <f>LEN(Table1[[#This Row],[Auteur]])</f>
        <v>22</v>
      </c>
      <c r="I1694" s="3" t="str">
        <f t="shared" si="204"/>
        <v>Teach Yourself Unix Shell Programming in 24 Hours</v>
      </c>
    </row>
    <row r="1695" spans="1:9" x14ac:dyDescent="0.45">
      <c r="A1695" t="s">
        <v>1864</v>
      </c>
      <c r="B1695" t="str">
        <f t="shared" si="198"/>
        <v>2003</v>
      </c>
      <c r="C1695" t="str">
        <f t="shared" si="199"/>
        <v>O'Reilly</v>
      </c>
      <c r="D1695" t="str">
        <f t="shared" si="200"/>
        <v>Greg Lehey</v>
      </c>
      <c r="E1695" s="3" t="str">
        <f t="shared" si="201"/>
        <v/>
      </c>
      <c r="F1695" s="3" t="str">
        <f t="shared" si="202"/>
        <v>.pdf</v>
      </c>
      <c r="G1695">
        <f t="shared" si="203"/>
        <v>65</v>
      </c>
      <c r="H1695" s="3">
        <f>LEN(Table1[[#This Row],[Auteur]])</f>
        <v>10</v>
      </c>
      <c r="I1695" s="3" t="str">
        <f t="shared" si="204"/>
        <v>The Complete FreeBSD</v>
      </c>
    </row>
    <row r="1696" spans="1:9" x14ac:dyDescent="0.45">
      <c r="A1696" t="s">
        <v>1865</v>
      </c>
      <c r="B1696" t="str">
        <f t="shared" si="198"/>
        <v>1986</v>
      </c>
      <c r="C1696" t="str">
        <f t="shared" si="199"/>
        <v>Prentice Hall</v>
      </c>
      <c r="D1696" t="str">
        <f t="shared" si="200"/>
        <v>Maurice J Bach</v>
      </c>
      <c r="E1696" s="3" t="str">
        <f t="shared" si="201"/>
        <v>Scan</v>
      </c>
      <c r="F1696" t="str">
        <f t="shared" si="202"/>
        <v>.pdf</v>
      </c>
      <c r="G1696">
        <f t="shared" si="203"/>
        <v>92</v>
      </c>
      <c r="H1696" s="3">
        <f>LEN(Table1[[#This Row],[Auteur]])</f>
        <v>14</v>
      </c>
      <c r="I1696" s="3" t="str">
        <f t="shared" si="204"/>
        <v>The Design of the Unix Operating System</v>
      </c>
    </row>
    <row r="1697" spans="1:9" x14ac:dyDescent="0.45">
      <c r="A1697" t="s">
        <v>1866</v>
      </c>
      <c r="B1697" t="str">
        <f t="shared" si="198"/>
        <v>2009</v>
      </c>
      <c r="C1697" t="str">
        <f t="shared" si="199"/>
        <v>Wiley</v>
      </c>
      <c r="D1697" t="str">
        <f t="shared" si="200"/>
        <v>Richard Blum</v>
      </c>
      <c r="E1697" s="3" t="str">
        <f t="shared" si="201"/>
        <v/>
      </c>
      <c r="F1697" s="3" t="str">
        <f t="shared" si="202"/>
        <v>.pdf</v>
      </c>
      <c r="G1697">
        <f t="shared" si="203"/>
        <v>56</v>
      </c>
      <c r="H1697" s="3">
        <f>LEN(Table1[[#This Row],[Auteur]])</f>
        <v>12</v>
      </c>
      <c r="I1697" s="3" t="str">
        <f t="shared" si="204"/>
        <v>Ubuntu Linux Secrets</v>
      </c>
    </row>
    <row r="1698" spans="1:9" x14ac:dyDescent="0.45">
      <c r="A1698" t="s">
        <v>1867</v>
      </c>
      <c r="B1698" t="str">
        <f t="shared" si="198"/>
        <v>2012</v>
      </c>
      <c r="C1698" t="str">
        <f t="shared" si="199"/>
        <v>No Starch</v>
      </c>
      <c r="D1698" t="str">
        <f t="shared" si="200"/>
        <v>Rickford Grant, Phil Bull</v>
      </c>
      <c r="E1698" s="3" t="str">
        <f t="shared" si="201"/>
        <v/>
      </c>
      <c r="F1698" s="3" t="str">
        <f t="shared" si="202"/>
        <v>.pdf</v>
      </c>
      <c r="G1698">
        <f t="shared" si="203"/>
        <v>108</v>
      </c>
      <c r="H1698" s="3">
        <f>LEN(Table1[[#This Row],[Auteur]])</f>
        <v>25</v>
      </c>
      <c r="I1698" s="3" t="str">
        <f t="shared" si="204"/>
        <v>Ubuntu Made Easy, A Project-Based Introduction to Linux</v>
      </c>
    </row>
    <row r="1699" spans="1:9" x14ac:dyDescent="0.45">
      <c r="A1699" t="s">
        <v>1868</v>
      </c>
      <c r="B1699" t="str">
        <f t="shared" si="198"/>
        <v>2002</v>
      </c>
      <c r="C1699" t="str">
        <f t="shared" si="199"/>
        <v>O'Reilly</v>
      </c>
      <c r="D1699" t="str">
        <f t="shared" si="200"/>
        <v>Daniel P. Bovet, Marco Cesati</v>
      </c>
      <c r="E1699" s="3" t="str">
        <f t="shared" si="201"/>
        <v>Dump</v>
      </c>
      <c r="F1699" t="str">
        <f t="shared" si="202"/>
        <v>.pdf</v>
      </c>
      <c r="G1699">
        <f t="shared" si="203"/>
        <v>101</v>
      </c>
      <c r="H1699" s="3">
        <f>LEN(Table1[[#This Row],[Auteur]])</f>
        <v>29</v>
      </c>
      <c r="I1699" s="3" t="str">
        <f t="shared" si="204"/>
        <v>Understanding the Linux Kernel</v>
      </c>
    </row>
    <row r="1700" spans="1:9" x14ac:dyDescent="0.45">
      <c r="A1700" t="s">
        <v>1869</v>
      </c>
      <c r="B1700" t="str">
        <f t="shared" si="198"/>
        <v>2000</v>
      </c>
      <c r="C1700" t="str">
        <f t="shared" si="199"/>
        <v>O'Reilly</v>
      </c>
      <c r="D1700" t="str">
        <f t="shared" si="200"/>
        <v>Daniel P. Bovet, Marco Cesati</v>
      </c>
      <c r="E1700" s="3" t="str">
        <f t="shared" si="201"/>
        <v/>
      </c>
      <c r="F1700" t="str">
        <f t="shared" si="202"/>
        <v>.pdf</v>
      </c>
      <c r="G1700">
        <f t="shared" si="203"/>
        <v>86</v>
      </c>
      <c r="H1700" s="3">
        <f>LEN(Table1[[#This Row],[Auteur]])</f>
        <v>29</v>
      </c>
      <c r="I1700" s="3" t="str">
        <f t="shared" si="204"/>
        <v>Understanding the Linux Kernel</v>
      </c>
    </row>
    <row r="1701" spans="1:9" x14ac:dyDescent="0.45">
      <c r="A1701" t="s">
        <v>1870</v>
      </c>
      <c r="B1701" t="str">
        <f t="shared" si="198"/>
        <v>2003</v>
      </c>
      <c r="C1701" t="str">
        <f t="shared" si="199"/>
        <v>Wiley</v>
      </c>
      <c r="D1701" t="str">
        <f t="shared" si="200"/>
        <v>Steve D. Pate</v>
      </c>
      <c r="E1701" s="3" t="str">
        <f t="shared" si="201"/>
        <v/>
      </c>
      <c r="F1701" t="str">
        <f t="shared" si="202"/>
        <v>.pdf</v>
      </c>
      <c r="G1701">
        <f t="shared" si="203"/>
        <v>91</v>
      </c>
      <c r="H1701" s="3">
        <f>LEN(Table1[[#This Row],[Auteur]])</f>
        <v>13</v>
      </c>
      <c r="I1701" s="3" t="str">
        <f t="shared" si="204"/>
        <v>Unix Filesystems, Evolution, Design and Implementation</v>
      </c>
    </row>
    <row r="1702" spans="1:9" x14ac:dyDescent="0.45">
      <c r="A1702" t="s">
        <v>1871</v>
      </c>
      <c r="B1702" t="str">
        <f t="shared" si="198"/>
        <v>2014</v>
      </c>
      <c r="C1702" t="str">
        <f t="shared" si="199"/>
        <v>Eyrolles</v>
      </c>
      <c r="D1702" t="str">
        <f t="shared" si="200"/>
        <v>Mathieu Lavant</v>
      </c>
      <c r="E1702" s="3" t="str">
        <f t="shared" si="201"/>
        <v/>
      </c>
      <c r="F1702" t="str">
        <f t="shared" si="202"/>
        <v>.pdf</v>
      </c>
      <c r="G1702">
        <f t="shared" si="203"/>
        <v>104</v>
      </c>
      <c r="H1702" s="3">
        <f>LEN(Table1[[#This Row],[Auteur]])</f>
        <v>14</v>
      </c>
      <c r="I1702" s="3" t="str">
        <f t="shared" si="204"/>
        <v>À la découverte de Mac OS X Mavericks, Spécial grands débutants</v>
      </c>
    </row>
    <row r="1703" spans="1:9" x14ac:dyDescent="0.45">
      <c r="A1703" t="s">
        <v>1872</v>
      </c>
      <c r="B1703" t="str">
        <f t="shared" si="198"/>
        <v>2016</v>
      </c>
      <c r="C1703" t="str">
        <f t="shared" si="199"/>
        <v>Eyrolles</v>
      </c>
      <c r="D1703" t="str">
        <f t="shared" si="200"/>
        <v>Fabrice Neuman</v>
      </c>
      <c r="E1703" s="3" t="str">
        <f t="shared" si="201"/>
        <v/>
      </c>
      <c r="F1703" t="str">
        <f t="shared" si="202"/>
        <v>.pdf</v>
      </c>
      <c r="G1703">
        <f t="shared" si="203"/>
        <v>92</v>
      </c>
      <c r="H1703" s="3">
        <f>LEN(Table1[[#This Row],[Auteur]])</f>
        <v>14</v>
      </c>
      <c r="I1703" s="3" t="str">
        <f t="shared" si="204"/>
        <v>Le guide pratique Mac OS X El Capitan Version 10.11</v>
      </c>
    </row>
    <row r="1704" spans="1:9" x14ac:dyDescent="0.45">
      <c r="A1704" t="s">
        <v>1873</v>
      </c>
      <c r="B1704" t="str">
        <f t="shared" si="198"/>
        <v>2015</v>
      </c>
      <c r="C1704" t="str">
        <f t="shared" si="199"/>
        <v>Eyrolles</v>
      </c>
      <c r="D1704" t="str">
        <f t="shared" si="200"/>
        <v>Neuman, Forgeard-Grignon, Roda</v>
      </c>
      <c r="E1704" s="3" t="str">
        <f t="shared" si="201"/>
        <v/>
      </c>
      <c r="F1704" s="3" t="str">
        <f t="shared" si="202"/>
        <v>.pdf</v>
      </c>
      <c r="G1704">
        <f t="shared" si="203"/>
        <v>92</v>
      </c>
      <c r="H1704" s="3">
        <f>LEN(Table1[[#This Row],[Auteur]])</f>
        <v>30</v>
      </c>
      <c r="I1704" s="3" t="str">
        <f t="shared" si="204"/>
        <v>Le guide pratique Mac OS X Yosemite</v>
      </c>
    </row>
    <row r="1705" spans="1:9" x14ac:dyDescent="0.45">
      <c r="A1705" t="s">
        <v>1874</v>
      </c>
      <c r="B1705" t="str">
        <f t="shared" si="198"/>
        <v>2003</v>
      </c>
      <c r="C1705" t="str">
        <f t="shared" si="199"/>
        <v>O'Reilly</v>
      </c>
      <c r="D1705" t="str">
        <f t="shared" si="200"/>
        <v>Brian Jepson, Ernest E. Rothman</v>
      </c>
      <c r="E1705" s="3" t="str">
        <f t="shared" si="201"/>
        <v/>
      </c>
      <c r="F1705" t="str">
        <f t="shared" si="202"/>
        <v>.pdf</v>
      </c>
      <c r="G1705">
        <f t="shared" si="203"/>
        <v>81</v>
      </c>
      <c r="H1705" s="3">
        <f>LEN(Table1[[#This Row],[Auteur]])</f>
        <v>31</v>
      </c>
      <c r="I1705" s="3" t="str">
        <f t="shared" si="204"/>
        <v>Mac OS X for Unix Geeks</v>
      </c>
    </row>
    <row r="1706" spans="1:9" x14ac:dyDescent="0.45">
      <c r="A1706" t="s">
        <v>1879</v>
      </c>
      <c r="B1706" t="str">
        <f t="shared" si="198"/>
        <v>2016</v>
      </c>
      <c r="C1706" t="str">
        <f t="shared" si="199"/>
        <v>Eyrolles</v>
      </c>
      <c r="D1706" t="str">
        <f t="shared" si="200"/>
        <v>Mathieu Lavant</v>
      </c>
      <c r="E1706" s="3" t="str">
        <f t="shared" si="201"/>
        <v/>
      </c>
      <c r="F1706" t="str">
        <f t="shared" si="202"/>
        <v>.pdf</v>
      </c>
      <c r="G1706">
        <f t="shared" si="203"/>
        <v>83</v>
      </c>
      <c r="H1706" s="3">
        <f>LEN(Table1[[#This Row],[Auteur]])</f>
        <v>14</v>
      </c>
      <c r="I1706" s="3" t="str">
        <f t="shared" si="204"/>
        <v>À la découverte de Windows 10 anniversaire</v>
      </c>
    </row>
    <row r="1707" spans="1:9" x14ac:dyDescent="0.45">
      <c r="A1707" t="s">
        <v>1880</v>
      </c>
      <c r="B1707" t="str">
        <f t="shared" si="198"/>
        <v>2001</v>
      </c>
      <c r="C1707" t="str">
        <f t="shared" si="199"/>
        <v>O'Reilly</v>
      </c>
      <c r="D1707" t="str">
        <f t="shared" si="200"/>
        <v>Neall Alcott</v>
      </c>
      <c r="E1707" s="3" t="str">
        <f t="shared" si="201"/>
        <v/>
      </c>
      <c r="F1707" s="3" t="str">
        <f t="shared" si="202"/>
        <v>.pdf</v>
      </c>
      <c r="G1707">
        <f t="shared" si="203"/>
        <v>60</v>
      </c>
      <c r="H1707" s="3">
        <f>LEN(Table1[[#This Row],[Auteur]])</f>
        <v>12</v>
      </c>
      <c r="I1707" s="3" t="str">
        <f t="shared" si="204"/>
        <v>DHCP for Windows 2000</v>
      </c>
    </row>
    <row r="1708" spans="1:9" x14ac:dyDescent="0.45">
      <c r="A1708" t="s">
        <v>1881</v>
      </c>
      <c r="B1708" t="str">
        <f t="shared" si="198"/>
        <v>2001</v>
      </c>
      <c r="C1708" t="str">
        <f t="shared" si="199"/>
        <v>O'Reilly</v>
      </c>
      <c r="D1708" t="str">
        <f t="shared" si="200"/>
        <v>Matt Larson</v>
      </c>
      <c r="E1708" s="3" t="str">
        <f t="shared" si="201"/>
        <v>Dump</v>
      </c>
      <c r="F1708" s="3" t="str">
        <f t="shared" si="202"/>
        <v>.pdf</v>
      </c>
      <c r="G1708">
        <f t="shared" si="203"/>
        <v>72</v>
      </c>
      <c r="H1708" s="3">
        <f>LEN(Table1[[#This Row],[Auteur]])</f>
        <v>11</v>
      </c>
      <c r="I1708" s="3" t="str">
        <f t="shared" si="204"/>
        <v>DNS on Windows 2000</v>
      </c>
    </row>
    <row r="1709" spans="1:9" x14ac:dyDescent="0.45">
      <c r="A1709" t="s">
        <v>1882</v>
      </c>
      <c r="B1709" t="str">
        <f t="shared" si="198"/>
        <v>2008</v>
      </c>
      <c r="C1709" t="str">
        <f t="shared" si="199"/>
        <v>Addison-Wesley</v>
      </c>
      <c r="D1709" t="str">
        <f t="shared" si="200"/>
        <v>Holger Schwichtenberg</v>
      </c>
      <c r="E1709" s="3" t="str">
        <f t="shared" si="201"/>
        <v/>
      </c>
      <c r="F1709" t="str">
        <f t="shared" si="202"/>
        <v>.pdf</v>
      </c>
      <c r="G1709">
        <f t="shared" si="203"/>
        <v>74</v>
      </c>
      <c r="H1709" s="3">
        <f>LEN(Table1[[#This Row],[Auteur]])</f>
        <v>21</v>
      </c>
      <c r="I1709" s="3" t="str">
        <f t="shared" si="204"/>
        <v>Essential PowerShell</v>
      </c>
    </row>
    <row r="1710" spans="1:9" x14ac:dyDescent="0.45">
      <c r="A1710" t="s">
        <v>1883</v>
      </c>
      <c r="B1710" t="str">
        <f t="shared" si="198"/>
        <v>2015</v>
      </c>
      <c r="C1710" t="str">
        <f t="shared" si="199"/>
        <v>Microsoft Press</v>
      </c>
      <c r="D1710" t="str">
        <f t="shared" si="200"/>
        <v>Ed Bott</v>
      </c>
      <c r="E1710" s="3" t="str">
        <f t="shared" si="201"/>
        <v>Preview</v>
      </c>
      <c r="F1710" t="str">
        <f t="shared" si="202"/>
        <v>.epub</v>
      </c>
      <c r="G1710">
        <f t="shared" si="203"/>
        <v>94</v>
      </c>
      <c r="H1710" s="3">
        <f>LEN(Table1[[#This Row],[Auteur]])</f>
        <v>7</v>
      </c>
      <c r="I1710" s="3" t="str">
        <f t="shared" si="204"/>
        <v>Introducing Widows 10 for IT Professionals</v>
      </c>
    </row>
    <row r="1711" spans="1:9" x14ac:dyDescent="0.45">
      <c r="A1711" t="s">
        <v>1884</v>
      </c>
      <c r="B1711" t="str">
        <f t="shared" si="198"/>
        <v>2015</v>
      </c>
      <c r="C1711" t="str">
        <f t="shared" si="199"/>
        <v>Microsoft Press</v>
      </c>
      <c r="D1711" t="str">
        <f t="shared" si="200"/>
        <v>Ed Bott</v>
      </c>
      <c r="E1711" s="3" t="str">
        <f t="shared" si="201"/>
        <v>Preview</v>
      </c>
      <c r="F1711" t="str">
        <f t="shared" si="202"/>
        <v>.pdf</v>
      </c>
      <c r="G1711">
        <f t="shared" si="203"/>
        <v>93</v>
      </c>
      <c r="H1711" s="3">
        <f>LEN(Table1[[#This Row],[Auteur]])</f>
        <v>7</v>
      </c>
      <c r="I1711" s="3" t="str">
        <f t="shared" si="204"/>
        <v>Introducing Widows 10 for IT Professionals</v>
      </c>
    </row>
    <row r="1712" spans="1:9" x14ac:dyDescent="0.45">
      <c r="A1712" t="s">
        <v>1885</v>
      </c>
      <c r="B1712" t="str">
        <f t="shared" si="198"/>
        <v>2014</v>
      </c>
      <c r="C1712" t="str">
        <f t="shared" si="199"/>
        <v>Eyrolles</v>
      </c>
      <c r="D1712" t="str">
        <f t="shared" si="200"/>
        <v>Fabrice Neuman</v>
      </c>
      <c r="E1712" s="3" t="str">
        <f t="shared" si="201"/>
        <v/>
      </c>
      <c r="F1712" t="str">
        <f t="shared" si="202"/>
        <v>.pdf</v>
      </c>
      <c r="G1712">
        <f t="shared" si="203"/>
        <v>68</v>
      </c>
      <c r="H1712" s="3">
        <f>LEN(Table1[[#This Row],[Auteur]])</f>
        <v>14</v>
      </c>
      <c r="I1712" s="3" t="str">
        <f t="shared" si="204"/>
        <v>Le guide pratique Windows 8</v>
      </c>
    </row>
    <row r="1713" spans="1:9" x14ac:dyDescent="0.45">
      <c r="A1713" t="s">
        <v>1886</v>
      </c>
      <c r="B1713" t="str">
        <f t="shared" si="198"/>
        <v>2015</v>
      </c>
      <c r="C1713" t="str">
        <f t="shared" si="199"/>
        <v>Eyrolles</v>
      </c>
      <c r="D1713" t="str">
        <f t="shared" si="200"/>
        <v>Fabrice Neuman</v>
      </c>
      <c r="E1713" s="3" t="str">
        <f t="shared" si="201"/>
        <v/>
      </c>
      <c r="F1713" t="str">
        <f t="shared" si="202"/>
        <v>.pdf</v>
      </c>
      <c r="G1713">
        <f t="shared" si="203"/>
        <v>69</v>
      </c>
      <c r="H1713" s="3">
        <f>LEN(Table1[[#This Row],[Auteur]])</f>
        <v>14</v>
      </c>
      <c r="I1713" s="3" t="str">
        <f t="shared" si="204"/>
        <v>Le guide pratique Windows 10</v>
      </c>
    </row>
    <row r="1714" spans="1:9" x14ac:dyDescent="0.45">
      <c r="A1714" t="s">
        <v>1887</v>
      </c>
      <c r="B1714" t="str">
        <f t="shared" si="198"/>
        <v>2000</v>
      </c>
      <c r="C1714" t="str">
        <f t="shared" si="199"/>
        <v>O'Reilly</v>
      </c>
      <c r="D1714" t="str">
        <f t="shared" si="200"/>
        <v>Paul Robichaux</v>
      </c>
      <c r="E1714" s="3" t="str">
        <f t="shared" si="201"/>
        <v/>
      </c>
      <c r="F1714" t="str">
        <f t="shared" si="202"/>
        <v>.pdf</v>
      </c>
      <c r="G1714">
        <f t="shared" si="203"/>
        <v>75</v>
      </c>
      <c r="H1714" s="3">
        <f>LEN(Table1[[#This Row],[Auteur]])</f>
        <v>14</v>
      </c>
      <c r="I1714" s="3" t="str">
        <f t="shared" si="204"/>
        <v>Managing the Windows 2000 Registry</v>
      </c>
    </row>
    <row r="1715" spans="1:9" x14ac:dyDescent="0.45">
      <c r="A1715" t="s">
        <v>1888</v>
      </c>
      <c r="B1715" t="str">
        <f t="shared" si="198"/>
        <v>2009</v>
      </c>
      <c r="C1715" t="str">
        <f t="shared" si="199"/>
        <v>BBS Technologies</v>
      </c>
      <c r="D1715" t="str">
        <f t="shared" si="200"/>
        <v>Tobias Weltner</v>
      </c>
      <c r="E1715" s="3" t="str">
        <f t="shared" si="201"/>
        <v/>
      </c>
      <c r="F1715" t="str">
        <f t="shared" si="202"/>
        <v>.pdf</v>
      </c>
      <c r="G1715">
        <f t="shared" si="203"/>
        <v>69</v>
      </c>
      <c r="H1715" s="3">
        <f>LEN(Table1[[#This Row],[Auteur]])</f>
        <v>14</v>
      </c>
      <c r="I1715" s="3" t="str">
        <f t="shared" si="204"/>
        <v>Mastering PowerShell</v>
      </c>
    </row>
    <row r="1716" spans="1:9" x14ac:dyDescent="0.45">
      <c r="A1716" t="s">
        <v>1889</v>
      </c>
      <c r="B1716" t="str">
        <f t="shared" si="198"/>
        <v>2012</v>
      </c>
      <c r="C1716" t="str">
        <f t="shared" si="199"/>
        <v>Apress</v>
      </c>
      <c r="D1716" t="str">
        <f t="shared" si="200"/>
        <v>Adam Freeman</v>
      </c>
      <c r="E1716" s="3" t="str">
        <f t="shared" si="201"/>
        <v/>
      </c>
      <c r="F1716" s="3" t="str">
        <f t="shared" si="202"/>
        <v>.pdf</v>
      </c>
      <c r="G1716">
        <f t="shared" si="203"/>
        <v>102</v>
      </c>
      <c r="H1716" s="3">
        <f>LEN(Table1[[#This Row],[Auteur]])</f>
        <v>12</v>
      </c>
      <c r="I1716" s="3" t="str">
        <f t="shared" si="204"/>
        <v>Metro Revealed, Building Windows 8 Apps with HTML5 and JavaScript</v>
      </c>
    </row>
    <row r="1717" spans="1:9" x14ac:dyDescent="0.45">
      <c r="A1717" t="s">
        <v>1890</v>
      </c>
      <c r="B1717" t="str">
        <f t="shared" si="198"/>
        <v>2009</v>
      </c>
      <c r="C1717" t="str">
        <f t="shared" si="199"/>
        <v>Wiley</v>
      </c>
      <c r="D1717" t="str">
        <f t="shared" si="200"/>
        <v>William R. Stanek, James O'Neill, Jeffrey Rosen</v>
      </c>
      <c r="E1717" s="3" t="str">
        <f t="shared" si="201"/>
        <v/>
      </c>
      <c r="F1717" t="str">
        <f t="shared" si="202"/>
        <v>.pdf</v>
      </c>
      <c r="G1717">
        <f t="shared" si="203"/>
        <v>119</v>
      </c>
      <c r="H1717" s="3">
        <f>LEN(Table1[[#This Row],[Auteur]])</f>
        <v>47</v>
      </c>
      <c r="I1717" s="3" t="str">
        <f t="shared" si="204"/>
        <v>Microsoft PowerShell, VBScript and JScript Bible</v>
      </c>
    </row>
    <row r="1718" spans="1:9" x14ac:dyDescent="0.45">
      <c r="A1718" t="s">
        <v>1891</v>
      </c>
      <c r="B1718" t="str">
        <f t="shared" si="198"/>
        <v>2007</v>
      </c>
      <c r="C1718" t="str">
        <f t="shared" si="199"/>
        <v>Thomson</v>
      </c>
      <c r="D1718" t="str">
        <f t="shared" si="200"/>
        <v>Jerry Lee Ford</v>
      </c>
      <c r="E1718" s="3" t="str">
        <f t="shared" si="201"/>
        <v/>
      </c>
      <c r="F1718" t="str">
        <f t="shared" si="202"/>
        <v>.pdf</v>
      </c>
      <c r="G1718">
        <f t="shared" si="203"/>
        <v>102</v>
      </c>
      <c r="H1718" s="3">
        <f>LEN(Table1[[#This Row],[Auteur]])</f>
        <v>14</v>
      </c>
      <c r="I1718" s="3" t="str">
        <f t="shared" si="204"/>
        <v>Microsoft Windows PowerShell Programming for Absolute Beginner</v>
      </c>
    </row>
    <row r="1719" spans="1:9" x14ac:dyDescent="0.45">
      <c r="A1719" t="s">
        <v>1892</v>
      </c>
      <c r="B1719" t="str">
        <f t="shared" si="198"/>
        <v>2013</v>
      </c>
      <c r="C1719" t="str">
        <f t="shared" si="199"/>
        <v>Eyrolles</v>
      </c>
      <c r="D1719" t="str">
        <f t="shared" si="200"/>
        <v>Bories, Laachir, Lafeil, Thieblemont, Vitrant</v>
      </c>
      <c r="E1719" s="3" t="str">
        <f t="shared" si="201"/>
        <v/>
      </c>
      <c r="F1719" t="str">
        <f t="shared" si="202"/>
        <v>.pdf</v>
      </c>
      <c r="G1719">
        <f t="shared" si="203"/>
        <v>146</v>
      </c>
      <c r="H1719" s="3">
        <f>LEN(Table1[[#This Row],[Auteur]])</f>
        <v>45</v>
      </c>
      <c r="I1719" s="3" t="str">
        <f t="shared" si="204"/>
        <v>Virtualisation du poste de travail Windows 7 et 8 avec Windows Server 2012</v>
      </c>
    </row>
    <row r="1720" spans="1:9" x14ac:dyDescent="0.45">
      <c r="A1720" t="s">
        <v>1893</v>
      </c>
      <c r="B1720" t="str">
        <f t="shared" si="198"/>
        <v>2009</v>
      </c>
      <c r="C1720" t="str">
        <f t="shared" si="199"/>
        <v>The Long Climb</v>
      </c>
      <c r="D1720" t="str">
        <f t="shared" si="200"/>
        <v>Mike Halsey</v>
      </c>
      <c r="E1720" s="3" t="str">
        <f t="shared" si="201"/>
        <v/>
      </c>
      <c r="F1720" t="str">
        <f t="shared" si="202"/>
        <v>.pdf</v>
      </c>
      <c r="G1720">
        <f t="shared" si="203"/>
        <v>71</v>
      </c>
      <c r="H1720" s="3">
        <f>LEN(Table1[[#This Row],[Auteur]])</f>
        <v>11</v>
      </c>
      <c r="I1720" s="3" t="str">
        <f t="shared" si="204"/>
        <v>Windows 7 Power Users Guide</v>
      </c>
    </row>
    <row r="1721" spans="1:9" x14ac:dyDescent="0.45">
      <c r="A1721" t="s">
        <v>1894</v>
      </c>
      <c r="B1721" t="str">
        <f t="shared" si="198"/>
        <v>2013</v>
      </c>
      <c r="C1721" t="str">
        <f t="shared" si="199"/>
        <v>Eyrolles</v>
      </c>
      <c r="D1721" t="str">
        <f t="shared" si="200"/>
        <v>Louis-Guillaume Morand</v>
      </c>
      <c r="E1721" s="3" t="str">
        <f t="shared" si="201"/>
        <v/>
      </c>
      <c r="F1721" s="3" t="str">
        <f t="shared" si="202"/>
        <v>.pdf</v>
      </c>
      <c r="G1721">
        <f t="shared" si="203"/>
        <v>65</v>
      </c>
      <c r="H1721" s="3">
        <f>LEN(Table1[[#This Row],[Auteur]])</f>
        <v>22</v>
      </c>
      <c r="I1721" s="3" t="str">
        <f t="shared" si="204"/>
        <v>Windows 8 avancé</v>
      </c>
    </row>
    <row r="1722" spans="1:9" x14ac:dyDescent="0.45">
      <c r="A1722" t="s">
        <v>1895</v>
      </c>
      <c r="B1722" t="str">
        <f t="shared" si="198"/>
        <v>2013</v>
      </c>
      <c r="C1722" t="str">
        <f t="shared" si="199"/>
        <v>Eyrolles</v>
      </c>
      <c r="D1722" t="str">
        <f t="shared" si="200"/>
        <v>Philippe Moreau</v>
      </c>
      <c r="E1722" s="3" t="str">
        <f t="shared" si="201"/>
        <v/>
      </c>
      <c r="F1722" t="str">
        <f t="shared" si="202"/>
        <v>.pdf</v>
      </c>
      <c r="G1722">
        <f t="shared" si="203"/>
        <v>102</v>
      </c>
      <c r="H1722" s="3">
        <f>LEN(Table1[[#This Row],[Auteur]])</f>
        <v>15</v>
      </c>
      <c r="I1722" s="3" t="str">
        <f t="shared" si="204"/>
        <v>Windows 8 utilisateur, Guide de formation avec cas pratiques</v>
      </c>
    </row>
    <row r="1723" spans="1:9" x14ac:dyDescent="0.45">
      <c r="A1723" t="s">
        <v>1896</v>
      </c>
      <c r="B1723" t="str">
        <f t="shared" si="198"/>
        <v>2015</v>
      </c>
      <c r="C1723" t="str">
        <f t="shared" si="199"/>
        <v>First</v>
      </c>
      <c r="D1723" t="str">
        <f t="shared" si="200"/>
        <v>Levine, Young, Baroudi, Rathbone</v>
      </c>
      <c r="E1723" s="3" t="str">
        <f t="shared" si="201"/>
        <v/>
      </c>
      <c r="F1723" s="3" t="str">
        <f t="shared" si="202"/>
        <v>.pdf</v>
      </c>
      <c r="G1723">
        <f t="shared" si="203"/>
        <v>92</v>
      </c>
      <c r="H1723" s="3">
        <f>LEN(Table1[[#This Row],[Auteur]])</f>
        <v>32</v>
      </c>
      <c r="I1723" s="3" t="str">
        <f t="shared" si="204"/>
        <v>Windows 10 et Internet pour les nuls</v>
      </c>
    </row>
    <row r="1724" spans="1:9" x14ac:dyDescent="0.45">
      <c r="A1724" t="s">
        <v>1897</v>
      </c>
      <c r="B1724" t="str">
        <f t="shared" si="198"/>
        <v>2015</v>
      </c>
      <c r="C1724" t="str">
        <f t="shared" si="199"/>
        <v>First</v>
      </c>
      <c r="D1724" t="str">
        <f t="shared" si="200"/>
        <v>Bernard Jolivalt</v>
      </c>
      <c r="E1724" s="3" t="str">
        <f t="shared" si="201"/>
        <v/>
      </c>
      <c r="F1724" t="str">
        <f t="shared" si="202"/>
        <v>.epub</v>
      </c>
      <c r="G1724">
        <f t="shared" si="203"/>
        <v>75</v>
      </c>
      <c r="H1724" s="3">
        <f>LEN(Table1[[#This Row],[Auteur]])</f>
        <v>16</v>
      </c>
      <c r="I1724" s="3" t="str">
        <f t="shared" si="204"/>
        <v>Windows 10 pas à pas pour les nuls</v>
      </c>
    </row>
    <row r="1725" spans="1:9" x14ac:dyDescent="0.45">
      <c r="A1725" t="s">
        <v>1898</v>
      </c>
      <c r="B1725" t="str">
        <f t="shared" si="198"/>
        <v>2015</v>
      </c>
      <c r="C1725" t="str">
        <f t="shared" si="199"/>
        <v>First</v>
      </c>
      <c r="D1725" t="str">
        <f t="shared" si="200"/>
        <v>Andy Rathbone</v>
      </c>
      <c r="E1725" s="3" t="str">
        <f t="shared" si="201"/>
        <v/>
      </c>
      <c r="F1725" s="3" t="str">
        <f t="shared" si="202"/>
        <v>.epub</v>
      </c>
      <c r="G1725">
        <f t="shared" si="203"/>
        <v>62</v>
      </c>
      <c r="H1725" s="3">
        <f>LEN(Table1[[#This Row],[Auteur]])</f>
        <v>13</v>
      </c>
      <c r="I1725" s="3" t="str">
        <f t="shared" si="204"/>
        <v>Windows 10 pour les nuls</v>
      </c>
    </row>
    <row r="1726" spans="1:9" x14ac:dyDescent="0.45">
      <c r="A1726" t="s">
        <v>1899</v>
      </c>
      <c r="B1726" t="str">
        <f t="shared" si="198"/>
        <v>2015</v>
      </c>
      <c r="C1726" t="str">
        <f t="shared" si="199"/>
        <v>First</v>
      </c>
      <c r="D1726" t="str">
        <f t="shared" si="200"/>
        <v>Woody Leonhard</v>
      </c>
      <c r="E1726" s="3" t="str">
        <f t="shared" si="201"/>
        <v/>
      </c>
      <c r="F1726" s="3" t="str">
        <f t="shared" si="202"/>
        <v>.pdf</v>
      </c>
      <c r="G1726">
        <f t="shared" si="203"/>
        <v>73</v>
      </c>
      <c r="H1726" s="3">
        <f>LEN(Table1[[#This Row],[Auteur]])</f>
        <v>14</v>
      </c>
      <c r="I1726" s="3" t="str">
        <f t="shared" si="204"/>
        <v>Windows 10 tout en un pour les nuls</v>
      </c>
    </row>
    <row r="1727" spans="1:9" x14ac:dyDescent="0.45">
      <c r="A1727" t="s">
        <v>1900</v>
      </c>
      <c r="B1727" t="str">
        <f t="shared" si="198"/>
        <v>2001</v>
      </c>
      <c r="C1727" t="str">
        <f t="shared" si="199"/>
        <v>O'Reilly</v>
      </c>
      <c r="D1727" t="str">
        <f t="shared" si="200"/>
        <v>Mitch Tulloch</v>
      </c>
      <c r="E1727" s="3" t="str">
        <f t="shared" si="201"/>
        <v>Dump</v>
      </c>
      <c r="F1727" s="3" t="str">
        <f t="shared" si="202"/>
        <v>.pdf</v>
      </c>
      <c r="G1727" s="3">
        <f t="shared" si="203"/>
        <v>88</v>
      </c>
      <c r="H1727" s="3">
        <f>LEN(Table1[[#This Row],[Auteur]])</f>
        <v>13</v>
      </c>
      <c r="I1727" s="3" t="str">
        <f t="shared" si="204"/>
        <v>Windows 2000 Administration in a Nutshell</v>
      </c>
    </row>
    <row r="1728" spans="1:9" x14ac:dyDescent="0.45">
      <c r="A1728" t="s">
        <v>1901</v>
      </c>
      <c r="B1728" t="str">
        <f t="shared" si="198"/>
        <v>2001</v>
      </c>
      <c r="C1728" t="str">
        <f t="shared" si="199"/>
        <v>O'Reilly</v>
      </c>
      <c r="D1728" t="str">
        <f t="shared" si="200"/>
        <v>Æleen Frisch</v>
      </c>
      <c r="E1728" s="3" t="str">
        <f t="shared" si="201"/>
        <v>Dump</v>
      </c>
      <c r="F1728" t="str">
        <f t="shared" si="202"/>
        <v>.pdf</v>
      </c>
      <c r="G1728">
        <f t="shared" si="203"/>
        <v>84</v>
      </c>
      <c r="H1728" s="3">
        <f>LEN(Table1[[#This Row],[Auteur]])</f>
        <v>12</v>
      </c>
      <c r="I1728" s="3" t="str">
        <f t="shared" si="204"/>
        <v>Windows 2000 Commands Pocket Reference</v>
      </c>
    </row>
    <row r="1729" spans="1:9" x14ac:dyDescent="0.45">
      <c r="A1729" t="s">
        <v>1902</v>
      </c>
      <c r="B1729" t="str">
        <f t="shared" si="198"/>
        <v>2002</v>
      </c>
      <c r="C1729" t="str">
        <f t="shared" si="199"/>
        <v>O'Reilly</v>
      </c>
      <c r="D1729" t="str">
        <f t="shared" si="200"/>
        <v>Jim Boyce</v>
      </c>
      <c r="E1729" s="3" t="str">
        <f t="shared" si="201"/>
        <v/>
      </c>
      <c r="F1729" t="str">
        <f t="shared" si="202"/>
        <v>.pdf</v>
      </c>
      <c r="G1729">
        <f t="shared" si="203"/>
        <v>60</v>
      </c>
      <c r="H1729" s="3">
        <f>LEN(Table1[[#This Row],[Auteur]])</f>
        <v>9</v>
      </c>
      <c r="I1729" s="3" t="str">
        <f t="shared" si="204"/>
        <v>Windows 2000 Quick Fixes</v>
      </c>
    </row>
    <row r="1730" spans="1:9" x14ac:dyDescent="0.45">
      <c r="A1730" t="s">
        <v>1903</v>
      </c>
      <c r="B1730" t="str">
        <f t="shared" ref="B1730:B1793" si="205">DatePub(A1730)</f>
        <v>2006</v>
      </c>
      <c r="C1730" t="str">
        <f t="shared" ref="C1730:C1793" si="206">Editeur(A1730)</f>
        <v>Sybex</v>
      </c>
      <c r="D1730" t="str">
        <f t="shared" ref="D1730:D1793" si="207">Auteur(A1730)</f>
        <v>John Paul Mueller</v>
      </c>
      <c r="E1730" s="3" t="str">
        <f t="shared" ref="E1730:E1793" si="208">ExtraInfo(A1730)</f>
        <v/>
      </c>
      <c r="F1730" t="str">
        <f t="shared" ref="F1730:F1793" si="209">Extension(A1730)</f>
        <v>.epub</v>
      </c>
      <c r="G1730">
        <f t="shared" ref="G1730:G1793" si="210">LenFileName(A1730)</f>
        <v>84</v>
      </c>
      <c r="H1730" s="3">
        <f>LEN(Table1[[#This Row],[Auteur]])</f>
        <v>17</v>
      </c>
      <c r="I1730" s="3" t="str">
        <f t="shared" ref="I1730:I1742" si="211">Title(A1730)</f>
        <v>Windows Administration at the Command Line</v>
      </c>
    </row>
    <row r="1731" spans="1:9" x14ac:dyDescent="0.45">
      <c r="A1731" t="s">
        <v>1904</v>
      </c>
      <c r="B1731" t="str">
        <f t="shared" si="205"/>
        <v>2006</v>
      </c>
      <c r="C1731" t="str">
        <f t="shared" si="206"/>
        <v>Sybex</v>
      </c>
      <c r="D1731" t="str">
        <f t="shared" si="207"/>
        <v>John Paul Mueller</v>
      </c>
      <c r="E1731" s="3" t="str">
        <f t="shared" si="208"/>
        <v/>
      </c>
      <c r="F1731" t="str">
        <f t="shared" si="209"/>
        <v>.pdf</v>
      </c>
      <c r="G1731">
        <f t="shared" si="210"/>
        <v>83</v>
      </c>
      <c r="H1731" s="3">
        <f>LEN(Table1[[#This Row],[Auteur]])</f>
        <v>17</v>
      </c>
      <c r="I1731" s="3" t="str">
        <f t="shared" si="211"/>
        <v>Windows Administration at the Command Line</v>
      </c>
    </row>
    <row r="1732" spans="1:9" x14ac:dyDescent="0.45">
      <c r="A1732" t="s">
        <v>1905</v>
      </c>
      <c r="B1732" t="str">
        <f t="shared" si="205"/>
        <v>2009</v>
      </c>
      <c r="C1732" t="str">
        <f t="shared" si="206"/>
        <v>Microsoft Press</v>
      </c>
      <c r="D1732" t="str">
        <f t="shared" si="207"/>
        <v>Mark Russinovich, David A. Solomon, Alex Ionescu</v>
      </c>
      <c r="E1732" s="3" t="str">
        <f t="shared" si="208"/>
        <v/>
      </c>
      <c r="F1732" t="str">
        <f t="shared" si="209"/>
        <v>.pdf</v>
      </c>
      <c r="G1732">
        <f t="shared" si="210"/>
        <v>107</v>
      </c>
      <c r="H1732" s="3">
        <f>LEN(Table1[[#This Row],[Auteur]])</f>
        <v>48</v>
      </c>
      <c r="I1732" s="3" t="str">
        <f t="shared" si="211"/>
        <v>Windows Internals</v>
      </c>
    </row>
    <row r="1733" spans="1:9" x14ac:dyDescent="0.45">
      <c r="A1733" t="s">
        <v>1906</v>
      </c>
      <c r="B1733" t="str">
        <f t="shared" si="205"/>
        <v>2012</v>
      </c>
      <c r="C1733" t="str">
        <f t="shared" si="206"/>
        <v>Microsoft Press</v>
      </c>
      <c r="D1733" t="str">
        <f t="shared" si="207"/>
        <v>Mark Russinovich, David A. Solomon, Alex Ionescu</v>
      </c>
      <c r="E1733" s="3" t="str">
        <f t="shared" si="208"/>
        <v/>
      </c>
      <c r="F1733" t="str">
        <f t="shared" si="209"/>
        <v>.pdf</v>
      </c>
      <c r="G1733">
        <f t="shared" si="210"/>
        <v>115</v>
      </c>
      <c r="H1733" s="3">
        <f>LEN(Table1[[#This Row],[Auteur]])</f>
        <v>48</v>
      </c>
      <c r="I1733" s="3" t="str">
        <f t="shared" si="211"/>
        <v>Windows Internals, Part 1</v>
      </c>
    </row>
    <row r="1734" spans="1:9" x14ac:dyDescent="0.45">
      <c r="A1734" t="s">
        <v>1907</v>
      </c>
      <c r="B1734" t="str">
        <f t="shared" si="205"/>
        <v>2012</v>
      </c>
      <c r="C1734" t="str">
        <f t="shared" si="206"/>
        <v>Microsoft Press</v>
      </c>
      <c r="D1734" t="str">
        <f t="shared" si="207"/>
        <v>Mark Russinovich, David A. Solomon, Alex Ionescu</v>
      </c>
      <c r="E1734" s="3" t="str">
        <f t="shared" si="208"/>
        <v/>
      </c>
      <c r="F1734" t="str">
        <f t="shared" si="209"/>
        <v>.pdf</v>
      </c>
      <c r="G1734">
        <f t="shared" si="210"/>
        <v>115</v>
      </c>
      <c r="H1734" s="3">
        <f>LEN(Table1[[#This Row],[Auteur]])</f>
        <v>48</v>
      </c>
      <c r="I1734" s="3" t="str">
        <f t="shared" si="211"/>
        <v>Windows Internals, Part 2</v>
      </c>
    </row>
    <row r="1735" spans="1:9" x14ac:dyDescent="0.45">
      <c r="A1735" t="s">
        <v>1918</v>
      </c>
      <c r="B1735" t="str">
        <f t="shared" si="205"/>
        <v>2007</v>
      </c>
      <c r="C1735" t="str">
        <f t="shared" si="206"/>
        <v>O'Reilly</v>
      </c>
      <c r="D1735" t="str">
        <f t="shared" si="207"/>
        <v>David A. Karp</v>
      </c>
      <c r="E1735" s="3" t="str">
        <f t="shared" si="208"/>
        <v/>
      </c>
      <c r="F1735" t="str">
        <f t="shared" si="209"/>
        <v>.pdf</v>
      </c>
      <c r="G1735">
        <f t="shared" si="210"/>
        <v>93</v>
      </c>
      <c r="H1735" s="3">
        <f>LEN(Table1[[#This Row],[Auteur]])</f>
        <v>13</v>
      </c>
      <c r="I1735" s="3" t="str">
        <f t="shared" si="211"/>
        <v>Windows Vista Annoyances Tips, Secrets, and Solutions</v>
      </c>
    </row>
    <row r="1736" spans="1:9" x14ac:dyDescent="0.45">
      <c r="A1736" t="s">
        <v>1908</v>
      </c>
      <c r="B1736" t="str">
        <f t="shared" si="205"/>
        <v>2012</v>
      </c>
      <c r="C1736" t="str">
        <f t="shared" si="206"/>
        <v>Microsoft Press</v>
      </c>
      <c r="D1736" t="str">
        <f t="shared" si="207"/>
        <v>Mitch Tulloch</v>
      </c>
      <c r="E1736" s="3" t="str">
        <f t="shared" si="208"/>
        <v/>
      </c>
      <c r="F1736" t="str">
        <f t="shared" si="209"/>
        <v>.epub</v>
      </c>
      <c r="G1736">
        <f t="shared" si="210"/>
        <v>78</v>
      </c>
      <c r="H1736" s="3">
        <f>LEN(Table1[[#This Row],[Auteur]])</f>
        <v>13</v>
      </c>
      <c r="I1736" s="3" t="str">
        <f t="shared" si="211"/>
        <v>Introducing Widows Server 2012</v>
      </c>
    </row>
    <row r="1737" spans="1:9" x14ac:dyDescent="0.45">
      <c r="A1737" t="s">
        <v>1909</v>
      </c>
      <c r="B1737" t="str">
        <f t="shared" si="205"/>
        <v>2012</v>
      </c>
      <c r="C1737" t="str">
        <f t="shared" si="206"/>
        <v>Microsoft Press</v>
      </c>
      <c r="D1737" t="str">
        <f t="shared" si="207"/>
        <v>Mitch Tulloch</v>
      </c>
      <c r="E1737" s="3" t="str">
        <f t="shared" si="208"/>
        <v/>
      </c>
      <c r="F1737" t="str">
        <f t="shared" si="209"/>
        <v>.pdf</v>
      </c>
      <c r="G1737">
        <f t="shared" si="210"/>
        <v>77</v>
      </c>
      <c r="H1737" s="3">
        <f>LEN(Table1[[#This Row],[Auteur]])</f>
        <v>13</v>
      </c>
      <c r="I1737" s="3" t="str">
        <f t="shared" si="211"/>
        <v>Introducing Widows Server 2012</v>
      </c>
    </row>
    <row r="1738" spans="1:9" x14ac:dyDescent="0.45">
      <c r="A1738" t="s">
        <v>1910</v>
      </c>
      <c r="B1738" t="str">
        <f t="shared" si="205"/>
        <v>2010</v>
      </c>
      <c r="C1738" t="str">
        <f t="shared" si="206"/>
        <v>Microsoft Press</v>
      </c>
      <c r="D1738" t="str">
        <f t="shared" si="207"/>
        <v>Charlie Russel, Craig Zacker</v>
      </c>
      <c r="E1738" s="3" t="str">
        <f t="shared" si="208"/>
        <v/>
      </c>
      <c r="F1738" t="str">
        <f t="shared" si="209"/>
        <v>.epub</v>
      </c>
      <c r="G1738">
        <f t="shared" si="210"/>
        <v>97</v>
      </c>
      <c r="H1738" s="3">
        <f>LEN(Table1[[#This Row],[Auteur]])</f>
        <v>28</v>
      </c>
      <c r="I1738" s="3" t="str">
        <f t="shared" si="211"/>
        <v>Introducing Windows Server 2008 R2</v>
      </c>
    </row>
    <row r="1739" spans="1:9" x14ac:dyDescent="0.45">
      <c r="A1739" t="s">
        <v>1911</v>
      </c>
      <c r="B1739" t="str">
        <f t="shared" si="205"/>
        <v>2010</v>
      </c>
      <c r="C1739" t="str">
        <f t="shared" si="206"/>
        <v>Microsoft Press</v>
      </c>
      <c r="D1739" t="str">
        <f t="shared" si="207"/>
        <v>Charlie Russel, Craig Zacker</v>
      </c>
      <c r="E1739" s="3" t="str">
        <f t="shared" si="208"/>
        <v/>
      </c>
      <c r="F1739" t="str">
        <f t="shared" si="209"/>
        <v>.pdf</v>
      </c>
      <c r="G1739">
        <f t="shared" si="210"/>
        <v>96</v>
      </c>
      <c r="H1739" s="3">
        <f>LEN(Table1[[#This Row],[Auteur]])</f>
        <v>28</v>
      </c>
      <c r="I1739" s="3" t="str">
        <f t="shared" si="211"/>
        <v>Introducing Windows Server 2008 R2</v>
      </c>
    </row>
    <row r="1740" spans="1:9" x14ac:dyDescent="0.45">
      <c r="A1740" t="s">
        <v>1912</v>
      </c>
      <c r="B1740" t="str">
        <f t="shared" si="205"/>
        <v>?</v>
      </c>
      <c r="C1740" t="str">
        <f t="shared" si="206"/>
        <v>?</v>
      </c>
      <c r="D1740" t="str">
        <f t="shared" si="207"/>
        <v>Mitch Tulloch</v>
      </c>
      <c r="E1740" s="3" t="str">
        <f t="shared" si="208"/>
        <v/>
      </c>
      <c r="F1740" s="3" t="str">
        <f t="shared" si="209"/>
        <v>.epub</v>
      </c>
      <c r="G1740">
        <f t="shared" si="210"/>
        <v>75</v>
      </c>
      <c r="H1740" s="3">
        <f>LEN(Table1[[#This Row],[Auteur]])</f>
        <v>13</v>
      </c>
      <c r="I1740" s="3" t="str">
        <f t="shared" si="211"/>
        <v>Introducing Windows Server 2012 R2, Technical Overview</v>
      </c>
    </row>
    <row r="1741" spans="1:9" x14ac:dyDescent="0.45">
      <c r="A1741" t="s">
        <v>1913</v>
      </c>
      <c r="B1741" t="str">
        <f t="shared" si="205"/>
        <v>2013</v>
      </c>
      <c r="C1741" t="str">
        <f t="shared" si="206"/>
        <v>Microsoft Press</v>
      </c>
      <c r="D1741" t="str">
        <f t="shared" si="207"/>
        <v>Mitch Tulloch</v>
      </c>
      <c r="E1741" s="3" t="str">
        <f t="shared" si="208"/>
        <v/>
      </c>
      <c r="F1741" s="3" t="str">
        <f t="shared" si="209"/>
        <v>.pdf</v>
      </c>
      <c r="G1741">
        <f t="shared" si="210"/>
        <v>101</v>
      </c>
      <c r="H1741" s="3">
        <f>LEN(Table1[[#This Row],[Auteur]])</f>
        <v>13</v>
      </c>
      <c r="I1741" s="3" t="str">
        <f t="shared" si="211"/>
        <v>Introducing Windows Server 2012, R2 Technical Overview</v>
      </c>
    </row>
    <row r="1742" spans="1:9" x14ac:dyDescent="0.45">
      <c r="A1742" t="s">
        <v>1914</v>
      </c>
      <c r="B1742" t="str">
        <f t="shared" si="205"/>
        <v>2016</v>
      </c>
      <c r="C1742" t="str">
        <f t="shared" si="206"/>
        <v>Microsoft Press</v>
      </c>
      <c r="D1742" t="str">
        <f t="shared" si="207"/>
        <v>John McCabe</v>
      </c>
      <c r="E1742" s="3" t="str">
        <f t="shared" si="208"/>
        <v/>
      </c>
      <c r="F1742" s="3" t="str">
        <f t="shared" si="209"/>
        <v>.pdf</v>
      </c>
      <c r="G1742">
        <f t="shared" si="210"/>
        <v>95</v>
      </c>
      <c r="H1742" s="3">
        <f>LEN(Table1[[#This Row],[Auteur]])</f>
        <v>11</v>
      </c>
      <c r="I1742" s="3" t="str">
        <f t="shared" si="211"/>
        <v>Introducing Windows Server 2016, Technical Preview</v>
      </c>
    </row>
    <row r="1743" spans="1:9" hidden="1" x14ac:dyDescent="0.45">
      <c r="A1743" t="s">
        <v>1915</v>
      </c>
      <c r="B1743" t="str">
        <f t="shared" si="205"/>
        <v>2016</v>
      </c>
      <c r="C1743" t="str">
        <f t="shared" si="206"/>
        <v>Microsoft Press</v>
      </c>
      <c r="D1743" t="str">
        <f t="shared" si="207"/>
        <v>John McCabe</v>
      </c>
      <c r="E1743" s="3" t="str">
        <f t="shared" si="208"/>
        <v>Format eBook</v>
      </c>
      <c r="F1743" s="3" t="str">
        <f t="shared" si="209"/>
        <v>.pdf</v>
      </c>
      <c r="G1743" s="3">
        <f t="shared" si="210"/>
        <v>110</v>
      </c>
      <c r="H1743" s="3">
        <f>LEN(Table1[[#This Row],[Auteur]])</f>
        <v>11</v>
      </c>
      <c r="I1743" s="3" t="str">
        <f t="shared" ref="I1743:I1793" si="212">Title(A1743)</f>
        <v>Introducing Windows Server 2016, Technical Preview</v>
      </c>
    </row>
    <row r="1744" spans="1:9" x14ac:dyDescent="0.45">
      <c r="A1744" t="s">
        <v>1916</v>
      </c>
      <c r="B1744" t="str">
        <f t="shared" si="205"/>
        <v>2008</v>
      </c>
      <c r="C1744" t="str">
        <f t="shared" si="206"/>
        <v>Microsoft Press</v>
      </c>
      <c r="D1744" t="str">
        <f t="shared" si="207"/>
        <v>William Staneck</v>
      </c>
      <c r="E1744" s="3" t="str">
        <f t="shared" si="208"/>
        <v/>
      </c>
      <c r="F1744" s="3" t="str">
        <f t="shared" si="209"/>
        <v>.pdf</v>
      </c>
      <c r="G1744">
        <f t="shared" si="210"/>
        <v>79</v>
      </c>
      <c r="H1744" s="3">
        <f>LEN(Table1[[#This Row],[Auteur]])</f>
        <v>15</v>
      </c>
      <c r="I1744" s="3" t="str">
        <f t="shared" si="212"/>
        <v>Windows Server 2008 Inside Out</v>
      </c>
    </row>
    <row r="1745" spans="1:9" x14ac:dyDescent="0.45">
      <c r="A1745" t="s">
        <v>1917</v>
      </c>
      <c r="B1745" t="str">
        <f t="shared" si="205"/>
        <v>2008</v>
      </c>
      <c r="C1745" t="str">
        <f t="shared" si="206"/>
        <v>?</v>
      </c>
      <c r="D1745" t="str">
        <f t="shared" si="207"/>
        <v>?</v>
      </c>
      <c r="E1745" s="3" t="str">
        <f t="shared" si="208"/>
        <v/>
      </c>
      <c r="F1745" t="str">
        <f t="shared" si="209"/>
        <v>.rar</v>
      </c>
      <c r="G1745">
        <f t="shared" si="210"/>
        <v>50</v>
      </c>
      <c r="H1745" s="3">
        <f>LEN(Table1[[#This Row],[Auteur]])</f>
        <v>1</v>
      </c>
      <c r="I1745" s="3" t="str">
        <f t="shared" si="212"/>
        <v>Windows Server 2008 Inside Out</v>
      </c>
    </row>
    <row r="1746" spans="1:9" x14ac:dyDescent="0.45">
      <c r="A1746" t="s">
        <v>389</v>
      </c>
      <c r="B1746" t="str">
        <f t="shared" si="205"/>
        <v>2014</v>
      </c>
      <c r="C1746" t="str">
        <f t="shared" si="206"/>
        <v>Dunod</v>
      </c>
      <c r="D1746" t="str">
        <f t="shared" si="207"/>
        <v>Jean-Marc Hardy, Jacqueline Léo Lesage</v>
      </c>
      <c r="E1746" s="3" t="str">
        <f t="shared" si="208"/>
        <v/>
      </c>
      <c r="F1746" s="3" t="str">
        <f t="shared" si="209"/>
        <v>.pdf</v>
      </c>
      <c r="G1746">
        <f t="shared" si="210"/>
        <v>102</v>
      </c>
      <c r="H1746" s="3">
        <f>LEN(Table1[[#This Row],[Auteur]])</f>
        <v>38</v>
      </c>
      <c r="I1746" s="3" t="str">
        <f t="shared" si="212"/>
        <v>60 règles d'or pour réussir son site web</v>
      </c>
    </row>
    <row r="1747" spans="1:9" x14ac:dyDescent="0.45">
      <c r="A1747" t="s">
        <v>390</v>
      </c>
      <c r="B1747" t="str">
        <f t="shared" si="205"/>
        <v>2012</v>
      </c>
      <c r="C1747" t="str">
        <f t="shared" si="206"/>
        <v>Eyrolles</v>
      </c>
      <c r="D1747" t="str">
        <f t="shared" si="207"/>
        <v>Armony Altinier</v>
      </c>
      <c r="E1747" s="3" t="str">
        <f t="shared" si="208"/>
        <v/>
      </c>
      <c r="F1747" s="3" t="str">
        <f t="shared" si="209"/>
        <v>.pdf</v>
      </c>
      <c r="G1747">
        <f t="shared" si="210"/>
        <v>87</v>
      </c>
      <c r="H1747" s="3">
        <f>LEN(Table1[[#This Row],[Auteur]])</f>
        <v>15</v>
      </c>
      <c r="I1747" s="3" t="str">
        <f t="shared" si="212"/>
        <v>Accessibilité Web, Normes et bonnes pratiques</v>
      </c>
    </row>
    <row r="1748" spans="1:9" x14ac:dyDescent="0.45">
      <c r="A1748" t="s">
        <v>391</v>
      </c>
      <c r="B1748" t="str">
        <f t="shared" si="205"/>
        <v>2006</v>
      </c>
      <c r="C1748" t="str">
        <f t="shared" si="206"/>
        <v>Wiley</v>
      </c>
      <c r="D1748" t="str">
        <f t="shared" si="207"/>
        <v>Steve Holzner</v>
      </c>
      <c r="E1748" s="3" t="str">
        <f t="shared" si="208"/>
        <v/>
      </c>
      <c r="F1748" s="3" t="str">
        <f t="shared" si="209"/>
        <v>.pdf</v>
      </c>
      <c r="G1748">
        <f t="shared" si="210"/>
        <v>53</v>
      </c>
      <c r="H1748" s="3">
        <f>LEN(Table1[[#This Row],[Auteur]])</f>
        <v>13</v>
      </c>
      <c r="I1748" s="3" t="str">
        <f t="shared" si="212"/>
        <v>Ajax for Dummies</v>
      </c>
    </row>
    <row r="1749" spans="1:9" x14ac:dyDescent="0.45">
      <c r="A1749" t="s">
        <v>392</v>
      </c>
      <c r="B1749" t="str">
        <f t="shared" si="205"/>
        <v>2012</v>
      </c>
      <c r="C1749" t="str">
        <f t="shared" si="206"/>
        <v>Eyrolles</v>
      </c>
      <c r="D1749" t="str">
        <f t="shared" si="207"/>
        <v>Pierre Alexis, Hugues Bersini</v>
      </c>
      <c r="E1749" s="3" t="str">
        <f t="shared" si="208"/>
        <v/>
      </c>
      <c r="F1749" s="3" t="str">
        <f t="shared" si="209"/>
        <v>.pdf</v>
      </c>
      <c r="G1749">
        <f t="shared" si="210"/>
        <v>108</v>
      </c>
      <c r="H1749" s="3">
        <f>LEN(Table1[[#This Row],[Auteur]])</f>
        <v>29</v>
      </c>
      <c r="I1749" s="3" t="str">
        <f t="shared" si="212"/>
        <v>Apprendre la programmation Web avec Python et Django</v>
      </c>
    </row>
    <row r="1750" spans="1:9" x14ac:dyDescent="0.45">
      <c r="A1750" t="s">
        <v>393</v>
      </c>
      <c r="B1750" t="str">
        <f t="shared" si="205"/>
        <v>1999</v>
      </c>
      <c r="C1750" t="str">
        <f t="shared" si="206"/>
        <v>O'Reilly</v>
      </c>
      <c r="D1750" t="str">
        <f t="shared" si="207"/>
        <v>Keyton Weissinger</v>
      </c>
      <c r="E1750" s="3" t="str">
        <f t="shared" si="208"/>
        <v/>
      </c>
      <c r="F1750" t="str">
        <f t="shared" si="209"/>
        <v>.pdf</v>
      </c>
      <c r="G1750">
        <f t="shared" si="210"/>
        <v>61</v>
      </c>
      <c r="H1750" s="3">
        <f>LEN(Table1[[#This Row],[Auteur]])</f>
        <v>17</v>
      </c>
      <c r="I1750" s="3" t="str">
        <f t="shared" si="212"/>
        <v>ASP in a Nutshell</v>
      </c>
    </row>
    <row r="1751" spans="1:9" x14ac:dyDescent="0.45">
      <c r="A1751" t="s">
        <v>394</v>
      </c>
      <c r="B1751" t="str">
        <f t="shared" si="205"/>
        <v>2003</v>
      </c>
      <c r="C1751" t="str">
        <f t="shared" si="206"/>
        <v>Eyrolles</v>
      </c>
      <c r="D1751" t="str">
        <f t="shared" si="207"/>
        <v>Thomas Petillon</v>
      </c>
      <c r="E1751" s="3" t="str">
        <f t="shared" si="208"/>
        <v/>
      </c>
      <c r="F1751" s="3" t="str">
        <f t="shared" si="209"/>
        <v>.pdf</v>
      </c>
      <c r="G1751">
        <f t="shared" si="210"/>
        <v>49</v>
      </c>
      <c r="H1751" s="3">
        <f>LEN(Table1[[#This Row],[Auteur]])</f>
        <v>15</v>
      </c>
      <c r="I1751" s="3" t="str">
        <f t="shared" si="212"/>
        <v>ASP.Net</v>
      </c>
    </row>
    <row r="1752" spans="1:9" x14ac:dyDescent="0.45">
      <c r="A1752" t="s">
        <v>395</v>
      </c>
      <c r="B1752" t="str">
        <f t="shared" si="205"/>
        <v>2012</v>
      </c>
      <c r="C1752" t="str">
        <f t="shared" si="206"/>
        <v>The Pragmatic Programmers</v>
      </c>
      <c r="D1752" t="str">
        <f t="shared" si="207"/>
        <v>Trevor Burnham</v>
      </c>
      <c r="E1752" s="3" t="str">
        <f t="shared" si="208"/>
        <v/>
      </c>
      <c r="F1752" t="str">
        <f t="shared" si="209"/>
        <v>.pdf</v>
      </c>
      <c r="G1752">
        <f t="shared" si="210"/>
        <v>74</v>
      </c>
      <c r="H1752" s="3">
        <f>LEN(Table1[[#This Row],[Auteur]])</f>
        <v>14</v>
      </c>
      <c r="I1752" s="3" t="str">
        <f t="shared" si="212"/>
        <v>Async JavaScript</v>
      </c>
    </row>
    <row r="1753" spans="1:9" x14ac:dyDescent="0.45">
      <c r="A1753" t="s">
        <v>396</v>
      </c>
      <c r="B1753" t="str">
        <f t="shared" si="205"/>
        <v>2013</v>
      </c>
      <c r="C1753" t="str">
        <f t="shared" si="206"/>
        <v>Wiley</v>
      </c>
      <c r="D1753" t="str">
        <f t="shared" si="207"/>
        <v>Imar Spaanjaars</v>
      </c>
      <c r="E1753" s="3" t="str">
        <f t="shared" si="208"/>
        <v/>
      </c>
      <c r="F1753" s="3" t="str">
        <f t="shared" si="209"/>
        <v>.pdf</v>
      </c>
      <c r="G1753">
        <f t="shared" si="210"/>
        <v>73</v>
      </c>
      <c r="H1753" s="3">
        <f>LEN(Table1[[#This Row],[Auteur]])</f>
        <v>15</v>
      </c>
      <c r="I1753" s="3" t="str">
        <f t="shared" si="212"/>
        <v>Beginning ASP.Net 4.5 in C# and VB</v>
      </c>
    </row>
    <row r="1754" spans="1:9" x14ac:dyDescent="0.45">
      <c r="A1754" t="s">
        <v>397</v>
      </c>
      <c r="B1754" t="str">
        <f t="shared" si="205"/>
        <v>2012</v>
      </c>
      <c r="C1754" t="str">
        <f t="shared" si="206"/>
        <v>Apress</v>
      </c>
      <c r="D1754" t="str">
        <f t="shared" si="207"/>
        <v>Matthew MacDonald</v>
      </c>
      <c r="E1754" s="3" t="str">
        <f t="shared" si="208"/>
        <v/>
      </c>
      <c r="F1754" s="3" t="str">
        <f t="shared" si="209"/>
        <v>.pdf</v>
      </c>
      <c r="G1754">
        <f t="shared" si="210"/>
        <v>65</v>
      </c>
      <c r="H1754" s="3">
        <f>LEN(Table1[[#This Row],[Auteur]])</f>
        <v>17</v>
      </c>
      <c r="I1754" s="3" t="str">
        <f t="shared" si="212"/>
        <v>Beginning ASP.Net in VB</v>
      </c>
    </row>
    <row r="1755" spans="1:9" x14ac:dyDescent="0.45">
      <c r="A1755" t="s">
        <v>398</v>
      </c>
      <c r="B1755" t="str">
        <f t="shared" si="205"/>
        <v>2011</v>
      </c>
      <c r="C1755" t="str">
        <f t="shared" si="206"/>
        <v>Wiley</v>
      </c>
      <c r="D1755" t="str">
        <f t="shared" si="207"/>
        <v>Ian Pouncey, Richard York</v>
      </c>
      <c r="E1755" s="3" t="str">
        <f t="shared" si="208"/>
        <v/>
      </c>
      <c r="F1755" t="str">
        <f t="shared" si="209"/>
        <v>.pdf</v>
      </c>
      <c r="G1755">
        <f t="shared" si="210"/>
        <v>70</v>
      </c>
      <c r="H1755" s="3">
        <f>LEN(Table1[[#This Row],[Auteur]])</f>
        <v>25</v>
      </c>
      <c r="I1755" s="3" t="str">
        <f t="shared" si="212"/>
        <v>Beginning CSS</v>
      </c>
    </row>
    <row r="1756" spans="1:9" x14ac:dyDescent="0.45">
      <c r="A1756" t="s">
        <v>399</v>
      </c>
      <c r="B1756" t="str">
        <f t="shared" si="205"/>
        <v>2010</v>
      </c>
      <c r="C1756" t="str">
        <f t="shared" si="206"/>
        <v>Wiley</v>
      </c>
      <c r="D1756" t="str">
        <f t="shared" si="207"/>
        <v>Paul Wilton, Jeremy McPeak</v>
      </c>
      <c r="E1756" s="3" t="str">
        <f t="shared" si="208"/>
        <v/>
      </c>
      <c r="F1756" s="3" t="str">
        <f t="shared" si="209"/>
        <v>.pdf</v>
      </c>
      <c r="G1756">
        <f t="shared" si="210"/>
        <v>78</v>
      </c>
      <c r="H1756" s="3">
        <f>LEN(Table1[[#This Row],[Auteur]])</f>
        <v>26</v>
      </c>
      <c r="I1756" s="3" t="str">
        <f t="shared" si="212"/>
        <v>Beginning JavaScript</v>
      </c>
    </row>
    <row r="1757" spans="1:9" x14ac:dyDescent="0.45">
      <c r="A1757" t="s">
        <v>400</v>
      </c>
      <c r="B1757" t="str">
        <f t="shared" si="205"/>
        <v>2015</v>
      </c>
      <c r="C1757" t="str">
        <f t="shared" si="206"/>
        <v>Wiley</v>
      </c>
      <c r="D1757" t="str">
        <f t="shared" si="207"/>
        <v>Paul Wilton, Jeremy McPeak</v>
      </c>
      <c r="E1757" s="3" t="str">
        <f t="shared" si="208"/>
        <v/>
      </c>
      <c r="F1757" t="str">
        <f t="shared" si="209"/>
        <v>.pdf</v>
      </c>
      <c r="G1757">
        <f t="shared" si="210"/>
        <v>78</v>
      </c>
      <c r="H1757" s="3">
        <f>LEN(Table1[[#This Row],[Auteur]])</f>
        <v>26</v>
      </c>
      <c r="I1757" s="3" t="str">
        <f t="shared" si="212"/>
        <v>Beginning JavaScript</v>
      </c>
    </row>
    <row r="1758" spans="1:9" x14ac:dyDescent="0.45">
      <c r="A1758" t="s">
        <v>401</v>
      </c>
      <c r="B1758" t="str">
        <f t="shared" si="205"/>
        <v>2009</v>
      </c>
      <c r="C1758" t="str">
        <f t="shared" si="206"/>
        <v>Wiley</v>
      </c>
      <c r="D1758" t="str">
        <f t="shared" si="207"/>
        <v>Richard York</v>
      </c>
      <c r="E1758" s="3" t="str">
        <f t="shared" si="208"/>
        <v/>
      </c>
      <c r="F1758" t="str">
        <f t="shared" si="209"/>
        <v>.pdf</v>
      </c>
      <c r="G1758">
        <f t="shared" si="210"/>
        <v>88</v>
      </c>
      <c r="H1758" s="3">
        <f>LEN(Table1[[#This Row],[Auteur]])</f>
        <v>12</v>
      </c>
      <c r="I1758" s="3" t="str">
        <f t="shared" si="212"/>
        <v>Beginning JavaScript and CSS Development with jQuery</v>
      </c>
    </row>
    <row r="1759" spans="1:9" x14ac:dyDescent="0.45">
      <c r="A1759" t="s">
        <v>402</v>
      </c>
      <c r="B1759" t="str">
        <f t="shared" si="205"/>
        <v>2013</v>
      </c>
      <c r="C1759" t="str">
        <f t="shared" si="206"/>
        <v>Apress</v>
      </c>
      <c r="D1759" t="str">
        <f t="shared" si="207"/>
        <v>Russ Ferguson, Christian Heilmann</v>
      </c>
      <c r="E1759" s="3" t="str">
        <f t="shared" si="208"/>
        <v/>
      </c>
      <c r="F1759" t="str">
        <f t="shared" si="209"/>
        <v>.pdf</v>
      </c>
      <c r="G1759">
        <f t="shared" si="210"/>
        <v>114</v>
      </c>
      <c r="H1759" s="3">
        <f>LEN(Table1[[#This Row],[Auteur]])</f>
        <v>33</v>
      </c>
      <c r="I1759" s="3" t="str">
        <f t="shared" si="212"/>
        <v>Beginning JavaScript with DOM Scripting and Ajax</v>
      </c>
    </row>
    <row r="1760" spans="1:9" x14ac:dyDescent="0.45">
      <c r="A1760" t="s">
        <v>403</v>
      </c>
      <c r="B1760" t="str">
        <f t="shared" si="205"/>
        <v>2013</v>
      </c>
      <c r="C1760" t="str">
        <f t="shared" si="206"/>
        <v>Apress</v>
      </c>
      <c r="D1760" t="str">
        <f t="shared" si="207"/>
        <v>Jack Franklin</v>
      </c>
      <c r="E1760" s="3" t="str">
        <f t="shared" si="208"/>
        <v/>
      </c>
      <c r="F1760" t="str">
        <f t="shared" si="209"/>
        <v>.pdf</v>
      </c>
      <c r="G1760">
        <f t="shared" si="210"/>
        <v>54</v>
      </c>
      <c r="H1760" s="3">
        <f>LEN(Table1[[#This Row],[Auteur]])</f>
        <v>13</v>
      </c>
      <c r="I1760" s="3" t="str">
        <f t="shared" si="212"/>
        <v>Beginning jQuery</v>
      </c>
    </row>
    <row r="1761" spans="1:9" x14ac:dyDescent="0.45">
      <c r="A1761" t="s">
        <v>404</v>
      </c>
      <c r="B1761" t="str">
        <f t="shared" si="205"/>
        <v>2012</v>
      </c>
      <c r="C1761" t="str">
        <f t="shared" si="206"/>
        <v>Apress</v>
      </c>
      <c r="D1761" t="str">
        <f t="shared" si="207"/>
        <v>Rohit Ghatol, Yogesh Patel</v>
      </c>
      <c r="E1761" s="3" t="str">
        <f t="shared" si="208"/>
        <v/>
      </c>
      <c r="F1761" t="str">
        <f t="shared" si="209"/>
        <v>.pdf</v>
      </c>
      <c r="G1761">
        <f t="shared" si="210"/>
        <v>116</v>
      </c>
      <c r="H1761" s="3">
        <f>LEN(Table1[[#This Row],[Auteur]])</f>
        <v>26</v>
      </c>
      <c r="I1761" s="3" t="str">
        <f t="shared" si="212"/>
        <v>Beginning PhoneGap, Mobile Web Framework for JavaScript and HTML5</v>
      </c>
    </row>
    <row r="1762" spans="1:9" x14ac:dyDescent="0.45">
      <c r="A1762" t="s">
        <v>405</v>
      </c>
      <c r="B1762" t="str">
        <f t="shared" si="205"/>
        <v>2010</v>
      </c>
      <c r="C1762" t="str">
        <f t="shared" si="206"/>
        <v>Pearson</v>
      </c>
      <c r="D1762" t="str">
        <f t="shared" si="207"/>
        <v>Dan Cederholm</v>
      </c>
      <c r="E1762" s="3" t="str">
        <f t="shared" si="208"/>
        <v/>
      </c>
      <c r="F1762" s="3" t="str">
        <f t="shared" si="209"/>
        <v>.pdf</v>
      </c>
      <c r="G1762">
        <f t="shared" si="210"/>
        <v>76</v>
      </c>
      <c r="H1762" s="3">
        <f>LEN(Table1[[#This Row],[Auteur]])</f>
        <v>13</v>
      </c>
      <c r="I1762" s="3" t="str">
        <f t="shared" si="212"/>
        <v>Bonnes pratiques des standards du Web</v>
      </c>
    </row>
    <row r="1763" spans="1:9" x14ac:dyDescent="0.45">
      <c r="A1763" t="s">
        <v>406</v>
      </c>
      <c r="B1763" t="str">
        <f t="shared" si="205"/>
        <v>1996</v>
      </c>
      <c r="C1763" t="str">
        <f t="shared" si="206"/>
        <v>O'Reilly</v>
      </c>
      <c r="D1763" t="str">
        <f t="shared" si="207"/>
        <v>Shishir Gundavaram</v>
      </c>
      <c r="E1763" s="3" t="str">
        <f t="shared" si="208"/>
        <v>Webdump</v>
      </c>
      <c r="F1763" s="3" t="str">
        <f t="shared" si="209"/>
        <v>.pdf</v>
      </c>
      <c r="G1763">
        <f t="shared" si="210"/>
        <v>70</v>
      </c>
      <c r="H1763" s="3">
        <f>LEN(Table1[[#This Row],[Auteur]])</f>
        <v>18</v>
      </c>
      <c r="I1763" s="3" t="str">
        <f t="shared" si="212"/>
        <v>CGI Programming</v>
      </c>
    </row>
    <row r="1764" spans="1:9" x14ac:dyDescent="0.45">
      <c r="A1764" t="s">
        <v>407</v>
      </c>
      <c r="B1764" t="str">
        <f t="shared" si="205"/>
        <v>2007</v>
      </c>
      <c r="C1764" t="str">
        <f t="shared" si="206"/>
        <v>Eyrolles</v>
      </c>
      <c r="D1764" t="str">
        <f t="shared" si="207"/>
        <v>Raphaël Goetter</v>
      </c>
      <c r="E1764" s="3" t="str">
        <f t="shared" si="208"/>
        <v/>
      </c>
      <c r="F1764" t="str">
        <f t="shared" si="209"/>
        <v>.pdf</v>
      </c>
      <c r="G1764">
        <f t="shared" si="210"/>
        <v>78</v>
      </c>
      <c r="H1764" s="3">
        <f>LEN(Table1[[#This Row],[Auteur]])</f>
        <v>15</v>
      </c>
      <c r="I1764" s="3" t="str">
        <f t="shared" si="212"/>
        <v>CSS 2, Pratique du Design Web</v>
      </c>
    </row>
    <row r="1765" spans="1:9" x14ac:dyDescent="0.45">
      <c r="A1765" t="s">
        <v>408</v>
      </c>
      <c r="B1765" t="str">
        <f t="shared" si="205"/>
        <v>2016</v>
      </c>
      <c r="C1765" t="str">
        <f t="shared" si="206"/>
        <v>Eyrolles</v>
      </c>
      <c r="D1765" t="str">
        <f t="shared" si="207"/>
        <v>Dan Cederholm</v>
      </c>
      <c r="E1765" s="3" t="str">
        <f t="shared" si="208"/>
        <v/>
      </c>
      <c r="F1765" t="str">
        <f t="shared" si="209"/>
        <v>.pdf</v>
      </c>
      <c r="G1765">
        <f t="shared" si="210"/>
        <v>74</v>
      </c>
      <c r="H1765" s="3">
        <f>LEN(Table1[[#This Row],[Auteur]])</f>
        <v>13</v>
      </c>
      <c r="I1765" s="3" t="str">
        <f t="shared" si="212"/>
        <v>CSS3 pour les web designers</v>
      </c>
    </row>
    <row r="1766" spans="1:9" x14ac:dyDescent="0.45">
      <c r="A1766" t="s">
        <v>409</v>
      </c>
      <c r="B1766" t="str">
        <f t="shared" si="205"/>
        <v>2016</v>
      </c>
      <c r="C1766" t="str">
        <f t="shared" si="206"/>
        <v>?</v>
      </c>
      <c r="D1766" t="str">
        <f t="shared" si="207"/>
        <v>?</v>
      </c>
      <c r="E1766" s="3" t="str">
        <f t="shared" si="208"/>
        <v/>
      </c>
      <c r="F1766" t="str">
        <f t="shared" si="209"/>
        <v>.rar</v>
      </c>
      <c r="G1766">
        <f t="shared" si="210"/>
        <v>53</v>
      </c>
      <c r="H1766" s="3">
        <f>LEN(Table1[[#This Row],[Auteur]])</f>
        <v>1</v>
      </c>
      <c r="I1766" s="3" t="str">
        <f t="shared" si="212"/>
        <v>CSS3 pour les web designers</v>
      </c>
    </row>
    <row r="1767" spans="1:9" x14ac:dyDescent="0.45">
      <c r="A1767" t="s">
        <v>410</v>
      </c>
      <c r="B1767" t="str">
        <f t="shared" si="205"/>
        <v>2000</v>
      </c>
      <c r="C1767" t="str">
        <f t="shared" si="206"/>
        <v>O'Reilly</v>
      </c>
      <c r="D1767" t="str">
        <f t="shared" si="207"/>
        <v>Scott Mitchell</v>
      </c>
      <c r="E1767" s="3" t="str">
        <f t="shared" si="208"/>
        <v/>
      </c>
      <c r="F1767" t="str">
        <f t="shared" si="209"/>
        <v>.pdf</v>
      </c>
      <c r="G1767">
        <f t="shared" si="210"/>
        <v>70</v>
      </c>
      <c r="H1767" s="3">
        <f>LEN(Table1[[#This Row],[Auteur]])</f>
        <v>14</v>
      </c>
      <c r="I1767" s="3" t="str">
        <f t="shared" si="212"/>
        <v>Designing Active Server Pages</v>
      </c>
    </row>
    <row r="1768" spans="1:9" hidden="1" x14ac:dyDescent="0.45">
      <c r="A1768" t="s">
        <v>411</v>
      </c>
      <c r="B1768" t="str">
        <f t="shared" si="205"/>
        <v>2001</v>
      </c>
      <c r="C1768" t="str">
        <f t="shared" si="206"/>
        <v>O'Reilly</v>
      </c>
      <c r="D1768" t="str">
        <f t="shared" si="207"/>
        <v>Shelley Powers</v>
      </c>
      <c r="E1768" s="3" t="str">
        <f t="shared" si="208"/>
        <v/>
      </c>
      <c r="F1768" t="str">
        <f t="shared" si="209"/>
        <v>.pdf</v>
      </c>
      <c r="G1768">
        <f t="shared" si="210"/>
        <v>74</v>
      </c>
      <c r="H1768" s="3">
        <f>LEN(Table1[[#This Row],[Auteur]])</f>
        <v>14</v>
      </c>
      <c r="I1768" s="3" t="str">
        <f t="shared" si="212"/>
        <v>Developing ASP Components</v>
      </c>
    </row>
    <row r="1769" spans="1:9" x14ac:dyDescent="0.45">
      <c r="A1769" t="s">
        <v>412</v>
      </c>
      <c r="B1769" t="str">
        <f t="shared" si="205"/>
        <v>2015</v>
      </c>
      <c r="C1769" t="str">
        <f t="shared" si="206"/>
        <v>Eyrolles</v>
      </c>
      <c r="D1769" t="str">
        <f t="shared" si="207"/>
        <v>Clément Camin</v>
      </c>
      <c r="E1769" s="3" t="str">
        <f t="shared" si="208"/>
        <v/>
      </c>
      <c r="F1769" s="3" t="str">
        <f t="shared" si="209"/>
        <v>.pdf</v>
      </c>
      <c r="G1769">
        <f t="shared" si="210"/>
        <v>65</v>
      </c>
      <c r="H1769" s="3">
        <f>LEN(Table1[[#This Row],[Auteur]])</f>
        <v>13</v>
      </c>
      <c r="I1769" s="3" t="str">
        <f t="shared" si="212"/>
        <v>Développer avec Symfony 2</v>
      </c>
    </row>
    <row r="1770" spans="1:9" x14ac:dyDescent="0.45">
      <c r="A1770" t="s">
        <v>413</v>
      </c>
      <c r="B1770" t="str">
        <f t="shared" si="205"/>
        <v>2006</v>
      </c>
      <c r="C1770" t="str">
        <f t="shared" si="206"/>
        <v>Eyrolles</v>
      </c>
      <c r="D1770" t="str">
        <f t="shared" si="207"/>
        <v>Michel Plasse</v>
      </c>
      <c r="E1770" s="3" t="str">
        <f t="shared" si="208"/>
        <v/>
      </c>
      <c r="F1770" s="3" t="str">
        <f t="shared" si="209"/>
        <v>.pdf</v>
      </c>
      <c r="G1770">
        <f t="shared" si="210"/>
        <v>58</v>
      </c>
      <c r="H1770" s="3">
        <f>LEN(Table1[[#This Row],[Auteur]])</f>
        <v>13</v>
      </c>
      <c r="I1770" s="3" t="str">
        <f t="shared" si="212"/>
        <v>Développez en Ajax</v>
      </c>
    </row>
    <row r="1771" spans="1:9" x14ac:dyDescent="0.45">
      <c r="A1771" t="s">
        <v>414</v>
      </c>
      <c r="B1771" t="str">
        <f t="shared" si="205"/>
        <v>1998</v>
      </c>
      <c r="C1771" t="str">
        <f t="shared" si="206"/>
        <v>O'Reilly</v>
      </c>
      <c r="D1771" t="str">
        <f t="shared" si="207"/>
        <v>Danny Goodman</v>
      </c>
      <c r="E1771" s="3" t="str">
        <f t="shared" si="208"/>
        <v/>
      </c>
      <c r="F1771" t="str">
        <f t="shared" si="209"/>
        <v>.pdf</v>
      </c>
      <c r="G1771">
        <f t="shared" si="210"/>
        <v>78</v>
      </c>
      <c r="H1771" s="3">
        <f>LEN(Table1[[#This Row],[Auteur]])</f>
        <v>13</v>
      </c>
      <c r="I1771" s="3" t="str">
        <f t="shared" si="212"/>
        <v>Dynamic HTML, The Definitive Reference</v>
      </c>
    </row>
    <row r="1772" spans="1:9" x14ac:dyDescent="0.45">
      <c r="A1772" t="s">
        <v>415</v>
      </c>
      <c r="B1772" t="str">
        <f t="shared" si="205"/>
        <v>2014</v>
      </c>
      <c r="C1772" t="str">
        <f t="shared" si="206"/>
        <v>No Starch</v>
      </c>
      <c r="D1772" t="str">
        <f t="shared" si="207"/>
        <v>Marijn Haverbeke</v>
      </c>
      <c r="E1772" s="3" t="str">
        <f t="shared" si="208"/>
        <v/>
      </c>
      <c r="F1772" t="str">
        <f t="shared" si="209"/>
        <v>.pdf</v>
      </c>
      <c r="G1772">
        <f t="shared" si="210"/>
        <v>101</v>
      </c>
      <c r="H1772" s="3">
        <f>LEN(Table1[[#This Row],[Auteur]])</f>
        <v>16</v>
      </c>
      <c r="I1772" s="3" t="str">
        <f t="shared" si="212"/>
        <v>Eloquent JavaScript, A Modern Introduction to Programming</v>
      </c>
    </row>
    <row r="1773" spans="1:9" x14ac:dyDescent="0.45">
      <c r="A1773" t="s">
        <v>416</v>
      </c>
      <c r="B1773" t="str">
        <f t="shared" si="205"/>
        <v>2006</v>
      </c>
      <c r="C1773" t="str">
        <f t="shared" si="206"/>
        <v>Apress</v>
      </c>
      <c r="D1773" t="str">
        <f t="shared" si="207"/>
        <v>Ryan Asleson, Nathaniel T. Schutta</v>
      </c>
      <c r="E1773" s="3" t="str">
        <f t="shared" si="208"/>
        <v/>
      </c>
      <c r="F1773" s="3" t="str">
        <f t="shared" si="209"/>
        <v>.pdf</v>
      </c>
      <c r="G1773">
        <f t="shared" si="210"/>
        <v>78</v>
      </c>
      <c r="H1773" s="3">
        <f>LEN(Table1[[#This Row],[Auteur]])</f>
        <v>34</v>
      </c>
      <c r="I1773" s="3" t="str">
        <f t="shared" si="212"/>
        <v>Foundations of Ajax</v>
      </c>
    </row>
    <row r="1774" spans="1:9" x14ac:dyDescent="0.45">
      <c r="A1774" t="s">
        <v>417</v>
      </c>
      <c r="B1774" t="str">
        <f t="shared" si="205"/>
        <v>2007</v>
      </c>
      <c r="C1774" t="str">
        <f t="shared" si="206"/>
        <v>The Pragmatic Programmers</v>
      </c>
      <c r="D1774" t="str">
        <f t="shared" si="207"/>
        <v>Scott Davis</v>
      </c>
      <c r="E1774" s="3" t="str">
        <f t="shared" si="208"/>
        <v/>
      </c>
      <c r="F1774" s="3" t="str">
        <f t="shared" si="209"/>
        <v>.pdf</v>
      </c>
      <c r="G1774" s="3">
        <f t="shared" si="210"/>
        <v>77</v>
      </c>
      <c r="H1774" s="3">
        <f>LEN(Table1[[#This Row],[Auteur]])</f>
        <v>11</v>
      </c>
      <c r="I1774" s="3" t="str">
        <f t="shared" si="212"/>
        <v>GIS for Web Developers</v>
      </c>
    </row>
    <row r="1775" spans="1:9" x14ac:dyDescent="0.45">
      <c r="A1775" t="s">
        <v>418</v>
      </c>
      <c r="B1775" t="str">
        <f t="shared" si="205"/>
        <v>2011</v>
      </c>
      <c r="C1775" t="str">
        <f t="shared" si="206"/>
        <v>Springer</v>
      </c>
      <c r="D1775" t="str">
        <f t="shared" si="207"/>
        <v>Marc Rochkind</v>
      </c>
      <c r="E1775" s="3" t="str">
        <f t="shared" si="208"/>
        <v/>
      </c>
      <c r="F1775" s="3" t="str">
        <f t="shared" si="209"/>
        <v>.pdf</v>
      </c>
      <c r="G1775" s="3">
        <f t="shared" si="210"/>
        <v>102</v>
      </c>
      <c r="H1775" s="3">
        <f>LEN(Table1[[#This Row],[Auteur]])</f>
        <v>13</v>
      </c>
      <c r="I1775" s="3" t="str">
        <f t="shared" si="212"/>
        <v>Guide to HTML JavaScript and PHP, For Scientists and Engineers</v>
      </c>
    </row>
    <row r="1776" spans="1:9" x14ac:dyDescent="0.45">
      <c r="A1776" t="s">
        <v>419</v>
      </c>
      <c r="B1776" t="str">
        <f t="shared" si="205"/>
        <v>2012</v>
      </c>
      <c r="C1776" t="str">
        <f t="shared" si="206"/>
        <v>O'Reilly</v>
      </c>
      <c r="D1776" t="str">
        <f t="shared" si="207"/>
        <v>Elisabeth Robson, Eric Freeman</v>
      </c>
      <c r="E1776" s="3" t="str">
        <f t="shared" si="208"/>
        <v/>
      </c>
      <c r="F1776" s="3" t="str">
        <f t="shared" si="209"/>
        <v>.pdf</v>
      </c>
      <c r="G1776">
        <f t="shared" si="210"/>
        <v>88</v>
      </c>
      <c r="H1776" s="3">
        <f>LEN(Table1[[#This Row],[Auteur]])</f>
        <v>30</v>
      </c>
      <c r="I1776" s="3" t="str">
        <f t="shared" si="212"/>
        <v>Head First HTML and CSS</v>
      </c>
    </row>
    <row r="1777" spans="1:9" x14ac:dyDescent="0.45">
      <c r="A1777" t="s">
        <v>420</v>
      </c>
      <c r="B1777" t="str">
        <f t="shared" si="205"/>
        <v>2006</v>
      </c>
      <c r="C1777" t="str">
        <f t="shared" si="206"/>
        <v>O'Reilly</v>
      </c>
      <c r="D1777" t="str">
        <f t="shared" si="207"/>
        <v>Elisabeth Robson, Eric Freeman</v>
      </c>
      <c r="E1777" s="3" t="str">
        <f t="shared" si="208"/>
        <v/>
      </c>
      <c r="F1777" t="str">
        <f t="shared" si="209"/>
        <v>.pdf</v>
      </c>
      <c r="G1777">
        <f t="shared" si="210"/>
        <v>89</v>
      </c>
      <c r="H1777" s="3">
        <f>LEN(Table1[[#This Row],[Auteur]])</f>
        <v>30</v>
      </c>
      <c r="I1777" s="3" t="str">
        <f t="shared" si="212"/>
        <v>Head First HTML with CSS &amp; XHTML</v>
      </c>
    </row>
    <row r="1778" spans="1:9" x14ac:dyDescent="0.45">
      <c r="A1778" t="s">
        <v>421</v>
      </c>
      <c r="B1778" t="str">
        <f t="shared" si="205"/>
        <v>2008</v>
      </c>
      <c r="C1778" t="str">
        <f t="shared" si="206"/>
        <v>O'Reilly</v>
      </c>
      <c r="D1778" t="str">
        <f t="shared" si="207"/>
        <v>Michael Morrison</v>
      </c>
      <c r="E1778" s="3" t="str">
        <f t="shared" si="208"/>
        <v/>
      </c>
      <c r="F1778" s="3" t="str">
        <f t="shared" si="209"/>
        <v>.pdf</v>
      </c>
      <c r="G1778">
        <f t="shared" si="210"/>
        <v>64</v>
      </c>
      <c r="H1778" s="3">
        <f>LEN(Table1[[#This Row],[Auteur]])</f>
        <v>16</v>
      </c>
      <c r="I1778" s="3" t="str">
        <f t="shared" si="212"/>
        <v>Head First JavaScript</v>
      </c>
    </row>
    <row r="1779" spans="1:9" x14ac:dyDescent="0.45">
      <c r="A1779" t="s">
        <v>422</v>
      </c>
      <c r="B1779" t="str">
        <f t="shared" si="205"/>
        <v>2009</v>
      </c>
      <c r="C1779" t="str">
        <f t="shared" si="206"/>
        <v>O'Reilly</v>
      </c>
      <c r="D1779" t="str">
        <f t="shared" si="207"/>
        <v>Ethan Watrall, Jeff Siarto</v>
      </c>
      <c r="E1779" s="3" t="str">
        <f t="shared" si="208"/>
        <v/>
      </c>
      <c r="F1779" t="str">
        <f t="shared" si="209"/>
        <v>.pdf</v>
      </c>
      <c r="G1779">
        <f t="shared" si="210"/>
        <v>74</v>
      </c>
      <c r="H1779" s="3">
        <f>LEN(Table1[[#This Row],[Auteur]])</f>
        <v>26</v>
      </c>
      <c r="I1779" s="3" t="str">
        <f t="shared" si="212"/>
        <v>Head First Web Design</v>
      </c>
    </row>
    <row r="1780" spans="1:9" x14ac:dyDescent="0.45">
      <c r="A1780" t="s">
        <v>423</v>
      </c>
      <c r="B1780" t="str">
        <f t="shared" si="205"/>
        <v>2016</v>
      </c>
      <c r="C1780" t="str">
        <f t="shared" si="206"/>
        <v>Leanpub</v>
      </c>
      <c r="D1780" t="str">
        <f t="shared" si="207"/>
        <v>Rick Hernandez</v>
      </c>
      <c r="E1780" s="3" t="str">
        <f t="shared" si="208"/>
        <v/>
      </c>
      <c r="F1780" t="str">
        <f t="shared" si="209"/>
        <v>.epub</v>
      </c>
      <c r="G1780">
        <f t="shared" si="210"/>
        <v>82</v>
      </c>
      <c r="H1780" s="3">
        <f>LEN(Table1[[#This Row],[Auteur]])</f>
        <v>14</v>
      </c>
      <c r="I1780" s="3" t="str">
        <f t="shared" si="212"/>
        <v>Hello JavaScript Programming Fundamentals</v>
      </c>
    </row>
    <row r="1781" spans="1:9" x14ac:dyDescent="0.45">
      <c r="A1781" t="s">
        <v>424</v>
      </c>
      <c r="B1781" t="str">
        <f t="shared" si="205"/>
        <v>2016</v>
      </c>
      <c r="C1781" t="str">
        <f t="shared" si="206"/>
        <v>Leanpub</v>
      </c>
      <c r="D1781" t="str">
        <f t="shared" si="207"/>
        <v>Rick Hernandez</v>
      </c>
      <c r="E1781" s="3" t="str">
        <f t="shared" si="208"/>
        <v/>
      </c>
      <c r="F1781" t="str">
        <f t="shared" si="209"/>
        <v>.pdf</v>
      </c>
      <c r="G1781">
        <f t="shared" si="210"/>
        <v>81</v>
      </c>
      <c r="H1781" s="3">
        <f>LEN(Table1[[#This Row],[Auteur]])</f>
        <v>14</v>
      </c>
      <c r="I1781" s="3" t="str">
        <f t="shared" si="212"/>
        <v>Hello JavaScript Programming Fundamentals</v>
      </c>
    </row>
    <row r="1782" spans="1:9" x14ac:dyDescent="0.45">
      <c r="A1782" t="s">
        <v>425</v>
      </c>
      <c r="B1782" t="str">
        <f t="shared" si="205"/>
        <v>2010</v>
      </c>
      <c r="C1782" t="str">
        <f t="shared" si="206"/>
        <v>O'Reilly</v>
      </c>
      <c r="D1782" t="str">
        <f t="shared" si="207"/>
        <v>Ben Henick</v>
      </c>
      <c r="E1782" s="3" t="str">
        <f t="shared" si="208"/>
        <v/>
      </c>
      <c r="F1782" s="3" t="str">
        <f t="shared" si="209"/>
        <v>.pdf</v>
      </c>
      <c r="G1782">
        <f t="shared" si="210"/>
        <v>63</v>
      </c>
      <c r="H1782" s="3">
        <f>LEN(Table1[[#This Row],[Auteur]])</f>
        <v>10</v>
      </c>
      <c r="I1782" s="3" t="str">
        <f t="shared" si="212"/>
        <v>HTML &amp; CSS, The Good Parts</v>
      </c>
    </row>
    <row r="1783" spans="1:9" x14ac:dyDescent="0.45">
      <c r="A1783" t="s">
        <v>426</v>
      </c>
      <c r="B1783" t="str">
        <f t="shared" si="205"/>
        <v>2010</v>
      </c>
      <c r="C1783" t="str">
        <f t="shared" si="206"/>
        <v>O'Reilly</v>
      </c>
      <c r="D1783" t="str">
        <f t="shared" si="207"/>
        <v>Jennifer Niederst Robbins</v>
      </c>
      <c r="E1783" s="3" t="str">
        <f t="shared" si="208"/>
        <v/>
      </c>
      <c r="F1783" t="str">
        <f t="shared" si="209"/>
        <v>.pdf</v>
      </c>
      <c r="G1783">
        <f t="shared" si="210"/>
        <v>89</v>
      </c>
      <c r="H1783" s="3">
        <f>LEN(Table1[[#This Row],[Auteur]])</f>
        <v>25</v>
      </c>
      <c r="I1783" s="3" t="str">
        <f t="shared" si="212"/>
        <v>HTML &amp; XHTML Pocket Reference</v>
      </c>
    </row>
    <row r="1784" spans="1:9" x14ac:dyDescent="0.45">
      <c r="A1784" t="s">
        <v>427</v>
      </c>
      <c r="B1784" t="str">
        <f t="shared" si="205"/>
        <v>2002</v>
      </c>
      <c r="C1784" t="str">
        <f t="shared" si="206"/>
        <v>O'Reilly</v>
      </c>
      <c r="D1784" t="str">
        <f t="shared" si="207"/>
        <v>Jennifer Niederst</v>
      </c>
      <c r="E1784" s="3" t="str">
        <f t="shared" si="208"/>
        <v/>
      </c>
      <c r="F1784" s="3" t="str">
        <f t="shared" si="209"/>
        <v>.pdf</v>
      </c>
      <c r="G1784">
        <f t="shared" si="210"/>
        <v>73</v>
      </c>
      <c r="H1784" s="3">
        <f>LEN(Table1[[#This Row],[Auteur]])</f>
        <v>17</v>
      </c>
      <c r="I1784" s="3" t="str">
        <f t="shared" si="212"/>
        <v>HTML Pocket Reference</v>
      </c>
    </row>
    <row r="1785" spans="1:9" x14ac:dyDescent="0.45">
      <c r="A1785" t="s">
        <v>428</v>
      </c>
      <c r="B1785" t="str">
        <f t="shared" si="205"/>
        <v>2009</v>
      </c>
      <c r="C1785" t="str">
        <f t="shared" si="206"/>
        <v>McGraw-Hill</v>
      </c>
      <c r="D1785" t="str">
        <f t="shared" si="207"/>
        <v>Wendy Willard</v>
      </c>
      <c r="E1785" s="3" t="str">
        <f t="shared" si="208"/>
        <v/>
      </c>
      <c r="F1785" s="3" t="str">
        <f t="shared" si="209"/>
        <v>.pdf</v>
      </c>
      <c r="G1785">
        <f t="shared" si="210"/>
        <v>75</v>
      </c>
      <c r="H1785" s="3">
        <f>LEN(Table1[[#This Row],[Auteur]])</f>
        <v>13</v>
      </c>
      <c r="I1785" s="3" t="str">
        <f t="shared" si="212"/>
        <v>HTML, A Beginner's Guide</v>
      </c>
    </row>
    <row r="1786" spans="1:9" x14ac:dyDescent="0.45">
      <c r="A1786" t="s">
        <v>429</v>
      </c>
      <c r="B1786" t="str">
        <f t="shared" si="205"/>
        <v>2010</v>
      </c>
      <c r="C1786" t="str">
        <f t="shared" si="206"/>
        <v>Wiley</v>
      </c>
      <c r="D1786" t="str">
        <f t="shared" si="207"/>
        <v>Steven M. Schafer</v>
      </c>
      <c r="E1786" s="3" t="str">
        <f t="shared" si="208"/>
        <v/>
      </c>
      <c r="F1786" t="str">
        <f t="shared" si="209"/>
        <v>.pdf</v>
      </c>
      <c r="G1786">
        <f t="shared" si="210"/>
        <v>75</v>
      </c>
      <c r="H1786" s="3">
        <f>LEN(Table1[[#This Row],[Auteur]])</f>
        <v>17</v>
      </c>
      <c r="I1786" s="3" t="str">
        <f t="shared" si="212"/>
        <v>HTML, XHTML, and CSS Bible</v>
      </c>
    </row>
    <row r="1787" spans="1:9" x14ac:dyDescent="0.45">
      <c r="A1787" t="s">
        <v>430</v>
      </c>
      <c r="B1787" t="str">
        <f t="shared" si="205"/>
        <v>2011</v>
      </c>
      <c r="C1787" t="str">
        <f t="shared" si="206"/>
        <v>Apress</v>
      </c>
      <c r="D1787" t="str">
        <f t="shared" si="207"/>
        <v>Billy Lamberta</v>
      </c>
      <c r="E1787" s="3" t="str">
        <f t="shared" si="208"/>
        <v/>
      </c>
      <c r="F1787" t="str">
        <f t="shared" si="209"/>
        <v>.pdf</v>
      </c>
      <c r="G1787">
        <f t="shared" si="210"/>
        <v>70</v>
      </c>
      <c r="H1787" s="3">
        <f>LEN(Table1[[#This Row],[Auteur]])</f>
        <v>14</v>
      </c>
      <c r="I1787" s="3" t="str">
        <f t="shared" si="212"/>
        <v>HTML5 Animation with Javascript</v>
      </c>
    </row>
    <row r="1788" spans="1:9" x14ac:dyDescent="0.45">
      <c r="A1788" t="s">
        <v>431</v>
      </c>
      <c r="B1788" t="str">
        <f t="shared" si="205"/>
        <v>2012</v>
      </c>
      <c r="C1788" t="str">
        <f t="shared" si="206"/>
        <v>Eyrolles</v>
      </c>
      <c r="D1788" t="str">
        <f t="shared" si="207"/>
        <v>Jean Engels</v>
      </c>
      <c r="E1788" s="3" t="str">
        <f t="shared" si="208"/>
        <v/>
      </c>
      <c r="F1788" t="str">
        <f t="shared" si="209"/>
        <v>.pdf</v>
      </c>
      <c r="G1788">
        <f t="shared" si="210"/>
        <v>80</v>
      </c>
      <c r="H1788" s="3">
        <f>LEN(Table1[[#This Row],[Auteur]])</f>
        <v>11</v>
      </c>
      <c r="I1788" s="3" t="str">
        <f t="shared" si="212"/>
        <v>HTML5 et CSS3, Cours et exercices corrigés</v>
      </c>
    </row>
    <row r="1789" spans="1:9" x14ac:dyDescent="0.45">
      <c r="A1789" t="s">
        <v>432</v>
      </c>
      <c r="B1789" t="str">
        <f t="shared" si="205"/>
        <v>2012</v>
      </c>
      <c r="C1789" t="str">
        <f t="shared" si="206"/>
        <v>?</v>
      </c>
      <c r="D1789" t="str">
        <f t="shared" si="207"/>
        <v>?</v>
      </c>
      <c r="E1789" s="3" t="str">
        <f t="shared" si="208"/>
        <v/>
      </c>
      <c r="F1789" t="str">
        <f t="shared" si="209"/>
        <v>.zip</v>
      </c>
      <c r="G1789">
        <f t="shared" si="210"/>
        <v>69</v>
      </c>
      <c r="H1789" s="3">
        <f>LEN(Table1[[#This Row],[Auteur]])</f>
        <v>1</v>
      </c>
      <c r="I1789" s="3" t="str">
        <f t="shared" si="212"/>
        <v>HTML5 et CSS3, Cours et exercices corrigés</v>
      </c>
    </row>
    <row r="1790" spans="1:9" x14ac:dyDescent="0.45">
      <c r="A1790" t="s">
        <v>433</v>
      </c>
      <c r="B1790" t="str">
        <f t="shared" si="205"/>
        <v>2012</v>
      </c>
      <c r="C1790" t="str">
        <f t="shared" si="206"/>
        <v>Dunod</v>
      </c>
      <c r="D1790" t="str">
        <f t="shared" si="207"/>
        <v>Jean-Pierre Vincent, Jonathan Verrecchia</v>
      </c>
      <c r="E1790" s="3" t="str">
        <f t="shared" si="208"/>
        <v/>
      </c>
      <c r="F1790" t="str">
        <f t="shared" si="209"/>
        <v>.pdf</v>
      </c>
      <c r="G1790">
        <f t="shared" si="210"/>
        <v>112</v>
      </c>
      <c r="H1790" s="3">
        <f>LEN(Table1[[#This Row],[Auteur]])</f>
        <v>40</v>
      </c>
      <c r="I1790" s="3" t="str">
        <f t="shared" si="212"/>
        <v>HTML5, De la page Web à l'application Web</v>
      </c>
    </row>
    <row r="1791" spans="1:9" hidden="1" x14ac:dyDescent="0.45">
      <c r="A1791" t="s">
        <v>434</v>
      </c>
      <c r="B1791" t="str">
        <f t="shared" si="205"/>
        <v>2011</v>
      </c>
      <c r="C1791" t="str">
        <f t="shared" si="206"/>
        <v>Eyrolles</v>
      </c>
      <c r="D1791" t="str">
        <f t="shared" si="207"/>
        <v>Rodolphe Rimelé</v>
      </c>
      <c r="E1791" s="3" t="str">
        <f t="shared" si="208"/>
        <v/>
      </c>
      <c r="F1791" t="str">
        <f t="shared" si="209"/>
        <v>.pdf</v>
      </c>
      <c r="G1791">
        <f t="shared" si="210"/>
        <v>86</v>
      </c>
      <c r="H1791" s="3">
        <f>LEN(Table1[[#This Row],[Auteur]])</f>
        <v>15</v>
      </c>
      <c r="I1791" s="3" t="str">
        <f t="shared" si="212"/>
        <v>HTML5, Une référence pour le développeur Web</v>
      </c>
    </row>
    <row r="1792" spans="1:9" x14ac:dyDescent="0.45">
      <c r="A1792" t="s">
        <v>435</v>
      </c>
      <c r="B1792" t="str">
        <f t="shared" si="205"/>
        <v>2012</v>
      </c>
      <c r="C1792" t="str">
        <f t="shared" si="206"/>
        <v>O'Reilly</v>
      </c>
      <c r="D1792" t="str">
        <f t="shared" si="207"/>
        <v>Michael Dory, Adam Parrish, and Brendan Berg</v>
      </c>
      <c r="E1792" s="3" t="str">
        <f t="shared" si="208"/>
        <v/>
      </c>
      <c r="F1792" s="3" t="str">
        <f t="shared" si="209"/>
        <v>.pdf</v>
      </c>
      <c r="G1792">
        <f t="shared" si="210"/>
        <v>94</v>
      </c>
      <c r="H1792" s="3">
        <f>LEN(Table1[[#This Row],[Auteur]])</f>
        <v>44</v>
      </c>
      <c r="I1792" s="3" t="str">
        <f t="shared" si="212"/>
        <v>Introduction to Tornado</v>
      </c>
    </row>
    <row r="1793" spans="1:9" x14ac:dyDescent="0.45">
      <c r="A1793" t="s">
        <v>436</v>
      </c>
      <c r="B1793" t="str">
        <f t="shared" si="205"/>
        <v>2012</v>
      </c>
      <c r="C1793" t="str">
        <f t="shared" si="206"/>
        <v>O'Reilly</v>
      </c>
      <c r="D1793" t="str">
        <f t="shared" si="207"/>
        <v>David Sawyer McFarland</v>
      </c>
      <c r="E1793" s="3" t="str">
        <f t="shared" si="208"/>
        <v/>
      </c>
      <c r="F1793" t="str">
        <f t="shared" si="209"/>
        <v>.pdf</v>
      </c>
      <c r="G1793">
        <f t="shared" si="210"/>
        <v>98</v>
      </c>
      <c r="H1793" s="3">
        <f>LEN(Table1[[#This Row],[Auteur]])</f>
        <v>22</v>
      </c>
      <c r="I1793" s="3" t="str">
        <f t="shared" si="212"/>
        <v>JavaScript and jQuery, The Missing Manual</v>
      </c>
    </row>
    <row r="1794" spans="1:9" x14ac:dyDescent="0.45">
      <c r="A1794" t="s">
        <v>437</v>
      </c>
      <c r="B1794" t="str">
        <f t="shared" ref="B1794:B1857" si="213">DatePub(A1794)</f>
        <v>1999</v>
      </c>
      <c r="C1794" t="str">
        <f t="shared" ref="C1794:C1857" si="214">Editeur(A1794)</f>
        <v>O'Reilly</v>
      </c>
      <c r="D1794" t="str">
        <f t="shared" ref="D1794:D1857" si="215">Auteur(A1794)</f>
        <v>Jerry Bradenbaugh</v>
      </c>
      <c r="E1794" s="3" t="str">
        <f t="shared" ref="E1794:E1857" si="216">ExtraInfo(A1794)</f>
        <v>Dump</v>
      </c>
      <c r="F1794" t="str">
        <f t="shared" ref="F1794:F1857" si="217">Extension(A1794)</f>
        <v>.pdf</v>
      </c>
      <c r="G1794">
        <f t="shared" ref="G1794:G1857" si="218">LenFileName(A1794)</f>
        <v>82</v>
      </c>
      <c r="H1794" s="3">
        <f>LEN(Table1[[#This Row],[Auteur]])</f>
        <v>17</v>
      </c>
      <c r="I1794" s="3" t="str">
        <f t="shared" ref="I1794:I1857" si="219">Title(A1794)</f>
        <v>JavaScript Application Cookbook</v>
      </c>
    </row>
    <row r="1795" spans="1:9" x14ac:dyDescent="0.45">
      <c r="A1795" t="s">
        <v>438</v>
      </c>
      <c r="B1795" t="str">
        <f t="shared" si="213"/>
        <v>2011</v>
      </c>
      <c r="C1795" t="str">
        <f t="shared" si="214"/>
        <v>Prentice Hall</v>
      </c>
      <c r="D1795" t="str">
        <f t="shared" si="215"/>
        <v>Ellie Quigley</v>
      </c>
      <c r="E1795" s="3" t="str">
        <f t="shared" si="216"/>
        <v/>
      </c>
      <c r="F1795" s="3" t="str">
        <f t="shared" si="217"/>
        <v>.pdf</v>
      </c>
      <c r="G1795">
        <f t="shared" si="218"/>
        <v>74</v>
      </c>
      <c r="H1795" s="3">
        <f>LEN(Table1[[#This Row],[Auteur]])</f>
        <v>13</v>
      </c>
      <c r="I1795" s="3" t="str">
        <f t="shared" si="219"/>
        <v>Javascript by Example</v>
      </c>
    </row>
    <row r="1796" spans="1:9" x14ac:dyDescent="0.45">
      <c r="A1796" t="s">
        <v>439</v>
      </c>
      <c r="B1796" t="str">
        <f t="shared" si="213"/>
        <v>2013</v>
      </c>
      <c r="C1796" t="str">
        <f t="shared" si="214"/>
        <v>O'Reilly</v>
      </c>
      <c r="D1796" t="str">
        <f t="shared" si="215"/>
        <v>Cody Lindley</v>
      </c>
      <c r="E1796" s="3" t="str">
        <f t="shared" si="216"/>
        <v/>
      </c>
      <c r="F1796" t="str">
        <f t="shared" si="217"/>
        <v>.pdf</v>
      </c>
      <c r="G1796">
        <f t="shared" si="218"/>
        <v>63</v>
      </c>
      <c r="H1796" s="3">
        <f>LEN(Table1[[#This Row],[Auteur]])</f>
        <v>12</v>
      </c>
      <c r="I1796" s="3" t="str">
        <f t="shared" si="219"/>
        <v>JavaScript Enlightenment</v>
      </c>
    </row>
    <row r="1797" spans="1:9" x14ac:dyDescent="0.45">
      <c r="A1797" t="s">
        <v>440</v>
      </c>
      <c r="B1797" t="str">
        <f t="shared" si="213"/>
        <v>2012</v>
      </c>
      <c r="C1797" t="str">
        <f t="shared" si="214"/>
        <v>O'Reilly</v>
      </c>
      <c r="D1797" t="str">
        <f t="shared" si="215"/>
        <v>David Flanagan</v>
      </c>
      <c r="E1797" s="3" t="str">
        <f t="shared" si="216"/>
        <v/>
      </c>
      <c r="F1797" t="str">
        <f t="shared" si="217"/>
        <v>.pdf</v>
      </c>
      <c r="G1797">
        <f t="shared" si="218"/>
        <v>76</v>
      </c>
      <c r="H1797" s="3">
        <f>LEN(Table1[[#This Row],[Auteur]])</f>
        <v>14</v>
      </c>
      <c r="I1797" s="3" t="str">
        <f t="shared" si="219"/>
        <v>JavaScript Pocket Reference</v>
      </c>
    </row>
    <row r="1798" spans="1:9" x14ac:dyDescent="0.45">
      <c r="A1798" t="s">
        <v>441</v>
      </c>
      <c r="B1798" t="str">
        <f t="shared" si="213"/>
        <v>2007</v>
      </c>
      <c r="C1798" t="str">
        <f t="shared" si="214"/>
        <v>Eyrolles</v>
      </c>
      <c r="D1798" t="str">
        <f t="shared" si="215"/>
        <v>Thierry Templier, ArnaudGougeon</v>
      </c>
      <c r="E1798" s="3" t="str">
        <f t="shared" si="216"/>
        <v/>
      </c>
      <c r="F1798" t="str">
        <f t="shared" si="217"/>
        <v>.pdf</v>
      </c>
      <c r="G1798">
        <f t="shared" si="218"/>
        <v>84</v>
      </c>
      <c r="H1798" s="3">
        <f>LEN(Table1[[#This Row],[Auteur]])</f>
        <v>31</v>
      </c>
      <c r="I1798" s="3" t="str">
        <f t="shared" si="219"/>
        <v>JavaScript pour le Web 2.0</v>
      </c>
    </row>
    <row r="1799" spans="1:9" x14ac:dyDescent="0.45">
      <c r="A1799" t="s">
        <v>442</v>
      </c>
      <c r="B1799" t="str">
        <f t="shared" si="213"/>
        <v>2010</v>
      </c>
      <c r="C1799" t="str">
        <f t="shared" si="214"/>
        <v>O'Reilly</v>
      </c>
      <c r="D1799" t="str">
        <f t="shared" si="215"/>
        <v>Steve Suehring</v>
      </c>
      <c r="E1799" s="3" t="str">
        <f t="shared" si="216"/>
        <v/>
      </c>
      <c r="F1799" t="str">
        <f t="shared" si="217"/>
        <v>.pdf</v>
      </c>
      <c r="G1799">
        <f t="shared" si="218"/>
        <v>72</v>
      </c>
      <c r="H1799" s="3">
        <f>LEN(Table1[[#This Row],[Auteur]])</f>
        <v>14</v>
      </c>
      <c r="I1799" s="3" t="str">
        <f t="shared" si="219"/>
        <v>JavaScript Step by Step</v>
      </c>
    </row>
    <row r="1800" spans="1:9" x14ac:dyDescent="0.45">
      <c r="A1800" t="s">
        <v>443</v>
      </c>
      <c r="B1800" t="str">
        <f t="shared" si="213"/>
        <v>2016</v>
      </c>
      <c r="C1800" t="str">
        <f t="shared" si="214"/>
        <v>?</v>
      </c>
      <c r="D1800" t="str">
        <f t="shared" si="215"/>
        <v>JM Shepal</v>
      </c>
      <c r="E1800" s="3" t="str">
        <f t="shared" si="216"/>
        <v/>
      </c>
      <c r="F1800" t="str">
        <f t="shared" si="217"/>
        <v>.epub</v>
      </c>
      <c r="G1800">
        <f t="shared" si="218"/>
        <v>61</v>
      </c>
      <c r="H1800" s="3">
        <f>LEN(Table1[[#This Row],[Auteur]])</f>
        <v>9</v>
      </c>
      <c r="I1800" s="3" t="str">
        <f t="shared" si="219"/>
        <v>JavaScript, The Ultimate Crash Course</v>
      </c>
    </row>
    <row r="1801" spans="1:9" x14ac:dyDescent="0.45">
      <c r="A1801" t="s">
        <v>444</v>
      </c>
      <c r="B1801" t="str">
        <f t="shared" si="213"/>
        <v>2016</v>
      </c>
      <c r="C1801" t="str">
        <f t="shared" si="214"/>
        <v>?</v>
      </c>
      <c r="D1801" t="str">
        <f t="shared" si="215"/>
        <v>JM Shepal</v>
      </c>
      <c r="E1801" s="3" t="str">
        <f t="shared" si="216"/>
        <v/>
      </c>
      <c r="F1801" s="3" t="str">
        <f t="shared" si="217"/>
        <v>.pdf</v>
      </c>
      <c r="G1801">
        <f t="shared" si="218"/>
        <v>60</v>
      </c>
      <c r="H1801" s="3">
        <f>LEN(Table1[[#This Row],[Auteur]])</f>
        <v>9</v>
      </c>
      <c r="I1801" s="3" t="str">
        <f t="shared" si="219"/>
        <v>JavaScript, The Ultimate Crash Course</v>
      </c>
    </row>
    <row r="1802" spans="1:9" x14ac:dyDescent="0.45">
      <c r="A1802" t="s">
        <v>445</v>
      </c>
      <c r="B1802" t="str">
        <f t="shared" si="213"/>
        <v>?</v>
      </c>
      <c r="C1802" t="str">
        <f t="shared" si="214"/>
        <v>Acodemy</v>
      </c>
      <c r="D1802" t="str">
        <f t="shared" si="215"/>
        <v>?</v>
      </c>
      <c r="E1802" s="3" t="str">
        <f t="shared" si="216"/>
        <v/>
      </c>
      <c r="F1802" s="3" t="str">
        <f t="shared" si="217"/>
        <v>.pdf</v>
      </c>
      <c r="G1802" s="3">
        <f t="shared" si="218"/>
        <v>34</v>
      </c>
      <c r="H1802" s="3">
        <f>LEN(Table1[[#This Row],[Auteur]])</f>
        <v>1</v>
      </c>
      <c r="I1802" s="3" t="str">
        <f t="shared" si="219"/>
        <v>Learn CSS in a Day</v>
      </c>
    </row>
    <row r="1803" spans="1:9" x14ac:dyDescent="0.45">
      <c r="A1803" t="s">
        <v>446</v>
      </c>
      <c r="B1803" t="str">
        <f t="shared" si="213"/>
        <v>2015</v>
      </c>
      <c r="C1803" t="str">
        <f t="shared" si="214"/>
        <v>Acodemy</v>
      </c>
      <c r="D1803" t="str">
        <f t="shared" si="215"/>
        <v>?</v>
      </c>
      <c r="E1803" s="3" t="str">
        <f t="shared" si="216"/>
        <v/>
      </c>
      <c r="F1803" t="str">
        <f t="shared" si="217"/>
        <v>.pdf</v>
      </c>
      <c r="G1803">
        <f t="shared" si="218"/>
        <v>42</v>
      </c>
      <c r="H1803" s="3">
        <f>LEN(Table1[[#This Row],[Auteur]])</f>
        <v>1</v>
      </c>
      <c r="I1803" s="3" t="str">
        <f t="shared" si="219"/>
        <v>Learn HTML in a Day</v>
      </c>
    </row>
    <row r="1804" spans="1:9" x14ac:dyDescent="0.45">
      <c r="A1804" t="s">
        <v>447</v>
      </c>
      <c r="B1804" t="str">
        <f t="shared" si="213"/>
        <v>2015</v>
      </c>
      <c r="C1804" t="str">
        <f t="shared" si="214"/>
        <v>Acodemy</v>
      </c>
      <c r="D1804" t="str">
        <f t="shared" si="215"/>
        <v>?</v>
      </c>
      <c r="E1804" s="3" t="str">
        <f t="shared" si="216"/>
        <v/>
      </c>
      <c r="F1804" s="3" t="str">
        <f t="shared" si="217"/>
        <v>.pdf</v>
      </c>
      <c r="G1804">
        <f t="shared" si="218"/>
        <v>48</v>
      </c>
      <c r="H1804" s="3">
        <f>LEN(Table1[[#This Row],[Auteur]])</f>
        <v>1</v>
      </c>
      <c r="I1804" s="3" t="str">
        <f t="shared" si="219"/>
        <v>Learn Javascript in a Day</v>
      </c>
    </row>
    <row r="1805" spans="1:9" x14ac:dyDescent="0.45">
      <c r="A1805" t="s">
        <v>448</v>
      </c>
      <c r="B1805" t="str">
        <f t="shared" si="213"/>
        <v>2015</v>
      </c>
      <c r="C1805" t="str">
        <f t="shared" si="214"/>
        <v>Acodemy</v>
      </c>
      <c r="D1805" t="str">
        <f t="shared" si="215"/>
        <v>?</v>
      </c>
      <c r="E1805" s="3" t="str">
        <f t="shared" si="216"/>
        <v/>
      </c>
      <c r="F1805" t="str">
        <f t="shared" si="217"/>
        <v>.pdf</v>
      </c>
      <c r="G1805">
        <f t="shared" si="218"/>
        <v>42</v>
      </c>
      <c r="H1805" s="3">
        <f>LEN(Table1[[#This Row],[Auteur]])</f>
        <v>1</v>
      </c>
      <c r="I1805" s="3" t="str">
        <f t="shared" si="219"/>
        <v>Learn JSON in a Day</v>
      </c>
    </row>
    <row r="1806" spans="1:9" x14ac:dyDescent="0.45">
      <c r="A1806" t="s">
        <v>449</v>
      </c>
      <c r="B1806" t="str">
        <f t="shared" si="213"/>
        <v>2015</v>
      </c>
      <c r="C1806" t="str">
        <f t="shared" si="214"/>
        <v>Acodemy</v>
      </c>
      <c r="D1806" t="str">
        <f t="shared" si="215"/>
        <v>?</v>
      </c>
      <c r="E1806" s="3" t="str">
        <f t="shared" si="216"/>
        <v/>
      </c>
      <c r="F1806" t="str">
        <f t="shared" si="217"/>
        <v>.pdf</v>
      </c>
      <c r="G1806">
        <f t="shared" si="218"/>
        <v>41</v>
      </c>
      <c r="H1806" s="3">
        <f>LEN(Table1[[#This Row],[Auteur]])</f>
        <v>1</v>
      </c>
      <c r="I1806" s="3" t="str">
        <f t="shared" si="219"/>
        <v>Learn PHP in a Day</v>
      </c>
    </row>
    <row r="1807" spans="1:9" x14ac:dyDescent="0.45">
      <c r="A1807" t="s">
        <v>450</v>
      </c>
      <c r="B1807" t="str">
        <f t="shared" si="213"/>
        <v>2012</v>
      </c>
      <c r="C1807" t="str">
        <f t="shared" si="214"/>
        <v>O'Reilly</v>
      </c>
      <c r="D1807" t="str">
        <f t="shared" si="215"/>
        <v>Jennifer Niederst Robbins</v>
      </c>
      <c r="E1807" s="3" t="str">
        <f t="shared" si="216"/>
        <v/>
      </c>
      <c r="F1807" s="3" t="str">
        <f t="shared" si="217"/>
        <v>.pdf</v>
      </c>
      <c r="G1807">
        <f t="shared" si="218"/>
        <v>98</v>
      </c>
      <c r="H1807" s="3">
        <f>LEN(Table1[[#This Row],[Auteur]])</f>
        <v>25</v>
      </c>
      <c r="I1807" s="3" t="str">
        <f t="shared" si="219"/>
        <v>Learning Web Design, A Beginners Guide</v>
      </c>
    </row>
    <row r="1808" spans="1:9" x14ac:dyDescent="0.45">
      <c r="A1808" t="s">
        <v>451</v>
      </c>
      <c r="B1808" t="str">
        <f t="shared" si="213"/>
        <v>2000</v>
      </c>
      <c r="C1808" t="str">
        <f t="shared" si="214"/>
        <v>O'Reilly</v>
      </c>
      <c r="D1808" t="str">
        <f t="shared" si="215"/>
        <v>Martin Frost</v>
      </c>
      <c r="E1808" s="3" t="str">
        <f t="shared" si="216"/>
        <v>Dump</v>
      </c>
      <c r="F1808" s="3" t="str">
        <f t="shared" si="217"/>
        <v>.pdf</v>
      </c>
      <c r="G1808">
        <f t="shared" si="218"/>
        <v>70</v>
      </c>
      <c r="H1808" s="3">
        <f>LEN(Table1[[#This Row],[Auteur]])</f>
        <v>12</v>
      </c>
      <c r="I1808" s="3" t="str">
        <f t="shared" si="219"/>
        <v>Learning WML &amp; WMLScript</v>
      </c>
    </row>
    <row r="1809" spans="1:9" x14ac:dyDescent="0.45">
      <c r="A1809" t="s">
        <v>452</v>
      </c>
      <c r="B1809" t="str">
        <f t="shared" si="213"/>
        <v>2005</v>
      </c>
      <c r="C1809" t="str">
        <f t="shared" si="214"/>
        <v>Eyrolles</v>
      </c>
      <c r="D1809" t="str">
        <f t="shared" si="215"/>
        <v>Stéphane Mariel</v>
      </c>
      <c r="E1809" s="3" t="str">
        <f t="shared" si="216"/>
        <v/>
      </c>
      <c r="F1809" t="str">
        <f t="shared" si="217"/>
        <v>.pdf</v>
      </c>
      <c r="G1809">
        <f t="shared" si="218"/>
        <v>75</v>
      </c>
      <c r="H1809" s="3">
        <f>LEN(Table1[[#This Row],[Auteur]])</f>
        <v>15</v>
      </c>
      <c r="I1809" s="3" t="str">
        <f t="shared" si="219"/>
        <v>Les Cahiers du Programmeur, PHP 5</v>
      </c>
    </row>
    <row r="1810" spans="1:9" x14ac:dyDescent="0.45">
      <c r="A1810" t="s">
        <v>453</v>
      </c>
      <c r="B1810" t="str">
        <f t="shared" si="213"/>
        <v>2005</v>
      </c>
      <c r="C1810" t="str">
        <f t="shared" si="214"/>
        <v>Eyrolles</v>
      </c>
      <c r="D1810" t="str">
        <f t="shared" si="215"/>
        <v>Jonathan Protzenko</v>
      </c>
      <c r="E1810" s="3" t="str">
        <f t="shared" si="216"/>
        <v/>
      </c>
      <c r="F1810" s="3" t="str">
        <f t="shared" si="217"/>
        <v>.pdf</v>
      </c>
      <c r="G1810">
        <f t="shared" si="218"/>
        <v>76</v>
      </c>
      <c r="H1810" s="3">
        <f>LEN(Table1[[#This Row],[Auteur]])</f>
        <v>18</v>
      </c>
      <c r="I1810" s="3" t="str">
        <f t="shared" si="219"/>
        <v>Les Cahiers du Programmeur, XUL</v>
      </c>
    </row>
    <row r="1811" spans="1:9" x14ac:dyDescent="0.45">
      <c r="A1811" t="s">
        <v>454</v>
      </c>
      <c r="B1811" t="str">
        <f t="shared" si="213"/>
        <v>2010</v>
      </c>
      <c r="C1811" t="str">
        <f t="shared" si="214"/>
        <v>Pearson</v>
      </c>
      <c r="D1811" t="str">
        <f t="shared" si="215"/>
        <v>Andy Budd</v>
      </c>
      <c r="E1811" s="3" t="str">
        <f t="shared" si="216"/>
        <v/>
      </c>
      <c r="F1811" t="str">
        <f t="shared" si="217"/>
        <v>.pdf</v>
      </c>
      <c r="G1811">
        <f t="shared" si="218"/>
        <v>58</v>
      </c>
      <c r="H1811" s="3">
        <f>LEN(Table1[[#This Row],[Auteur]])</f>
        <v>9</v>
      </c>
      <c r="I1811" s="3" t="str">
        <f t="shared" si="219"/>
        <v>Maîtrise des CSS</v>
      </c>
    </row>
    <row r="1812" spans="1:9" x14ac:dyDescent="0.45">
      <c r="A1812" t="s">
        <v>455</v>
      </c>
      <c r="B1812" t="str">
        <f t="shared" si="213"/>
        <v>2016</v>
      </c>
      <c r="C1812" t="str">
        <f t="shared" si="214"/>
        <v>Dunod</v>
      </c>
      <c r="D1812" t="str">
        <f t="shared" si="215"/>
        <v>Jean-Michel Léry</v>
      </c>
      <c r="E1812" s="3" t="str">
        <f t="shared" si="216"/>
        <v/>
      </c>
      <c r="F1812" t="str">
        <f t="shared" si="217"/>
        <v>.pdf</v>
      </c>
      <c r="G1812">
        <f t="shared" si="218"/>
        <v>53</v>
      </c>
      <c r="H1812" s="3">
        <f>LEN(Table1[[#This Row],[Auteur]])</f>
        <v>16</v>
      </c>
      <c r="I1812" s="3" t="str">
        <f t="shared" si="219"/>
        <v>Manuel de PHP</v>
      </c>
    </row>
    <row r="1813" spans="1:9" x14ac:dyDescent="0.45">
      <c r="A1813" t="s">
        <v>1919</v>
      </c>
      <c r="B1813" t="str">
        <f t="shared" si="213"/>
        <v>2007</v>
      </c>
      <c r="C1813" t="str">
        <f t="shared" si="214"/>
        <v>Wiley</v>
      </c>
      <c r="D1813" t="str">
        <f t="shared" si="215"/>
        <v>John Paul Mueller</v>
      </c>
      <c r="E1813" s="3" t="str">
        <f t="shared" si="216"/>
        <v/>
      </c>
      <c r="F1813" t="str">
        <f t="shared" si="217"/>
        <v>.pdf</v>
      </c>
      <c r="G1813">
        <f t="shared" si="218"/>
        <v>90</v>
      </c>
      <c r="H1813" s="3">
        <f>LEN(Table1[[#This Row],[Auteur]])</f>
        <v>17</v>
      </c>
      <c r="I1813" s="3" t="str">
        <f t="shared" si="219"/>
        <v>Microsoft IIS 7 Implementation and Administration</v>
      </c>
    </row>
    <row r="1814" spans="1:9" x14ac:dyDescent="0.45">
      <c r="A1814" t="s">
        <v>456</v>
      </c>
      <c r="B1814" t="str">
        <f t="shared" si="213"/>
        <v>2012</v>
      </c>
      <c r="C1814" t="str">
        <f t="shared" si="214"/>
        <v>O'Reilly</v>
      </c>
      <c r="D1814" t="str">
        <f t="shared" si="215"/>
        <v>Adrian Kosmaczewski</v>
      </c>
      <c r="E1814" s="3" t="str">
        <f t="shared" si="216"/>
        <v/>
      </c>
      <c r="F1814" t="str">
        <f t="shared" si="217"/>
        <v>.pdf</v>
      </c>
      <c r="G1814">
        <f t="shared" si="218"/>
        <v>87</v>
      </c>
      <c r="H1814" s="3">
        <f>LEN(Table1[[#This Row],[Auteur]])</f>
        <v>19</v>
      </c>
      <c r="I1814" s="3" t="str">
        <f t="shared" si="219"/>
        <v>Mobile JavaScript Application Development</v>
      </c>
    </row>
    <row r="1815" spans="1:9" x14ac:dyDescent="0.45">
      <c r="A1815" t="s">
        <v>457</v>
      </c>
      <c r="B1815" t="str">
        <f t="shared" si="213"/>
        <v>2012</v>
      </c>
      <c r="C1815" t="str">
        <f t="shared" si="214"/>
        <v>Peachpit</v>
      </c>
      <c r="D1815" t="str">
        <f t="shared" si="215"/>
        <v>Larry Ullman</v>
      </c>
      <c r="E1815" s="3" t="str">
        <f t="shared" si="216"/>
        <v/>
      </c>
      <c r="F1815" s="3" t="str">
        <f t="shared" si="217"/>
        <v>.pdf</v>
      </c>
      <c r="G1815">
        <f t="shared" si="218"/>
        <v>75</v>
      </c>
      <c r="H1815" s="3">
        <f>LEN(Table1[[#This Row],[Auteur]])</f>
        <v>12</v>
      </c>
      <c r="I1815" s="3" t="str">
        <f t="shared" si="219"/>
        <v>Modern JavaScript Develop and Design</v>
      </c>
    </row>
    <row r="1816" spans="1:9" x14ac:dyDescent="0.45">
      <c r="A1816" t="s">
        <v>458</v>
      </c>
      <c r="B1816" t="str">
        <f t="shared" si="213"/>
        <v>2012</v>
      </c>
      <c r="C1816" t="str">
        <f t="shared" si="214"/>
        <v>?</v>
      </c>
      <c r="D1816" t="str">
        <f t="shared" si="215"/>
        <v>Zak Ruvalcaba, Mike Rurach</v>
      </c>
      <c r="E1816" s="3" t="str">
        <f t="shared" si="216"/>
        <v/>
      </c>
      <c r="F1816" s="3" t="str">
        <f t="shared" si="217"/>
        <v>.pdf</v>
      </c>
      <c r="G1816">
        <f t="shared" si="218"/>
        <v>70</v>
      </c>
      <c r="H1816" s="3">
        <f>LEN(Table1[[#This Row],[Auteur]])</f>
        <v>26</v>
      </c>
      <c r="I1816" s="3" t="str">
        <f t="shared" si="219"/>
        <v>Murach's JavaScript and jQuery</v>
      </c>
    </row>
    <row r="1817" spans="1:9" x14ac:dyDescent="0.45">
      <c r="A1817" t="s">
        <v>459</v>
      </c>
      <c r="B1817" t="str">
        <f t="shared" si="213"/>
        <v>2013</v>
      </c>
      <c r="C1817" t="str">
        <f t="shared" si="214"/>
        <v>O'Reilly</v>
      </c>
      <c r="D1817" t="str">
        <f t="shared" si="215"/>
        <v>Daniel Howard</v>
      </c>
      <c r="E1817" s="3" t="str">
        <f t="shared" si="216"/>
        <v/>
      </c>
      <c r="F1817" t="str">
        <f t="shared" si="217"/>
        <v>.pdf</v>
      </c>
      <c r="G1817">
        <f t="shared" si="218"/>
        <v>66</v>
      </c>
      <c r="H1817" s="3">
        <f>LEN(Table1[[#This Row],[Auteur]])</f>
        <v>13</v>
      </c>
      <c r="I1817" s="3" t="str">
        <f t="shared" si="219"/>
        <v>Node.js for PHP Developers</v>
      </c>
    </row>
    <row r="1818" spans="1:9" x14ac:dyDescent="0.45">
      <c r="A1818" t="s">
        <v>460</v>
      </c>
      <c r="B1818" t="str">
        <f t="shared" si="213"/>
        <v>2007</v>
      </c>
      <c r="C1818" t="str">
        <f t="shared" si="214"/>
        <v>Eyrolles</v>
      </c>
      <c r="D1818" t="str">
        <f t="shared" si="215"/>
        <v>Éric Daspet, Cyril Pierre de Geyer</v>
      </c>
      <c r="E1818" s="3" t="str">
        <f t="shared" si="216"/>
        <v/>
      </c>
      <c r="F1818" t="str">
        <f t="shared" si="217"/>
        <v>.pdf</v>
      </c>
      <c r="G1818">
        <f t="shared" si="218"/>
        <v>80</v>
      </c>
      <c r="H1818" s="3">
        <f>LEN(Table1[[#This Row],[Auteur]])</f>
        <v>34</v>
      </c>
      <c r="I1818" s="3" t="str">
        <f t="shared" si="219"/>
        <v>PHP 5 avancé</v>
      </c>
    </row>
    <row r="1819" spans="1:9" x14ac:dyDescent="0.45">
      <c r="A1819" t="s">
        <v>461</v>
      </c>
      <c r="B1819" t="str">
        <f t="shared" si="213"/>
        <v>2009</v>
      </c>
      <c r="C1819" t="str">
        <f t="shared" si="214"/>
        <v>Eyrolles</v>
      </c>
      <c r="D1819" t="str">
        <f t="shared" si="215"/>
        <v>Jean Engels</v>
      </c>
      <c r="E1819" s="3" t="str">
        <f t="shared" si="216"/>
        <v/>
      </c>
      <c r="F1819" s="3" t="str">
        <f t="shared" si="217"/>
        <v>.pdf</v>
      </c>
      <c r="G1819">
        <f t="shared" si="218"/>
        <v>70</v>
      </c>
      <c r="H1819" s="3">
        <f>LEN(Table1[[#This Row],[Auteur]])</f>
        <v>11</v>
      </c>
      <c r="I1819" s="3" t="str">
        <f t="shared" si="219"/>
        <v>PHP 5, Cours et Exercices</v>
      </c>
    </row>
    <row r="1820" spans="1:9" x14ac:dyDescent="0.45">
      <c r="A1820" t="s">
        <v>462</v>
      </c>
      <c r="B1820" t="str">
        <f t="shared" si="213"/>
        <v>2010</v>
      </c>
      <c r="C1820" t="str">
        <f t="shared" si="214"/>
        <v>McGraw-Hill</v>
      </c>
      <c r="D1820" t="str">
        <f t="shared" si="215"/>
        <v>Robin Nixon</v>
      </c>
      <c r="E1820" s="3" t="str">
        <f t="shared" si="216"/>
        <v/>
      </c>
      <c r="F1820" s="3" t="str">
        <f t="shared" si="217"/>
        <v>.pdf</v>
      </c>
      <c r="G1820">
        <f t="shared" si="218"/>
        <v>73</v>
      </c>
      <c r="H1820" s="3">
        <f>LEN(Table1[[#This Row],[Auteur]])</f>
        <v>11</v>
      </c>
      <c r="I1820" s="3" t="str">
        <f t="shared" si="219"/>
        <v>Plug-In PHP, 100 Power Solutions</v>
      </c>
    </row>
    <row r="1821" spans="1:9" x14ac:dyDescent="0.45">
      <c r="A1821" t="s">
        <v>2073</v>
      </c>
      <c r="B1821" t="str">
        <f t="shared" si="213"/>
        <v>2008</v>
      </c>
      <c r="C1821" t="str">
        <f t="shared" si="214"/>
        <v>Eyrolles</v>
      </c>
      <c r="D1821" t="str">
        <f t="shared" si="215"/>
        <v>Jean-Marie Defrance</v>
      </c>
      <c r="E1821" s="3" t="str">
        <f t="shared" si="216"/>
        <v/>
      </c>
      <c r="F1821" s="3" t="str">
        <f t="shared" si="217"/>
        <v>.pdf</v>
      </c>
      <c r="G1821">
        <f t="shared" si="218"/>
        <v>92</v>
      </c>
      <c r="H1821" s="3">
        <f>LEN(Table1[[#This Row],[Auteur]])</f>
        <v>19</v>
      </c>
      <c r="I1821" s="3" t="str">
        <f t="shared" si="219"/>
        <v>Premières applications Web2.0 avec Ajax et PHP</v>
      </c>
    </row>
    <row r="1822" spans="1:9" x14ac:dyDescent="0.45">
      <c r="A1822" t="s">
        <v>463</v>
      </c>
      <c r="B1822" t="str">
        <f t="shared" si="213"/>
        <v>2008</v>
      </c>
      <c r="C1822" t="str">
        <f t="shared" si="214"/>
        <v>Eyrolles</v>
      </c>
      <c r="D1822" t="str">
        <f t="shared" si="215"/>
        <v>Francis Draillard</v>
      </c>
      <c r="E1822" s="3" t="str">
        <f t="shared" si="216"/>
        <v/>
      </c>
      <c r="F1822" s="3" t="str">
        <f t="shared" si="217"/>
        <v>.pdf</v>
      </c>
      <c r="G1822">
        <f t="shared" si="218"/>
        <v>79</v>
      </c>
      <c r="H1822" s="3">
        <f>LEN(Table1[[#This Row],[Auteur]])</f>
        <v>17</v>
      </c>
      <c r="I1822" s="3" t="str">
        <f t="shared" si="219"/>
        <v>Premiers pas en CSS et XHTML</v>
      </c>
    </row>
    <row r="1823" spans="1:9" x14ac:dyDescent="0.45">
      <c r="A1823" t="s">
        <v>464</v>
      </c>
      <c r="B1823" t="str">
        <f t="shared" si="213"/>
        <v>2015</v>
      </c>
      <c r="C1823" t="str">
        <f t="shared" si="214"/>
        <v>Eyrolles</v>
      </c>
      <c r="D1823" t="str">
        <f t="shared" si="215"/>
        <v>Francis Draillard</v>
      </c>
      <c r="E1823" s="3" t="str">
        <f t="shared" si="216"/>
        <v/>
      </c>
      <c r="F1823" s="3" t="str">
        <f t="shared" si="217"/>
        <v>.pdf</v>
      </c>
      <c r="G1823">
        <f t="shared" si="218"/>
        <v>80</v>
      </c>
      <c r="H1823" s="3">
        <f>LEN(Table1[[#This Row],[Auteur]])</f>
        <v>17</v>
      </c>
      <c r="I1823" s="3" t="str">
        <f t="shared" si="219"/>
        <v>Premiers pas en CSS3 et HTML5</v>
      </c>
    </row>
    <row r="1824" spans="1:9" x14ac:dyDescent="0.45">
      <c r="A1824" t="s">
        <v>1920</v>
      </c>
      <c r="B1824" t="str">
        <f t="shared" si="213"/>
        <v>2010</v>
      </c>
      <c r="C1824" t="str">
        <f t="shared" si="214"/>
        <v>Apress</v>
      </c>
      <c r="D1824" t="str">
        <f t="shared" si="215"/>
        <v>Matthew MacDonald, Adam Freeman, Mario Szpuszta</v>
      </c>
      <c r="E1824" s="3" t="str">
        <f t="shared" si="216"/>
        <v/>
      </c>
      <c r="F1824" t="str">
        <f t="shared" si="217"/>
        <v>.pdf</v>
      </c>
      <c r="G1824">
        <f t="shared" si="218"/>
        <v>104</v>
      </c>
      <c r="H1824" s="3">
        <f>LEN(Table1[[#This Row],[Auteur]])</f>
        <v>47</v>
      </c>
      <c r="I1824" s="3" t="str">
        <f t="shared" si="219"/>
        <v>Pro ASP.NET 4 in C# 2010</v>
      </c>
    </row>
    <row r="1825" spans="1:9" x14ac:dyDescent="0.45">
      <c r="A1825" t="s">
        <v>1921</v>
      </c>
      <c r="B1825" t="str">
        <f t="shared" si="213"/>
        <v>2010</v>
      </c>
      <c r="C1825" t="str">
        <f t="shared" si="214"/>
        <v>Apress</v>
      </c>
      <c r="D1825" t="str">
        <f t="shared" si="215"/>
        <v>Steven Sanderson</v>
      </c>
      <c r="E1825" s="3" t="str">
        <f t="shared" si="216"/>
        <v/>
      </c>
      <c r="F1825" t="str">
        <f t="shared" si="217"/>
        <v>.pdf</v>
      </c>
      <c r="G1825">
        <f t="shared" si="218"/>
        <v>76</v>
      </c>
      <c r="H1825" s="3">
        <f>LEN(Table1[[#This Row],[Auteur]])</f>
        <v>16</v>
      </c>
      <c r="I1825" s="3" t="str">
        <f t="shared" si="219"/>
        <v>Pro ASP.NET MVC 2 Framework</v>
      </c>
    </row>
    <row r="1826" spans="1:9" x14ac:dyDescent="0.45">
      <c r="A1826" t="s">
        <v>465</v>
      </c>
      <c r="B1826" t="str">
        <f t="shared" si="213"/>
        <v>2011</v>
      </c>
      <c r="C1826" t="str">
        <f t="shared" si="214"/>
        <v>Apress</v>
      </c>
      <c r="D1826" t="str">
        <f t="shared" si="215"/>
        <v>Lubers, Albers, Salim</v>
      </c>
      <c r="E1826" s="3" t="str">
        <f t="shared" si="216"/>
        <v/>
      </c>
      <c r="F1826" t="str">
        <f t="shared" si="217"/>
        <v>.pdf</v>
      </c>
      <c r="G1826">
        <f t="shared" si="218"/>
        <v>75</v>
      </c>
      <c r="H1826" s="3">
        <f>LEN(Table1[[#This Row],[Auteur]])</f>
        <v>21</v>
      </c>
      <c r="I1826" s="3" t="str">
        <f t="shared" si="219"/>
        <v>Pro HTML5 Programming</v>
      </c>
    </row>
    <row r="1827" spans="1:9" x14ac:dyDescent="0.45">
      <c r="A1827" t="s">
        <v>466</v>
      </c>
      <c r="B1827" t="str">
        <f t="shared" si="213"/>
        <v>2012</v>
      </c>
      <c r="C1827" t="str">
        <f t="shared" si="214"/>
        <v>Apress</v>
      </c>
      <c r="D1827" t="str">
        <f t="shared" si="215"/>
        <v>Adam Freeman</v>
      </c>
      <c r="E1827" s="3" t="str">
        <f t="shared" si="216"/>
        <v/>
      </c>
      <c r="F1827" s="3" t="str">
        <f t="shared" si="217"/>
        <v>.pdf</v>
      </c>
      <c r="G1827">
        <f t="shared" si="218"/>
        <v>64</v>
      </c>
      <c r="H1827" s="3">
        <f>LEN(Table1[[#This Row],[Auteur]])</f>
        <v>12</v>
      </c>
      <c r="I1827" s="3" t="str">
        <f t="shared" si="219"/>
        <v>Pro JavaScript for Web Apps</v>
      </c>
    </row>
    <row r="1828" spans="1:9" x14ac:dyDescent="0.45">
      <c r="A1828" t="s">
        <v>467</v>
      </c>
      <c r="B1828" t="str">
        <f t="shared" si="213"/>
        <v>2012</v>
      </c>
      <c r="C1828" t="str">
        <f t="shared" si="214"/>
        <v>Apress</v>
      </c>
      <c r="D1828" t="str">
        <f t="shared" si="215"/>
        <v>Tom Barker</v>
      </c>
      <c r="E1828" s="3" t="str">
        <f t="shared" si="216"/>
        <v/>
      </c>
      <c r="F1828" t="str">
        <f t="shared" si="217"/>
        <v>.pdf</v>
      </c>
      <c r="G1828">
        <f t="shared" si="218"/>
        <v>90</v>
      </c>
      <c r="H1828" s="3">
        <f>LEN(Table1[[#This Row],[Auteur]])</f>
        <v>10</v>
      </c>
      <c r="I1828" s="3" t="str">
        <f t="shared" si="219"/>
        <v>Pro JavaScript Performance Monitoring and Visualization</v>
      </c>
    </row>
    <row r="1829" spans="1:9" x14ac:dyDescent="0.45">
      <c r="A1829" t="s">
        <v>468</v>
      </c>
      <c r="B1829" t="str">
        <f t="shared" si="213"/>
        <v>2012</v>
      </c>
      <c r="C1829" t="str">
        <f t="shared" si="214"/>
        <v>Apress</v>
      </c>
      <c r="D1829" t="str">
        <f t="shared" si="215"/>
        <v>Chris Pitt</v>
      </c>
      <c r="E1829" s="3" t="str">
        <f t="shared" si="216"/>
        <v/>
      </c>
      <c r="F1829" t="str">
        <f t="shared" si="217"/>
        <v>.pdf</v>
      </c>
      <c r="G1829">
        <f t="shared" si="218"/>
        <v>46</v>
      </c>
      <c r="H1829" s="3">
        <f>LEN(Table1[[#This Row],[Auteur]])</f>
        <v>10</v>
      </c>
      <c r="I1829" s="3" t="str">
        <f t="shared" si="219"/>
        <v>Pro PHP MVC</v>
      </c>
    </row>
    <row r="1830" spans="1:9" x14ac:dyDescent="0.45">
      <c r="A1830" t="s">
        <v>469</v>
      </c>
      <c r="B1830" t="str">
        <f t="shared" si="213"/>
        <v>2011</v>
      </c>
      <c r="C1830" t="str">
        <f t="shared" si="214"/>
        <v>Apress</v>
      </c>
      <c r="D1830" t="str">
        <f t="shared" si="215"/>
        <v>Peter MacIntyre, Brian Danchilla, Mladen Gogala</v>
      </c>
      <c r="E1830" s="3" t="str">
        <f t="shared" si="216"/>
        <v/>
      </c>
      <c r="F1830" t="str">
        <f t="shared" si="217"/>
        <v>.pdf</v>
      </c>
      <c r="G1830">
        <f t="shared" si="218"/>
        <v>91</v>
      </c>
      <c r="H1830" s="3">
        <f>LEN(Table1[[#This Row],[Auteur]])</f>
        <v>47</v>
      </c>
      <c r="I1830" s="3" t="str">
        <f t="shared" si="219"/>
        <v>Pro PHP Programming</v>
      </c>
    </row>
    <row r="1831" spans="1:9" x14ac:dyDescent="0.45">
      <c r="A1831" t="s">
        <v>1970</v>
      </c>
      <c r="B1831" t="str">
        <f t="shared" si="213"/>
        <v>2010</v>
      </c>
      <c r="C1831" t="str">
        <f t="shared" si="214"/>
        <v>Wiley</v>
      </c>
      <c r="D1831" t="str">
        <f t="shared" si="215"/>
        <v>Galloway, Haack, Hanselman, Guthrie, Conery</v>
      </c>
      <c r="E1831" s="3" t="str">
        <f t="shared" si="216"/>
        <v/>
      </c>
      <c r="F1831" s="3" t="str">
        <f t="shared" si="217"/>
        <v>.pdf</v>
      </c>
      <c r="G1831">
        <f t="shared" si="218"/>
        <v>93</v>
      </c>
      <c r="H1831" s="3">
        <f>LEN(Table1[[#This Row],[Auteur]])</f>
        <v>43</v>
      </c>
      <c r="I1831" s="3" t="str">
        <f t="shared" si="219"/>
        <v>Professional ASP.NET MVC 2</v>
      </c>
    </row>
    <row r="1832" spans="1:9" x14ac:dyDescent="0.45">
      <c r="A1832" t="s">
        <v>1922</v>
      </c>
      <c r="B1832" t="str">
        <f t="shared" si="213"/>
        <v>2008</v>
      </c>
      <c r="C1832" t="str">
        <f t="shared" si="214"/>
        <v>Wiley</v>
      </c>
      <c r="D1832" t="str">
        <f t="shared" si="215"/>
        <v>Schaefer, Cochran, Forsyth, Baugh, Everest, Glendenning</v>
      </c>
      <c r="E1832" s="3" t="str">
        <f t="shared" si="216"/>
        <v/>
      </c>
      <c r="F1832" s="3" t="str">
        <f t="shared" si="217"/>
        <v>.pdf</v>
      </c>
      <c r="G1832">
        <f t="shared" si="218"/>
        <v>97</v>
      </c>
      <c r="H1832" s="3">
        <f>LEN(Table1[[#This Row],[Auteur]])</f>
        <v>55</v>
      </c>
      <c r="I1832" s="3" t="str">
        <f t="shared" si="219"/>
        <v>Professional IIS 7</v>
      </c>
    </row>
    <row r="1833" spans="1:9" x14ac:dyDescent="0.45">
      <c r="A1833" t="s">
        <v>1923</v>
      </c>
      <c r="B1833" t="str">
        <f t="shared" si="213"/>
        <v>2008</v>
      </c>
      <c r="C1833" t="str">
        <f t="shared" si="214"/>
        <v>Wiley</v>
      </c>
      <c r="D1833" t="str">
        <f t="shared" si="215"/>
        <v>Shahram Khosravi</v>
      </c>
      <c r="E1833" s="3" t="str">
        <f t="shared" si="216"/>
        <v/>
      </c>
      <c r="F1833" s="3" t="str">
        <f t="shared" si="217"/>
        <v>.pdf</v>
      </c>
      <c r="G1833">
        <f t="shared" si="218"/>
        <v>94</v>
      </c>
      <c r="H1833" s="3">
        <f>LEN(Table1[[#This Row],[Auteur]])</f>
        <v>16</v>
      </c>
      <c r="I1833" s="3" t="str">
        <f t="shared" si="219"/>
        <v>Professional IIS 7 and ASP .NET Integrated Programming</v>
      </c>
    </row>
    <row r="1834" spans="1:9" x14ac:dyDescent="0.45">
      <c r="A1834" t="s">
        <v>470</v>
      </c>
      <c r="B1834" t="str">
        <f t="shared" si="213"/>
        <v>2012</v>
      </c>
      <c r="C1834" t="str">
        <f t="shared" si="214"/>
        <v>Wiley</v>
      </c>
      <c r="D1834" t="str">
        <f t="shared" si="215"/>
        <v>Nicholas C. Zakas</v>
      </c>
      <c r="E1834" s="3" t="str">
        <f t="shared" si="216"/>
        <v/>
      </c>
      <c r="F1834" t="str">
        <f t="shared" si="217"/>
        <v>.pdf</v>
      </c>
      <c r="G1834">
        <f t="shared" si="218"/>
        <v>91</v>
      </c>
      <c r="H1834" s="3">
        <f>LEN(Table1[[#This Row],[Auteur]])</f>
        <v>17</v>
      </c>
      <c r="I1834" s="3" t="str">
        <f t="shared" si="219"/>
        <v>Professional JavaScript for Web Developers</v>
      </c>
    </row>
    <row r="1835" spans="1:9" x14ac:dyDescent="0.45">
      <c r="A1835" t="s">
        <v>471</v>
      </c>
      <c r="B1835" t="str">
        <f t="shared" si="213"/>
        <v>2012</v>
      </c>
      <c r="C1835" t="str">
        <f t="shared" si="214"/>
        <v>Eyrolles</v>
      </c>
      <c r="D1835" t="str">
        <f t="shared" si="215"/>
        <v>Sami Jaber</v>
      </c>
      <c r="E1835" t="str">
        <f t="shared" si="216"/>
        <v/>
      </c>
      <c r="F1835" t="str">
        <f t="shared" si="217"/>
        <v>.pdf</v>
      </c>
      <c r="G1835">
        <f t="shared" si="218"/>
        <v>63</v>
      </c>
      <c r="H1835" s="3">
        <f>LEN(Table1[[#This Row],[Auteur]])</f>
        <v>10</v>
      </c>
      <c r="I1835" s="3" t="str">
        <f t="shared" si="219"/>
        <v>Programmation GWT 2</v>
      </c>
    </row>
    <row r="1836" spans="1:9" x14ac:dyDescent="0.45">
      <c r="A1836" t="s">
        <v>1924</v>
      </c>
      <c r="B1836" t="str">
        <f t="shared" si="213"/>
        <v>2011</v>
      </c>
      <c r="C1836" t="str">
        <f t="shared" si="214"/>
        <v>O'Reilly</v>
      </c>
      <c r="D1836" t="str">
        <f t="shared" si="215"/>
        <v>Jess Chadwick</v>
      </c>
      <c r="E1836" s="3" t="str">
        <f t="shared" si="216"/>
        <v/>
      </c>
      <c r="F1836" t="str">
        <f t="shared" si="217"/>
        <v>.pdf</v>
      </c>
      <c r="G1836">
        <f t="shared" si="218"/>
        <v>57</v>
      </c>
      <c r="H1836" s="3">
        <f>LEN(Table1[[#This Row],[Auteur]])</f>
        <v>13</v>
      </c>
      <c r="I1836" s="3" t="str">
        <f t="shared" si="219"/>
        <v>Programming Razor</v>
      </c>
    </row>
    <row r="1837" spans="1:9" x14ac:dyDescent="0.45">
      <c r="A1837" t="s">
        <v>472</v>
      </c>
      <c r="B1837" t="str">
        <f t="shared" si="213"/>
        <v>2001</v>
      </c>
      <c r="C1837" t="str">
        <f t="shared" si="214"/>
        <v>O'Reilly</v>
      </c>
      <c r="D1837" t="str">
        <f t="shared" si="215"/>
        <v>Simon St. Laurent, Joe Johnston, Edd Dumbill</v>
      </c>
      <c r="E1837" s="3" t="str">
        <f t="shared" si="216"/>
        <v>Dump</v>
      </c>
      <c r="F1837" s="3" t="str">
        <f t="shared" si="217"/>
        <v>.pdf</v>
      </c>
      <c r="G1837" s="3">
        <f t="shared" si="218"/>
        <v>119</v>
      </c>
      <c r="H1837" s="3">
        <f>LEN(Table1[[#This Row],[Auteur]])</f>
        <v>44</v>
      </c>
      <c r="I1837" s="3" t="str">
        <f t="shared" si="219"/>
        <v>Programming Web Applications with XML-RPC</v>
      </c>
    </row>
    <row r="1838" spans="1:9" x14ac:dyDescent="0.45">
      <c r="A1838" t="s">
        <v>473</v>
      </c>
      <c r="B1838" t="str">
        <f t="shared" si="213"/>
        <v>2001</v>
      </c>
      <c r="C1838" t="str">
        <f t="shared" si="214"/>
        <v>O'Reilly</v>
      </c>
      <c r="D1838" t="str">
        <f t="shared" si="215"/>
        <v>Doug Tidwell, James Snell, Pavel Kulchenko</v>
      </c>
      <c r="E1838" s="3" t="str">
        <f t="shared" si="216"/>
        <v>Dump</v>
      </c>
      <c r="F1838" s="3" t="str">
        <f t="shared" si="217"/>
        <v>.pdf</v>
      </c>
      <c r="G1838">
        <f t="shared" si="218"/>
        <v>110</v>
      </c>
      <c r="H1838" s="3">
        <f>LEN(Table1[[#This Row],[Auteur]])</f>
        <v>42</v>
      </c>
      <c r="I1838" s="3" t="str">
        <f t="shared" si="219"/>
        <v>Programming Web Services with SOAP</v>
      </c>
    </row>
    <row r="1839" spans="1:9" x14ac:dyDescent="0.45">
      <c r="A1839" t="s">
        <v>474</v>
      </c>
      <c r="B1839" t="str">
        <f t="shared" si="213"/>
        <v>2007</v>
      </c>
      <c r="C1839" t="str">
        <f t="shared" si="214"/>
        <v>O'Reilly</v>
      </c>
      <c r="D1839" t="str">
        <f t="shared" si="215"/>
        <v>Leonard Richardson, Sam Ruby</v>
      </c>
      <c r="E1839" s="3" t="str">
        <f t="shared" si="216"/>
        <v/>
      </c>
      <c r="F1839" s="3" t="str">
        <f t="shared" si="217"/>
        <v>.epub</v>
      </c>
      <c r="G1839">
        <f t="shared" si="218"/>
        <v>76</v>
      </c>
      <c r="H1839" s="3">
        <f>LEN(Table1[[#This Row],[Auteur]])</f>
        <v>28</v>
      </c>
      <c r="I1839" s="3" t="str">
        <f t="shared" si="219"/>
        <v>RESTful Web Services</v>
      </c>
    </row>
    <row r="1840" spans="1:9" x14ac:dyDescent="0.45">
      <c r="A1840" t="s">
        <v>475</v>
      </c>
      <c r="B1840" t="str">
        <f t="shared" si="213"/>
        <v>2007</v>
      </c>
      <c r="C1840" t="str">
        <f t="shared" si="214"/>
        <v>O'Reilly</v>
      </c>
      <c r="D1840" t="str">
        <f t="shared" si="215"/>
        <v>Leonard Richardson, Sam Ruby</v>
      </c>
      <c r="E1840" s="3" t="str">
        <f t="shared" si="216"/>
        <v/>
      </c>
      <c r="F1840" s="3" t="str">
        <f t="shared" si="217"/>
        <v>.pdf</v>
      </c>
      <c r="G1840">
        <f t="shared" si="218"/>
        <v>75</v>
      </c>
      <c r="H1840" s="3">
        <f>LEN(Table1[[#This Row],[Auteur]])</f>
        <v>28</v>
      </c>
      <c r="I1840" s="3" t="str">
        <f t="shared" si="219"/>
        <v>RESTful Web Services</v>
      </c>
    </row>
    <row r="1841" spans="1:9" x14ac:dyDescent="0.45">
      <c r="A1841" t="s">
        <v>476</v>
      </c>
      <c r="B1841" t="str">
        <f t="shared" si="213"/>
        <v>2013</v>
      </c>
      <c r="C1841" t="str">
        <f t="shared" si="214"/>
        <v>Manning</v>
      </c>
      <c r="D1841" t="str">
        <f t="shared" si="215"/>
        <v>John Resig, Bear Bibeault</v>
      </c>
      <c r="E1841" s="3" t="str">
        <f t="shared" si="216"/>
        <v/>
      </c>
      <c r="F1841" s="3" t="str">
        <f t="shared" si="217"/>
        <v>.pdf</v>
      </c>
      <c r="G1841">
        <f t="shared" si="218"/>
        <v>82</v>
      </c>
      <c r="H1841" s="3">
        <f>LEN(Table1[[#This Row],[Auteur]])</f>
        <v>25</v>
      </c>
      <c r="I1841" s="3" t="str">
        <f t="shared" si="219"/>
        <v>Secrets of the JavaScript Ninja</v>
      </c>
    </row>
    <row r="1842" spans="1:9" x14ac:dyDescent="0.45">
      <c r="A1842" t="s">
        <v>477</v>
      </c>
      <c r="B1842" t="str">
        <f t="shared" si="213"/>
        <v>2012</v>
      </c>
      <c r="C1842" t="str">
        <f t="shared" si="214"/>
        <v>Packt</v>
      </c>
      <c r="D1842" t="str">
        <f t="shared" si="215"/>
        <v>John E. Clark, Bryan P. Johnson</v>
      </c>
      <c r="E1842" s="3" t="str">
        <f t="shared" si="216"/>
        <v/>
      </c>
      <c r="F1842" s="3" t="str">
        <f t="shared" si="217"/>
        <v>.pdf</v>
      </c>
      <c r="G1842">
        <f t="shared" si="218"/>
        <v>95</v>
      </c>
      <c r="H1842" s="3">
        <f>LEN(Table1[[#This Row],[Auteur]])</f>
        <v>31</v>
      </c>
      <c r="I1842" s="3" t="str">
        <f t="shared" si="219"/>
        <v>Sencha Touch Mobile JavaScript Framework</v>
      </c>
    </row>
    <row r="1843" spans="1:9" x14ac:dyDescent="0.45">
      <c r="A1843" t="s">
        <v>478</v>
      </c>
      <c r="B1843" t="str">
        <f t="shared" si="213"/>
        <v>2012</v>
      </c>
      <c r="C1843" t="str">
        <f t="shared" si="214"/>
        <v>Sams</v>
      </c>
      <c r="D1843" t="str">
        <f t="shared" si="215"/>
        <v>Julie C. Meloni</v>
      </c>
      <c r="E1843" s="3" t="str">
        <f t="shared" si="216"/>
        <v/>
      </c>
      <c r="F1843" s="3" t="str">
        <f t="shared" si="217"/>
        <v>.pdf</v>
      </c>
      <c r="G1843" s="3">
        <f t="shared" si="218"/>
        <v>88</v>
      </c>
      <c r="H1843" s="3">
        <f>LEN(Table1[[#This Row],[Auteur]])</f>
        <v>15</v>
      </c>
      <c r="I1843" s="3" t="str">
        <f t="shared" si="219"/>
        <v>Teach Yourself HTML, CSS and JavaScript All in One</v>
      </c>
    </row>
    <row r="1844" spans="1:9" x14ac:dyDescent="0.45">
      <c r="A1844" t="s">
        <v>479</v>
      </c>
      <c r="B1844" t="str">
        <f t="shared" si="213"/>
        <v>1999</v>
      </c>
      <c r="C1844" t="str">
        <f t="shared" si="214"/>
        <v>O'Reilly</v>
      </c>
      <c r="D1844" t="str">
        <f t="shared" si="215"/>
        <v>Ben Laurie, Peter Laurie</v>
      </c>
      <c r="E1844" s="3" t="str">
        <f t="shared" si="216"/>
        <v/>
      </c>
      <c r="F1844" t="str">
        <f t="shared" si="217"/>
        <v>.pdf</v>
      </c>
      <c r="G1844">
        <f t="shared" si="218"/>
        <v>86</v>
      </c>
      <c r="H1844" s="3">
        <f>LEN(Table1[[#This Row],[Auteur]])</f>
        <v>24</v>
      </c>
      <c r="I1844" s="3" t="str">
        <f t="shared" si="219"/>
        <v>The Apache Definitive Guide</v>
      </c>
    </row>
    <row r="1845" spans="1:9" x14ac:dyDescent="0.45">
      <c r="A1845" t="s">
        <v>480</v>
      </c>
      <c r="B1845" t="str">
        <f t="shared" si="213"/>
        <v>2012</v>
      </c>
      <c r="C1845" t="str">
        <f t="shared" si="214"/>
        <v>Apress</v>
      </c>
      <c r="D1845" t="str">
        <f t="shared" si="215"/>
        <v>Grannell, Sumner, Synodinos</v>
      </c>
      <c r="E1845" s="3" t="str">
        <f t="shared" si="216"/>
        <v/>
      </c>
      <c r="F1845" t="str">
        <f t="shared" si="217"/>
        <v>.pdf</v>
      </c>
      <c r="G1845">
        <f t="shared" si="218"/>
        <v>100</v>
      </c>
      <c r="H1845" s="3">
        <f>LEN(Table1[[#This Row],[Auteur]])</f>
        <v>27</v>
      </c>
      <c r="I1845" s="3" t="str">
        <f t="shared" si="219"/>
        <v>The Essential Guide to HTML5 and CSS3 Web Design</v>
      </c>
    </row>
    <row r="1846" spans="1:9" x14ac:dyDescent="0.45">
      <c r="A1846" t="s">
        <v>481</v>
      </c>
      <c r="B1846" t="str">
        <f t="shared" si="213"/>
        <v>2007</v>
      </c>
      <c r="C1846" t="str">
        <f t="shared" si="214"/>
        <v>O'Reilly</v>
      </c>
      <c r="D1846" t="str">
        <f t="shared" si="215"/>
        <v>Jason Brittain, Ian F. Darwin</v>
      </c>
      <c r="E1846" s="3" t="str">
        <f t="shared" si="216"/>
        <v/>
      </c>
      <c r="F1846" s="3" t="str">
        <f t="shared" si="217"/>
        <v>.pdf</v>
      </c>
      <c r="G1846">
        <f t="shared" si="218"/>
        <v>92</v>
      </c>
      <c r="H1846" s="3">
        <f>LEN(Table1[[#This Row],[Auteur]])</f>
        <v>29</v>
      </c>
      <c r="I1846" s="3" t="str">
        <f t="shared" si="219"/>
        <v>Tomcat, The Definitive Guide</v>
      </c>
    </row>
    <row r="1847" spans="1:9" x14ac:dyDescent="0.45">
      <c r="A1847" t="s">
        <v>482</v>
      </c>
      <c r="B1847" t="str">
        <f t="shared" si="213"/>
        <v>2012</v>
      </c>
      <c r="C1847" t="str">
        <f t="shared" si="214"/>
        <v>Dunod</v>
      </c>
      <c r="D1847" t="str">
        <f t="shared" si="215"/>
        <v>Jean-Marie Cocheteau, Laurent Khouri</v>
      </c>
      <c r="E1847" s="3" t="str">
        <f t="shared" si="216"/>
        <v/>
      </c>
      <c r="F1847" s="3" t="str">
        <f t="shared" si="217"/>
        <v>.pdf</v>
      </c>
      <c r="G1847" s="3">
        <f t="shared" si="218"/>
        <v>82</v>
      </c>
      <c r="H1847" s="3">
        <f>LEN(Table1[[#This Row],[Auteur]])</f>
        <v>36</v>
      </c>
      <c r="I1847" s="3" t="str">
        <f t="shared" si="219"/>
        <v>Tout sur HTML5 et CSS3</v>
      </c>
    </row>
    <row r="1848" spans="1:9" x14ac:dyDescent="0.45">
      <c r="A1848" t="s">
        <v>483</v>
      </c>
      <c r="B1848" t="str">
        <f t="shared" si="213"/>
        <v>2012</v>
      </c>
      <c r="C1848" t="str">
        <f t="shared" si="214"/>
        <v>Peachpit</v>
      </c>
      <c r="D1848" t="str">
        <f t="shared" si="215"/>
        <v>Tom Negrino, Dori Smith</v>
      </c>
      <c r="E1848" s="3" t="str">
        <f t="shared" si="216"/>
        <v/>
      </c>
      <c r="F1848" t="str">
        <f t="shared" si="217"/>
        <v>.pdf</v>
      </c>
      <c r="G1848">
        <f t="shared" si="218"/>
        <v>92</v>
      </c>
      <c r="H1848" s="3">
        <f>LEN(Table1[[#This Row],[Auteur]])</f>
        <v>23</v>
      </c>
      <c r="I1848" s="3" t="str">
        <f t="shared" si="219"/>
        <v>Visual QuickStart Guide JavaScript</v>
      </c>
    </row>
    <row r="1849" spans="1:9" x14ac:dyDescent="0.45">
      <c r="A1849" t="s">
        <v>484</v>
      </c>
      <c r="B1849" t="str">
        <f t="shared" si="213"/>
        <v>2012</v>
      </c>
      <c r="C1849" t="str">
        <f t="shared" si="214"/>
        <v>Rockable Press</v>
      </c>
      <c r="D1849" t="str">
        <f t="shared" si="215"/>
        <v>Amanda Hackwith</v>
      </c>
      <c r="E1849" s="3" t="str">
        <f t="shared" si="216"/>
        <v/>
      </c>
      <c r="F1849" t="str">
        <f t="shared" si="217"/>
        <v>.pdf</v>
      </c>
      <c r="G1849">
        <f t="shared" si="218"/>
        <v>71</v>
      </c>
      <c r="H1849" s="3">
        <f>LEN(Table1[[#This Row],[Auteur]])</f>
        <v>15</v>
      </c>
      <c r="I1849" s="3" t="str">
        <f t="shared" si="219"/>
        <v>Web Design Confidential</v>
      </c>
    </row>
    <row r="1850" spans="1:9" x14ac:dyDescent="0.45">
      <c r="A1850" t="s">
        <v>485</v>
      </c>
      <c r="B1850" t="str">
        <f t="shared" si="213"/>
        <v>1999</v>
      </c>
      <c r="C1850" t="str">
        <f t="shared" si="214"/>
        <v>O'Reilly</v>
      </c>
      <c r="D1850" t="str">
        <f t="shared" si="215"/>
        <v>Jennifer Niederst</v>
      </c>
      <c r="E1850" s="3" t="str">
        <f t="shared" si="216"/>
        <v/>
      </c>
      <c r="F1850" t="str">
        <f t="shared" si="217"/>
        <v>.pdf</v>
      </c>
      <c r="G1850">
        <f t="shared" si="218"/>
        <v>68</v>
      </c>
      <c r="H1850" s="3">
        <f>LEN(Table1[[#This Row],[Auteur]])</f>
        <v>17</v>
      </c>
      <c r="I1850" s="3" t="str">
        <f t="shared" si="219"/>
        <v>Web Design in a Nutshell</v>
      </c>
    </row>
    <row r="1851" spans="1:9" x14ac:dyDescent="0.45">
      <c r="A1851" t="s">
        <v>486</v>
      </c>
      <c r="B1851" t="str">
        <f t="shared" si="213"/>
        <v>2002</v>
      </c>
      <c r="C1851" t="str">
        <f t="shared" si="214"/>
        <v>O'Reilly</v>
      </c>
      <c r="D1851" t="str">
        <f t="shared" si="215"/>
        <v>Ethan Cerami</v>
      </c>
      <c r="E1851" s="3" t="str">
        <f t="shared" si="216"/>
        <v>Dump</v>
      </c>
      <c r="F1851" s="3" t="str">
        <f t="shared" si="217"/>
        <v>.pdf</v>
      </c>
      <c r="G1851" s="3">
        <f t="shared" si="218"/>
        <v>69</v>
      </c>
      <c r="H1851" s="3">
        <f>LEN(Table1[[#This Row],[Auteur]])</f>
        <v>12</v>
      </c>
      <c r="I1851" s="3" t="str">
        <f t="shared" si="219"/>
        <v>Web Services Essentials</v>
      </c>
    </row>
    <row r="1852" spans="1:9" x14ac:dyDescent="0.45">
      <c r="A1852" t="s">
        <v>487</v>
      </c>
      <c r="B1852" t="str">
        <f t="shared" si="213"/>
        <v>2014</v>
      </c>
      <c r="C1852" t="str">
        <f t="shared" si="214"/>
        <v>Apress</v>
      </c>
      <c r="D1852" t="str">
        <f t="shared" si="215"/>
        <v>Leslie F. Sikos</v>
      </c>
      <c r="E1852" s="3" t="str">
        <f t="shared" si="216"/>
        <v/>
      </c>
      <c r="F1852" s="3" t="str">
        <f t="shared" si="217"/>
        <v>.pdf</v>
      </c>
      <c r="G1852">
        <f t="shared" si="218"/>
        <v>61</v>
      </c>
      <c r="H1852" s="3">
        <f>LEN(Table1[[#This Row],[Auteur]])</f>
        <v>15</v>
      </c>
      <c r="I1852" s="3" t="str">
        <f t="shared" si="219"/>
        <v>Web Standards</v>
      </c>
    </row>
    <row r="1853" spans="1:9" x14ac:dyDescent="0.45">
      <c r="A1853" t="s">
        <v>488</v>
      </c>
      <c r="B1853" t="str">
        <f t="shared" si="213"/>
        <v>1999</v>
      </c>
      <c r="C1853" t="str">
        <f t="shared" si="214"/>
        <v>O'Reilly</v>
      </c>
      <c r="D1853" t="str">
        <f t="shared" si="215"/>
        <v>Lincoln Stein, Doug MacEachern</v>
      </c>
      <c r="E1853" s="3" t="str">
        <f t="shared" si="216"/>
        <v>Dump</v>
      </c>
      <c r="F1853" t="str">
        <f t="shared" si="217"/>
        <v>.pdf</v>
      </c>
      <c r="G1853">
        <f t="shared" si="218"/>
        <v>102</v>
      </c>
      <c r="H1853" s="3">
        <f>LEN(Table1[[#This Row],[Auteur]])</f>
        <v>30</v>
      </c>
      <c r="I1853" s="3" t="str">
        <f t="shared" si="219"/>
        <v>Writing Apache Modules with Perl and C</v>
      </c>
    </row>
    <row r="1854" spans="1:9" x14ac:dyDescent="0.45">
      <c r="A1854" t="s">
        <v>489</v>
      </c>
      <c r="B1854" t="str">
        <f t="shared" si="213"/>
        <v>2015</v>
      </c>
      <c r="C1854" t="str">
        <f t="shared" si="214"/>
        <v>O'Reilly</v>
      </c>
      <c r="D1854" t="str">
        <f t="shared" si="215"/>
        <v>Kyle Simpson</v>
      </c>
      <c r="E1854" s="3" t="str">
        <f t="shared" si="216"/>
        <v>Prerelease</v>
      </c>
      <c r="F1854" s="3" t="str">
        <f t="shared" si="217"/>
        <v>.pdf</v>
      </c>
      <c r="G1854">
        <f t="shared" si="218"/>
        <v>85</v>
      </c>
      <c r="H1854" s="3">
        <f>LEN(Table1[[#This Row],[Auteur]])</f>
        <v>12</v>
      </c>
      <c r="I1854" s="3" t="str">
        <f t="shared" si="219"/>
        <v>You don't know JS, ES6 and Beyond</v>
      </c>
    </row>
    <row r="1855" spans="1:9" x14ac:dyDescent="0.45">
      <c r="A1855" t="s">
        <v>490</v>
      </c>
      <c r="B1855" t="str">
        <f t="shared" si="213"/>
        <v>2014</v>
      </c>
      <c r="C1855" t="str">
        <f t="shared" si="214"/>
        <v>O'Reilly</v>
      </c>
      <c r="D1855" t="str">
        <f t="shared" si="215"/>
        <v>Kyle Simpson</v>
      </c>
      <c r="E1855" s="3" t="str">
        <f t="shared" si="216"/>
        <v/>
      </c>
      <c r="F1855" s="3" t="str">
        <f t="shared" si="217"/>
        <v>.pdf</v>
      </c>
      <c r="G1855">
        <f t="shared" si="218"/>
        <v>76</v>
      </c>
      <c r="H1855" s="3">
        <f>LEN(Table1[[#This Row],[Auteur]])</f>
        <v>12</v>
      </c>
      <c r="I1855" s="3" t="str">
        <f t="shared" si="219"/>
        <v>You don't know JS, Scope and Closures</v>
      </c>
    </row>
    <row r="1856" spans="1:9" x14ac:dyDescent="0.45">
      <c r="A1856" t="s">
        <v>491</v>
      </c>
      <c r="B1856" t="str">
        <f t="shared" si="213"/>
        <v>2014</v>
      </c>
      <c r="C1856" t="str">
        <f t="shared" si="214"/>
        <v>O'Reilly</v>
      </c>
      <c r="D1856" t="str">
        <f t="shared" si="215"/>
        <v>Kyle Simpson</v>
      </c>
      <c r="E1856" s="3" t="str">
        <f t="shared" si="216"/>
        <v/>
      </c>
      <c r="F1856" t="str">
        <f t="shared" si="217"/>
        <v>.pdf</v>
      </c>
      <c r="G1856">
        <f t="shared" si="218"/>
        <v>82</v>
      </c>
      <c r="H1856" s="3">
        <f>LEN(Table1[[#This Row],[Auteur]])</f>
        <v>12</v>
      </c>
      <c r="I1856" s="3" t="str">
        <f t="shared" si="219"/>
        <v>You don't know JS, This &amp; Object Prototypes</v>
      </c>
    </row>
    <row r="1857" spans="1:9" x14ac:dyDescent="0.45">
      <c r="A1857" t="s">
        <v>492</v>
      </c>
      <c r="B1857" t="str">
        <f t="shared" si="213"/>
        <v>2015</v>
      </c>
      <c r="C1857" t="str">
        <f t="shared" si="214"/>
        <v>O'Reilly</v>
      </c>
      <c r="D1857" t="str">
        <f t="shared" si="215"/>
        <v>Kyle Simpson</v>
      </c>
      <c r="E1857" s="3" t="str">
        <f t="shared" si="216"/>
        <v/>
      </c>
      <c r="F1857" t="str">
        <f t="shared" si="217"/>
        <v>.pdf</v>
      </c>
      <c r="G1857">
        <f t="shared" si="218"/>
        <v>75</v>
      </c>
      <c r="H1857" s="3">
        <f>LEN(Table1[[#This Row],[Auteur]])</f>
        <v>12</v>
      </c>
      <c r="I1857" s="3" t="str">
        <f t="shared" si="219"/>
        <v>You don't know JS, Types and Grammar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64"/>
  <sheetViews>
    <sheetView tabSelected="1" workbookViewId="0"/>
  </sheetViews>
  <sheetFormatPr defaultRowHeight="14.25" x14ac:dyDescent="0.45"/>
  <cols>
    <col min="1" max="1" width="30.59765625" bestFit="1" customWidth="1"/>
    <col min="2" max="2" width="14.1328125" bestFit="1" customWidth="1"/>
    <col min="3" max="3" width="22.3984375" bestFit="1" customWidth="1"/>
    <col min="4" max="4" width="12.06640625" customWidth="1"/>
    <col min="5" max="5" width="15.19921875" customWidth="1"/>
    <col min="6" max="46" width="22.3984375" bestFit="1" customWidth="1"/>
    <col min="47" max="47" width="10.19921875" bestFit="1" customWidth="1"/>
  </cols>
  <sheetData>
    <row r="1" spans="1:5" x14ac:dyDescent="0.45">
      <c r="A1" s="1" t="s">
        <v>4</v>
      </c>
      <c r="B1" t="s">
        <v>17</v>
      </c>
      <c r="D1" s="1" t="s">
        <v>4</v>
      </c>
      <c r="E1" t="s">
        <v>40</v>
      </c>
    </row>
    <row r="2" spans="1:5" x14ac:dyDescent="0.45">
      <c r="A2" s="2" t="s">
        <v>5</v>
      </c>
      <c r="B2" s="3">
        <v>260</v>
      </c>
      <c r="D2" s="2" t="s">
        <v>5</v>
      </c>
      <c r="E2" s="3">
        <v>175</v>
      </c>
    </row>
    <row r="3" spans="1:5" x14ac:dyDescent="0.45">
      <c r="A3" s="2" t="s">
        <v>13</v>
      </c>
      <c r="B3" s="3">
        <v>252</v>
      </c>
      <c r="D3" s="2" t="s">
        <v>121</v>
      </c>
      <c r="E3" s="3">
        <v>1</v>
      </c>
    </row>
    <row r="4" spans="1:5" x14ac:dyDescent="0.45">
      <c r="A4" s="2" t="s">
        <v>9</v>
      </c>
      <c r="B4" s="3">
        <v>130</v>
      </c>
      <c r="D4" s="2" t="s">
        <v>122</v>
      </c>
      <c r="E4" s="3">
        <v>2</v>
      </c>
    </row>
    <row r="5" spans="1:5" x14ac:dyDescent="0.45">
      <c r="A5" s="2" t="s">
        <v>15</v>
      </c>
      <c r="B5" s="3">
        <v>125</v>
      </c>
      <c r="D5" s="2" t="s">
        <v>123</v>
      </c>
      <c r="E5" s="3">
        <v>2</v>
      </c>
    </row>
    <row r="6" spans="1:5" x14ac:dyDescent="0.45">
      <c r="A6" s="2" t="s">
        <v>136</v>
      </c>
      <c r="B6" s="3">
        <v>109</v>
      </c>
      <c r="D6" s="2" t="s">
        <v>124</v>
      </c>
      <c r="E6" s="3">
        <v>1</v>
      </c>
    </row>
    <row r="7" spans="1:5" x14ac:dyDescent="0.45">
      <c r="A7" s="2" t="s">
        <v>101</v>
      </c>
      <c r="B7" s="3">
        <v>108</v>
      </c>
      <c r="D7" s="2" t="s">
        <v>125</v>
      </c>
      <c r="E7" s="3">
        <v>1</v>
      </c>
    </row>
    <row r="8" spans="1:5" x14ac:dyDescent="0.45">
      <c r="A8" s="2" t="s">
        <v>113</v>
      </c>
      <c r="B8" s="3">
        <v>106</v>
      </c>
      <c r="D8" s="2" t="s">
        <v>533</v>
      </c>
      <c r="E8" s="3">
        <v>1</v>
      </c>
    </row>
    <row r="9" spans="1:5" x14ac:dyDescent="0.45">
      <c r="A9" s="2" t="s">
        <v>96</v>
      </c>
      <c r="B9" s="3">
        <v>85</v>
      </c>
      <c r="D9" s="2" t="s">
        <v>2013</v>
      </c>
      <c r="E9" s="3">
        <v>1</v>
      </c>
    </row>
    <row r="10" spans="1:5" x14ac:dyDescent="0.45">
      <c r="A10" s="2" t="s">
        <v>109</v>
      </c>
      <c r="B10" s="3">
        <v>71</v>
      </c>
      <c r="D10" s="2" t="s">
        <v>2014</v>
      </c>
      <c r="E10" s="3">
        <v>1</v>
      </c>
    </row>
    <row r="11" spans="1:5" x14ac:dyDescent="0.45">
      <c r="A11" s="2" t="s">
        <v>8</v>
      </c>
      <c r="B11" s="3">
        <v>55</v>
      </c>
      <c r="D11" s="2" t="s">
        <v>126</v>
      </c>
      <c r="E11" s="3">
        <v>2</v>
      </c>
    </row>
    <row r="12" spans="1:5" x14ac:dyDescent="0.45">
      <c r="A12" s="2" t="s">
        <v>98</v>
      </c>
      <c r="B12" s="3">
        <v>46</v>
      </c>
      <c r="D12" s="2" t="s">
        <v>127</v>
      </c>
      <c r="E12" s="3">
        <v>3</v>
      </c>
    </row>
    <row r="13" spans="1:5" x14ac:dyDescent="0.45">
      <c r="A13" s="2" t="s">
        <v>14</v>
      </c>
      <c r="B13" s="3">
        <v>43</v>
      </c>
      <c r="D13" s="2" t="s">
        <v>2015</v>
      </c>
      <c r="E13" s="3">
        <v>1</v>
      </c>
    </row>
    <row r="14" spans="1:5" x14ac:dyDescent="0.45">
      <c r="A14" s="2" t="s">
        <v>89</v>
      </c>
      <c r="B14" s="3">
        <v>32</v>
      </c>
      <c r="D14" s="2" t="s">
        <v>128</v>
      </c>
      <c r="E14" s="3">
        <v>2</v>
      </c>
    </row>
    <row r="15" spans="1:5" x14ac:dyDescent="0.45">
      <c r="A15" s="2" t="s">
        <v>229</v>
      </c>
      <c r="B15" s="3">
        <v>28</v>
      </c>
      <c r="D15" s="2" t="s">
        <v>18</v>
      </c>
      <c r="E15" s="3">
        <v>8</v>
      </c>
    </row>
    <row r="16" spans="1:5" x14ac:dyDescent="0.45">
      <c r="A16" s="2" t="s">
        <v>85</v>
      </c>
      <c r="B16" s="3">
        <v>23</v>
      </c>
      <c r="D16" s="2" t="s">
        <v>129</v>
      </c>
      <c r="E16" s="3">
        <v>5</v>
      </c>
    </row>
    <row r="17" spans="1:5" x14ac:dyDescent="0.45">
      <c r="A17" s="2" t="s">
        <v>100</v>
      </c>
      <c r="B17" s="3">
        <v>22</v>
      </c>
      <c r="D17" s="2" t="s">
        <v>130</v>
      </c>
      <c r="E17" s="3">
        <v>4</v>
      </c>
    </row>
    <row r="18" spans="1:5" x14ac:dyDescent="0.45">
      <c r="A18" s="2" t="s">
        <v>119</v>
      </c>
      <c r="B18" s="3">
        <v>19</v>
      </c>
      <c r="D18" s="2" t="s">
        <v>2016</v>
      </c>
      <c r="E18" s="3">
        <v>1</v>
      </c>
    </row>
    <row r="19" spans="1:5" x14ac:dyDescent="0.45">
      <c r="A19" s="2" t="s">
        <v>115</v>
      </c>
      <c r="B19" s="3">
        <v>18</v>
      </c>
      <c r="D19" s="2" t="s">
        <v>42</v>
      </c>
      <c r="E19" s="3">
        <v>9</v>
      </c>
    </row>
    <row r="20" spans="1:5" x14ac:dyDescent="0.45">
      <c r="A20" s="2" t="s">
        <v>88</v>
      </c>
      <c r="B20" s="3">
        <v>17</v>
      </c>
      <c r="D20" s="2" t="s">
        <v>19</v>
      </c>
      <c r="E20" s="3">
        <v>2</v>
      </c>
    </row>
    <row r="21" spans="1:5" x14ac:dyDescent="0.45">
      <c r="A21" s="2" t="s">
        <v>97</v>
      </c>
      <c r="B21" s="3">
        <v>17</v>
      </c>
      <c r="D21" s="2" t="s">
        <v>131</v>
      </c>
      <c r="E21" s="3">
        <v>4</v>
      </c>
    </row>
    <row r="22" spans="1:5" x14ac:dyDescent="0.45">
      <c r="A22" s="2" t="s">
        <v>92</v>
      </c>
      <c r="B22" s="3">
        <v>14</v>
      </c>
      <c r="D22" s="2" t="s">
        <v>20</v>
      </c>
      <c r="E22" s="3">
        <v>6</v>
      </c>
    </row>
    <row r="23" spans="1:5" x14ac:dyDescent="0.45">
      <c r="A23" s="2" t="s">
        <v>228</v>
      </c>
      <c r="B23" s="3">
        <v>11</v>
      </c>
      <c r="D23" s="2" t="s">
        <v>21</v>
      </c>
      <c r="E23" s="3">
        <v>9</v>
      </c>
    </row>
    <row r="24" spans="1:5" x14ac:dyDescent="0.45">
      <c r="A24" s="2" t="s">
        <v>108</v>
      </c>
      <c r="B24" s="3">
        <v>10</v>
      </c>
      <c r="D24" s="2" t="s">
        <v>22</v>
      </c>
      <c r="E24" s="3">
        <v>12</v>
      </c>
    </row>
    <row r="25" spans="1:5" x14ac:dyDescent="0.45">
      <c r="A25" s="2" t="s">
        <v>2017</v>
      </c>
      <c r="B25" s="3">
        <v>9</v>
      </c>
      <c r="D25" s="2" t="s">
        <v>132</v>
      </c>
      <c r="E25" s="3">
        <v>12</v>
      </c>
    </row>
    <row r="26" spans="1:5" x14ac:dyDescent="0.45">
      <c r="A26" s="2" t="s">
        <v>112</v>
      </c>
      <c r="B26" s="3">
        <v>9</v>
      </c>
      <c r="D26" s="2" t="s">
        <v>133</v>
      </c>
      <c r="E26" s="3">
        <v>19</v>
      </c>
    </row>
    <row r="27" spans="1:5" x14ac:dyDescent="0.45">
      <c r="A27" s="2" t="s">
        <v>118</v>
      </c>
      <c r="B27" s="3">
        <v>9</v>
      </c>
      <c r="D27" s="2" t="s">
        <v>134</v>
      </c>
      <c r="E27" s="3">
        <v>24</v>
      </c>
    </row>
    <row r="28" spans="1:5" x14ac:dyDescent="0.45">
      <c r="A28" s="2" t="s">
        <v>238</v>
      </c>
      <c r="B28" s="3">
        <v>7</v>
      </c>
      <c r="D28" s="2" t="s">
        <v>41</v>
      </c>
      <c r="E28" s="3">
        <v>36</v>
      </c>
    </row>
    <row r="29" spans="1:5" x14ac:dyDescent="0.45">
      <c r="A29" s="2" t="s">
        <v>10</v>
      </c>
      <c r="B29" s="3">
        <v>7</v>
      </c>
      <c r="D29" s="2" t="s">
        <v>23</v>
      </c>
      <c r="E29" s="3">
        <v>34</v>
      </c>
    </row>
    <row r="30" spans="1:5" x14ac:dyDescent="0.45">
      <c r="A30" s="2" t="s">
        <v>95</v>
      </c>
      <c r="B30" s="3">
        <v>6</v>
      </c>
      <c r="D30" s="2" t="s">
        <v>24</v>
      </c>
      <c r="E30" s="3">
        <v>66</v>
      </c>
    </row>
    <row r="31" spans="1:5" x14ac:dyDescent="0.45">
      <c r="A31" s="2" t="s">
        <v>231</v>
      </c>
      <c r="B31" s="3">
        <v>6</v>
      </c>
      <c r="D31" s="2" t="s">
        <v>25</v>
      </c>
      <c r="E31" s="3">
        <v>61</v>
      </c>
    </row>
    <row r="32" spans="1:5" x14ac:dyDescent="0.45">
      <c r="A32" s="2" t="s">
        <v>141</v>
      </c>
      <c r="B32" s="3">
        <v>5</v>
      </c>
      <c r="D32" s="2" t="s">
        <v>26</v>
      </c>
      <c r="E32" s="3">
        <v>30</v>
      </c>
    </row>
    <row r="33" spans="1:5" x14ac:dyDescent="0.45">
      <c r="A33" s="2" t="s">
        <v>240</v>
      </c>
      <c r="B33" s="3">
        <v>5</v>
      </c>
      <c r="D33" s="2" t="s">
        <v>27</v>
      </c>
      <c r="E33" s="3">
        <v>34</v>
      </c>
    </row>
    <row r="34" spans="1:5" x14ac:dyDescent="0.45">
      <c r="A34" s="2" t="s">
        <v>529</v>
      </c>
      <c r="B34" s="3">
        <v>5</v>
      </c>
      <c r="D34" s="2" t="s">
        <v>28</v>
      </c>
      <c r="E34" s="3">
        <v>51</v>
      </c>
    </row>
    <row r="35" spans="1:5" x14ac:dyDescent="0.45">
      <c r="A35" s="2" t="s">
        <v>144</v>
      </c>
      <c r="B35" s="3">
        <v>5</v>
      </c>
      <c r="D35" s="2" t="s">
        <v>29</v>
      </c>
      <c r="E35" s="3">
        <v>65</v>
      </c>
    </row>
    <row r="36" spans="1:5" x14ac:dyDescent="0.45">
      <c r="A36" s="2" t="s">
        <v>236</v>
      </c>
      <c r="B36" s="3">
        <v>4</v>
      </c>
      <c r="D36" s="2" t="s">
        <v>30</v>
      </c>
      <c r="E36" s="3">
        <v>70</v>
      </c>
    </row>
    <row r="37" spans="1:5" x14ac:dyDescent="0.45">
      <c r="A37" s="2" t="s">
        <v>253</v>
      </c>
      <c r="B37" s="3">
        <v>4</v>
      </c>
      <c r="D37" s="2" t="s">
        <v>31</v>
      </c>
      <c r="E37" s="3">
        <v>81</v>
      </c>
    </row>
    <row r="38" spans="1:5" x14ac:dyDescent="0.45">
      <c r="A38" s="2" t="s">
        <v>230</v>
      </c>
      <c r="B38" s="3">
        <v>4</v>
      </c>
      <c r="D38" s="2" t="s">
        <v>32</v>
      </c>
      <c r="E38" s="3">
        <v>105</v>
      </c>
    </row>
    <row r="39" spans="1:5" x14ac:dyDescent="0.45">
      <c r="A39" s="2" t="s">
        <v>105</v>
      </c>
      <c r="B39" s="3">
        <v>4</v>
      </c>
      <c r="D39" s="2" t="s">
        <v>33</v>
      </c>
      <c r="E39" s="3">
        <v>133</v>
      </c>
    </row>
    <row r="40" spans="1:5" x14ac:dyDescent="0.45">
      <c r="A40" s="2" t="s">
        <v>239</v>
      </c>
      <c r="B40" s="3">
        <v>4</v>
      </c>
      <c r="D40" s="2" t="s">
        <v>34</v>
      </c>
      <c r="E40" s="3">
        <v>98</v>
      </c>
    </row>
    <row r="41" spans="1:5" x14ac:dyDescent="0.45">
      <c r="A41" s="2" t="s">
        <v>120</v>
      </c>
      <c r="B41" s="3">
        <v>4</v>
      </c>
      <c r="D41" s="2" t="s">
        <v>35</v>
      </c>
      <c r="E41" s="3">
        <v>178</v>
      </c>
    </row>
    <row r="42" spans="1:5" x14ac:dyDescent="0.45">
      <c r="A42" s="2" t="s">
        <v>107</v>
      </c>
      <c r="B42" s="3">
        <v>4</v>
      </c>
      <c r="D42" s="2" t="s">
        <v>36</v>
      </c>
      <c r="E42" s="3">
        <v>120</v>
      </c>
    </row>
    <row r="43" spans="1:5" x14ac:dyDescent="0.45">
      <c r="A43" s="2" t="s">
        <v>506</v>
      </c>
      <c r="B43" s="3">
        <v>3</v>
      </c>
      <c r="D43" s="2" t="s">
        <v>37</v>
      </c>
      <c r="E43" s="3">
        <v>120</v>
      </c>
    </row>
    <row r="44" spans="1:5" x14ac:dyDescent="0.45">
      <c r="A44" s="2" t="s">
        <v>237</v>
      </c>
      <c r="B44" s="3">
        <v>3</v>
      </c>
      <c r="D44" s="2" t="s">
        <v>38</v>
      </c>
      <c r="E44" s="3">
        <v>144</v>
      </c>
    </row>
    <row r="45" spans="1:5" x14ac:dyDescent="0.45">
      <c r="A45" s="2" t="s">
        <v>137</v>
      </c>
      <c r="B45" s="3">
        <v>3</v>
      </c>
      <c r="D45" s="2" t="s">
        <v>39</v>
      </c>
      <c r="E45" s="3">
        <v>122</v>
      </c>
    </row>
    <row r="46" spans="1:5" x14ac:dyDescent="0.45">
      <c r="A46" s="2" t="s">
        <v>2018</v>
      </c>
      <c r="B46" s="3">
        <v>3</v>
      </c>
      <c r="D46" s="2" t="s">
        <v>16</v>
      </c>
      <c r="E46" s="3">
        <v>1856</v>
      </c>
    </row>
    <row r="47" spans="1:5" x14ac:dyDescent="0.45">
      <c r="A47" s="2" t="s">
        <v>233</v>
      </c>
      <c r="B47" s="3">
        <v>3</v>
      </c>
    </row>
    <row r="48" spans="1:5" x14ac:dyDescent="0.45">
      <c r="A48" s="2" t="s">
        <v>2019</v>
      </c>
      <c r="B48" s="3">
        <v>3</v>
      </c>
    </row>
    <row r="49" spans="1:2" x14ac:dyDescent="0.45">
      <c r="A49" s="2" t="s">
        <v>504</v>
      </c>
      <c r="B49" s="3">
        <v>2</v>
      </c>
    </row>
    <row r="50" spans="1:2" x14ac:dyDescent="0.45">
      <c r="A50" s="2" t="s">
        <v>2020</v>
      </c>
      <c r="B50" s="3">
        <v>2</v>
      </c>
    </row>
    <row r="51" spans="1:2" x14ac:dyDescent="0.45">
      <c r="A51" s="2" t="s">
        <v>2021</v>
      </c>
      <c r="B51" s="3">
        <v>2</v>
      </c>
    </row>
    <row r="52" spans="1:2" x14ac:dyDescent="0.45">
      <c r="A52" s="2" t="s">
        <v>91</v>
      </c>
      <c r="B52" s="3">
        <v>2</v>
      </c>
    </row>
    <row r="53" spans="1:2" x14ac:dyDescent="0.45">
      <c r="A53" s="2" t="s">
        <v>6</v>
      </c>
      <c r="B53" s="3">
        <v>2</v>
      </c>
    </row>
    <row r="54" spans="1:2" x14ac:dyDescent="0.45">
      <c r="A54" s="2" t="s">
        <v>86</v>
      </c>
      <c r="B54" s="3">
        <v>2</v>
      </c>
    </row>
    <row r="55" spans="1:2" x14ac:dyDescent="0.45">
      <c r="A55" s="2" t="s">
        <v>505</v>
      </c>
      <c r="B55" s="3">
        <v>2</v>
      </c>
    </row>
    <row r="56" spans="1:2" x14ac:dyDescent="0.45">
      <c r="A56" s="2" t="s">
        <v>106</v>
      </c>
      <c r="B56" s="3">
        <v>2</v>
      </c>
    </row>
    <row r="57" spans="1:2" x14ac:dyDescent="0.45">
      <c r="A57" s="2" t="s">
        <v>249</v>
      </c>
      <c r="B57" s="3">
        <v>2</v>
      </c>
    </row>
    <row r="58" spans="1:2" x14ac:dyDescent="0.45">
      <c r="A58" s="2" t="s">
        <v>234</v>
      </c>
      <c r="B58" s="3">
        <v>2</v>
      </c>
    </row>
    <row r="59" spans="1:2" x14ac:dyDescent="0.45">
      <c r="A59" s="2" t="s">
        <v>366</v>
      </c>
      <c r="B59" s="3">
        <v>2</v>
      </c>
    </row>
    <row r="60" spans="1:2" x14ac:dyDescent="0.45">
      <c r="A60" s="2" t="s">
        <v>93</v>
      </c>
      <c r="B60" s="3">
        <v>2</v>
      </c>
    </row>
    <row r="61" spans="1:2" x14ac:dyDescent="0.45">
      <c r="A61" s="2" t="s">
        <v>510</v>
      </c>
      <c r="B61" s="3">
        <v>2</v>
      </c>
    </row>
    <row r="62" spans="1:2" x14ac:dyDescent="0.45">
      <c r="A62" s="2" t="s">
        <v>116</v>
      </c>
      <c r="B62" s="3">
        <v>2</v>
      </c>
    </row>
    <row r="63" spans="1:2" x14ac:dyDescent="0.45">
      <c r="A63" s="2" t="s">
        <v>507</v>
      </c>
      <c r="B63" s="3">
        <v>2</v>
      </c>
    </row>
    <row r="64" spans="1:2" x14ac:dyDescent="0.45">
      <c r="A64" s="2" t="s">
        <v>143</v>
      </c>
      <c r="B64" s="3">
        <v>2</v>
      </c>
    </row>
    <row r="65" spans="1:2" x14ac:dyDescent="0.45">
      <c r="A65" s="2" t="s">
        <v>2022</v>
      </c>
      <c r="B65" s="3">
        <v>2</v>
      </c>
    </row>
    <row r="66" spans="1:2" x14ac:dyDescent="0.45">
      <c r="A66" s="2" t="s">
        <v>235</v>
      </c>
      <c r="B66" s="3">
        <v>2</v>
      </c>
    </row>
    <row r="67" spans="1:2" x14ac:dyDescent="0.45">
      <c r="A67" s="2" t="s">
        <v>11</v>
      </c>
      <c r="B67" s="3">
        <v>2</v>
      </c>
    </row>
    <row r="68" spans="1:2" x14ac:dyDescent="0.45">
      <c r="A68" s="2" t="s">
        <v>232</v>
      </c>
      <c r="B68" s="3">
        <v>2</v>
      </c>
    </row>
    <row r="69" spans="1:2" x14ac:dyDescent="0.45">
      <c r="A69" s="2" t="s">
        <v>138</v>
      </c>
      <c r="B69" s="3">
        <v>2</v>
      </c>
    </row>
    <row r="70" spans="1:2" x14ac:dyDescent="0.45">
      <c r="A70" s="2" t="s">
        <v>2023</v>
      </c>
      <c r="B70" s="3">
        <v>1</v>
      </c>
    </row>
    <row r="71" spans="1:2" x14ac:dyDescent="0.45">
      <c r="A71" s="2" t="s">
        <v>251</v>
      </c>
      <c r="B71" s="3">
        <v>1</v>
      </c>
    </row>
    <row r="72" spans="1:2" x14ac:dyDescent="0.45">
      <c r="A72" s="2" t="s">
        <v>518</v>
      </c>
      <c r="B72" s="3">
        <v>1</v>
      </c>
    </row>
    <row r="73" spans="1:2" x14ac:dyDescent="0.45">
      <c r="A73" s="2" t="s">
        <v>145</v>
      </c>
      <c r="B73" s="3">
        <v>1</v>
      </c>
    </row>
    <row r="74" spans="1:2" x14ac:dyDescent="0.45">
      <c r="A74" s="2" t="s">
        <v>2024</v>
      </c>
      <c r="B74" s="3">
        <v>1</v>
      </c>
    </row>
    <row r="75" spans="1:2" x14ac:dyDescent="0.45">
      <c r="A75" s="2" t="s">
        <v>114</v>
      </c>
      <c r="B75" s="3">
        <v>1</v>
      </c>
    </row>
    <row r="76" spans="1:2" x14ac:dyDescent="0.45">
      <c r="A76" s="2" t="s">
        <v>2025</v>
      </c>
      <c r="B76" s="3">
        <v>1</v>
      </c>
    </row>
    <row r="77" spans="1:2" x14ac:dyDescent="0.45">
      <c r="A77" s="2" t="s">
        <v>103</v>
      </c>
      <c r="B77" s="3">
        <v>1</v>
      </c>
    </row>
    <row r="78" spans="1:2" x14ac:dyDescent="0.45">
      <c r="A78" s="2" t="s">
        <v>241</v>
      </c>
      <c r="B78" s="3">
        <v>1</v>
      </c>
    </row>
    <row r="79" spans="1:2" x14ac:dyDescent="0.45">
      <c r="A79" s="2" t="s">
        <v>511</v>
      </c>
      <c r="B79" s="3">
        <v>1</v>
      </c>
    </row>
    <row r="80" spans="1:2" x14ac:dyDescent="0.45">
      <c r="A80" s="2" t="s">
        <v>104</v>
      </c>
      <c r="B80" s="3">
        <v>1</v>
      </c>
    </row>
    <row r="81" spans="1:2" x14ac:dyDescent="0.45">
      <c r="A81" s="2" t="s">
        <v>254</v>
      </c>
      <c r="B81" s="3">
        <v>1</v>
      </c>
    </row>
    <row r="82" spans="1:2" x14ac:dyDescent="0.45">
      <c r="A82" s="2" t="s">
        <v>2026</v>
      </c>
      <c r="B82" s="3">
        <v>1</v>
      </c>
    </row>
    <row r="83" spans="1:2" x14ac:dyDescent="0.45">
      <c r="A83" s="2" t="s">
        <v>243</v>
      </c>
      <c r="B83" s="3">
        <v>1</v>
      </c>
    </row>
    <row r="84" spans="1:2" x14ac:dyDescent="0.45">
      <c r="A84" s="2" t="s">
        <v>2027</v>
      </c>
      <c r="B84" s="3">
        <v>1</v>
      </c>
    </row>
    <row r="85" spans="1:2" x14ac:dyDescent="0.45">
      <c r="A85" s="2" t="s">
        <v>255</v>
      </c>
      <c r="B85" s="3">
        <v>1</v>
      </c>
    </row>
    <row r="86" spans="1:2" x14ac:dyDescent="0.45">
      <c r="A86" s="2" t="s">
        <v>2028</v>
      </c>
      <c r="B86" s="3">
        <v>1</v>
      </c>
    </row>
    <row r="87" spans="1:2" x14ac:dyDescent="0.45">
      <c r="A87" s="2" t="s">
        <v>246</v>
      </c>
      <c r="B87" s="3">
        <v>1</v>
      </c>
    </row>
    <row r="88" spans="1:2" x14ac:dyDescent="0.45">
      <c r="A88" s="2" t="s">
        <v>519</v>
      </c>
      <c r="B88" s="3">
        <v>1</v>
      </c>
    </row>
    <row r="89" spans="1:2" x14ac:dyDescent="0.45">
      <c r="A89" s="2" t="s">
        <v>90</v>
      </c>
      <c r="B89" s="3">
        <v>1</v>
      </c>
    </row>
    <row r="90" spans="1:2" x14ac:dyDescent="0.45">
      <c r="A90" s="2" t="s">
        <v>520</v>
      </c>
      <c r="B90" s="3">
        <v>1</v>
      </c>
    </row>
    <row r="91" spans="1:2" x14ac:dyDescent="0.45">
      <c r="A91" s="2" t="s">
        <v>142</v>
      </c>
      <c r="B91" s="3">
        <v>1</v>
      </c>
    </row>
    <row r="92" spans="1:2" x14ac:dyDescent="0.45">
      <c r="A92" s="2" t="s">
        <v>521</v>
      </c>
      <c r="B92" s="3">
        <v>1</v>
      </c>
    </row>
    <row r="93" spans="1:2" x14ac:dyDescent="0.45">
      <c r="A93" s="2" t="s">
        <v>256</v>
      </c>
      <c r="B93" s="3">
        <v>1</v>
      </c>
    </row>
    <row r="94" spans="1:2" x14ac:dyDescent="0.45">
      <c r="A94" s="2" t="s">
        <v>531</v>
      </c>
      <c r="B94" s="3">
        <v>1</v>
      </c>
    </row>
    <row r="95" spans="1:2" x14ac:dyDescent="0.45">
      <c r="A95" s="2" t="s">
        <v>2029</v>
      </c>
      <c r="B95" s="3">
        <v>1</v>
      </c>
    </row>
    <row r="96" spans="1:2" x14ac:dyDescent="0.45">
      <c r="A96" s="2" t="s">
        <v>2030</v>
      </c>
      <c r="B96" s="3">
        <v>1</v>
      </c>
    </row>
    <row r="97" spans="1:2" x14ac:dyDescent="0.45">
      <c r="A97" s="2" t="s">
        <v>257</v>
      </c>
      <c r="B97" s="3">
        <v>1</v>
      </c>
    </row>
    <row r="98" spans="1:2" x14ac:dyDescent="0.45">
      <c r="A98" s="2" t="s">
        <v>2031</v>
      </c>
      <c r="B98" s="3">
        <v>1</v>
      </c>
    </row>
    <row r="99" spans="1:2" x14ac:dyDescent="0.45">
      <c r="A99" s="2" t="s">
        <v>244</v>
      </c>
      <c r="B99" s="3">
        <v>1</v>
      </c>
    </row>
    <row r="100" spans="1:2" x14ac:dyDescent="0.45">
      <c r="A100" s="2" t="s">
        <v>2032</v>
      </c>
      <c r="B100" s="3">
        <v>1</v>
      </c>
    </row>
    <row r="101" spans="1:2" x14ac:dyDescent="0.45">
      <c r="A101" s="2" t="s">
        <v>94</v>
      </c>
      <c r="B101" s="3">
        <v>1</v>
      </c>
    </row>
    <row r="102" spans="1:2" x14ac:dyDescent="0.45">
      <c r="A102" s="2" t="s">
        <v>2033</v>
      </c>
      <c r="B102" s="3">
        <v>1</v>
      </c>
    </row>
    <row r="103" spans="1:2" x14ac:dyDescent="0.45">
      <c r="A103" s="2" t="s">
        <v>248</v>
      </c>
      <c r="B103" s="3">
        <v>1</v>
      </c>
    </row>
    <row r="104" spans="1:2" x14ac:dyDescent="0.45">
      <c r="A104" s="2" t="s">
        <v>2034</v>
      </c>
      <c r="B104" s="3">
        <v>1</v>
      </c>
    </row>
    <row r="105" spans="1:2" x14ac:dyDescent="0.45">
      <c r="A105" s="2" t="s">
        <v>258</v>
      </c>
      <c r="B105" s="3">
        <v>1</v>
      </c>
    </row>
    <row r="106" spans="1:2" x14ac:dyDescent="0.45">
      <c r="A106" s="2" t="s">
        <v>2035</v>
      </c>
      <c r="B106" s="3">
        <v>1</v>
      </c>
    </row>
    <row r="107" spans="1:2" x14ac:dyDescent="0.45">
      <c r="A107" s="2" t="s">
        <v>7</v>
      </c>
      <c r="B107" s="3">
        <v>1</v>
      </c>
    </row>
    <row r="108" spans="1:2" x14ac:dyDescent="0.45">
      <c r="A108" s="2" t="s">
        <v>250</v>
      </c>
      <c r="B108" s="3">
        <v>1</v>
      </c>
    </row>
    <row r="109" spans="1:2" x14ac:dyDescent="0.45">
      <c r="A109" s="2" t="s">
        <v>259</v>
      </c>
      <c r="B109" s="3">
        <v>1</v>
      </c>
    </row>
    <row r="110" spans="1:2" x14ac:dyDescent="0.45">
      <c r="A110" s="2" t="s">
        <v>513</v>
      </c>
      <c r="B110" s="3">
        <v>1</v>
      </c>
    </row>
    <row r="111" spans="1:2" x14ac:dyDescent="0.45">
      <c r="A111" s="2" t="s">
        <v>99</v>
      </c>
      <c r="B111" s="3">
        <v>1</v>
      </c>
    </row>
    <row r="112" spans="1:2" x14ac:dyDescent="0.45">
      <c r="A112" s="2" t="s">
        <v>509</v>
      </c>
      <c r="B112" s="3">
        <v>1</v>
      </c>
    </row>
    <row r="113" spans="1:2" x14ac:dyDescent="0.45">
      <c r="A113" s="2" t="s">
        <v>260</v>
      </c>
      <c r="B113" s="3">
        <v>1</v>
      </c>
    </row>
    <row r="114" spans="1:2" x14ac:dyDescent="0.45">
      <c r="A114" s="2" t="s">
        <v>514</v>
      </c>
      <c r="B114" s="3">
        <v>1</v>
      </c>
    </row>
    <row r="115" spans="1:2" x14ac:dyDescent="0.45">
      <c r="A115" s="2" t="s">
        <v>2036</v>
      </c>
      <c r="B115" s="3">
        <v>1</v>
      </c>
    </row>
    <row r="116" spans="1:2" x14ac:dyDescent="0.45">
      <c r="A116" s="2" t="s">
        <v>87</v>
      </c>
      <c r="B116" s="3">
        <v>1</v>
      </c>
    </row>
    <row r="117" spans="1:2" x14ac:dyDescent="0.45">
      <c r="A117" s="2" t="s">
        <v>2037</v>
      </c>
      <c r="B117" s="3">
        <v>1</v>
      </c>
    </row>
    <row r="118" spans="1:2" x14ac:dyDescent="0.45">
      <c r="A118" s="2" t="s">
        <v>515</v>
      </c>
      <c r="B118" s="3">
        <v>1</v>
      </c>
    </row>
    <row r="119" spans="1:2" x14ac:dyDescent="0.45">
      <c r="A119" s="2" t="s">
        <v>2038</v>
      </c>
      <c r="B119" s="3">
        <v>1</v>
      </c>
    </row>
    <row r="120" spans="1:2" x14ac:dyDescent="0.45">
      <c r="A120" s="2" t="s">
        <v>530</v>
      </c>
      <c r="B120" s="3">
        <v>1</v>
      </c>
    </row>
    <row r="121" spans="1:2" x14ac:dyDescent="0.45">
      <c r="A121" s="2" t="s">
        <v>12</v>
      </c>
      <c r="B121" s="3">
        <v>1</v>
      </c>
    </row>
    <row r="122" spans="1:2" x14ac:dyDescent="0.45">
      <c r="A122" s="2" t="s">
        <v>532</v>
      </c>
      <c r="B122" s="3">
        <v>1</v>
      </c>
    </row>
    <row r="123" spans="1:2" x14ac:dyDescent="0.45">
      <c r="A123" s="2" t="s">
        <v>2039</v>
      </c>
      <c r="B123" s="3">
        <v>1</v>
      </c>
    </row>
    <row r="124" spans="1:2" x14ac:dyDescent="0.45">
      <c r="A124" s="2" t="s">
        <v>2040</v>
      </c>
      <c r="B124" s="3">
        <v>1</v>
      </c>
    </row>
    <row r="125" spans="1:2" x14ac:dyDescent="0.45">
      <c r="A125" s="2" t="s">
        <v>2041</v>
      </c>
      <c r="B125" s="3">
        <v>1</v>
      </c>
    </row>
    <row r="126" spans="1:2" x14ac:dyDescent="0.45">
      <c r="A126" s="2" t="s">
        <v>2042</v>
      </c>
      <c r="B126" s="3">
        <v>1</v>
      </c>
    </row>
    <row r="127" spans="1:2" x14ac:dyDescent="0.45">
      <c r="A127" s="2" t="s">
        <v>2043</v>
      </c>
      <c r="B127" s="3">
        <v>1</v>
      </c>
    </row>
    <row r="128" spans="1:2" x14ac:dyDescent="0.45">
      <c r="A128" s="2" t="s">
        <v>110</v>
      </c>
      <c r="B128" s="3">
        <v>1</v>
      </c>
    </row>
    <row r="129" spans="1:2" x14ac:dyDescent="0.45">
      <c r="A129" s="2" t="s">
        <v>370</v>
      </c>
      <c r="B129" s="3">
        <v>1</v>
      </c>
    </row>
    <row r="130" spans="1:2" x14ac:dyDescent="0.45">
      <c r="A130" s="2" t="s">
        <v>140</v>
      </c>
      <c r="B130" s="3">
        <v>1</v>
      </c>
    </row>
    <row r="131" spans="1:2" x14ac:dyDescent="0.45">
      <c r="A131" s="2" t="s">
        <v>371</v>
      </c>
      <c r="B131" s="3">
        <v>1</v>
      </c>
    </row>
    <row r="132" spans="1:2" x14ac:dyDescent="0.45">
      <c r="A132" s="2" t="s">
        <v>242</v>
      </c>
      <c r="B132" s="3">
        <v>1</v>
      </c>
    </row>
    <row r="133" spans="1:2" x14ac:dyDescent="0.45">
      <c r="A133" s="2" t="s">
        <v>374</v>
      </c>
      <c r="B133" s="3">
        <v>1</v>
      </c>
    </row>
    <row r="134" spans="1:2" x14ac:dyDescent="0.45">
      <c r="A134" s="2" t="s">
        <v>2044</v>
      </c>
      <c r="B134" s="3">
        <v>1</v>
      </c>
    </row>
    <row r="135" spans="1:2" x14ac:dyDescent="0.45">
      <c r="A135" s="2" t="s">
        <v>102</v>
      </c>
      <c r="B135" s="3">
        <v>1</v>
      </c>
    </row>
    <row r="136" spans="1:2" x14ac:dyDescent="0.45">
      <c r="A136" s="2" t="s">
        <v>2045</v>
      </c>
      <c r="B136" s="3">
        <v>1</v>
      </c>
    </row>
    <row r="137" spans="1:2" x14ac:dyDescent="0.45">
      <c r="A137" s="2" t="s">
        <v>375</v>
      </c>
      <c r="B137" s="3">
        <v>1</v>
      </c>
    </row>
    <row r="138" spans="1:2" x14ac:dyDescent="0.45">
      <c r="A138" s="2" t="s">
        <v>252</v>
      </c>
      <c r="B138" s="3">
        <v>1</v>
      </c>
    </row>
    <row r="139" spans="1:2" x14ac:dyDescent="0.45">
      <c r="A139" s="2" t="s">
        <v>512</v>
      </c>
      <c r="B139" s="3">
        <v>1</v>
      </c>
    </row>
    <row r="140" spans="1:2" x14ac:dyDescent="0.45">
      <c r="A140" s="2" t="s">
        <v>2046</v>
      </c>
      <c r="B140" s="3">
        <v>1</v>
      </c>
    </row>
    <row r="141" spans="1:2" x14ac:dyDescent="0.45">
      <c r="A141" s="2" t="s">
        <v>516</v>
      </c>
      <c r="B141" s="3">
        <v>1</v>
      </c>
    </row>
    <row r="142" spans="1:2" x14ac:dyDescent="0.45">
      <c r="A142" s="2" t="s">
        <v>2047</v>
      </c>
      <c r="B142" s="3">
        <v>1</v>
      </c>
    </row>
    <row r="143" spans="1:2" x14ac:dyDescent="0.45">
      <c r="A143" s="2" t="s">
        <v>508</v>
      </c>
      <c r="B143" s="3">
        <v>1</v>
      </c>
    </row>
    <row r="144" spans="1:2" x14ac:dyDescent="0.45">
      <c r="A144" s="2" t="s">
        <v>2048</v>
      </c>
      <c r="B144" s="3">
        <v>1</v>
      </c>
    </row>
    <row r="145" spans="1:2" x14ac:dyDescent="0.45">
      <c r="A145" s="2" t="s">
        <v>517</v>
      </c>
      <c r="B145" s="3">
        <v>1</v>
      </c>
    </row>
    <row r="146" spans="1:2" x14ac:dyDescent="0.45">
      <c r="A146" s="2" t="s">
        <v>139</v>
      </c>
      <c r="B146" s="3">
        <v>1</v>
      </c>
    </row>
    <row r="147" spans="1:2" x14ac:dyDescent="0.45">
      <c r="A147" s="2" t="s">
        <v>117</v>
      </c>
      <c r="B147" s="3">
        <v>1</v>
      </c>
    </row>
    <row r="148" spans="1:2" x14ac:dyDescent="0.45">
      <c r="A148" s="2" t="s">
        <v>111</v>
      </c>
      <c r="B148" s="3">
        <v>1</v>
      </c>
    </row>
    <row r="149" spans="1:2" x14ac:dyDescent="0.45">
      <c r="A149" s="2" t="s">
        <v>245</v>
      </c>
      <c r="B149" s="3">
        <v>1</v>
      </c>
    </row>
    <row r="150" spans="1:2" x14ac:dyDescent="0.45">
      <c r="A150" s="2" t="s">
        <v>2049</v>
      </c>
      <c r="B150" s="3">
        <v>1</v>
      </c>
    </row>
    <row r="151" spans="1:2" x14ac:dyDescent="0.45">
      <c r="A151" s="2" t="s">
        <v>2050</v>
      </c>
      <c r="B151" s="3">
        <v>1</v>
      </c>
    </row>
    <row r="152" spans="1:2" x14ac:dyDescent="0.45">
      <c r="A152" s="2" t="s">
        <v>2051</v>
      </c>
      <c r="B152" s="3">
        <v>1</v>
      </c>
    </row>
    <row r="153" spans="1:2" x14ac:dyDescent="0.45">
      <c r="A153" s="2" t="s">
        <v>2052</v>
      </c>
      <c r="B153" s="3">
        <v>1</v>
      </c>
    </row>
    <row r="154" spans="1:2" x14ac:dyDescent="0.45">
      <c r="A154" s="2" t="s">
        <v>2053</v>
      </c>
      <c r="B154" s="3">
        <v>1</v>
      </c>
    </row>
    <row r="155" spans="1:2" x14ac:dyDescent="0.45">
      <c r="A155" s="2" t="s">
        <v>372</v>
      </c>
      <c r="B155" s="3">
        <v>1</v>
      </c>
    </row>
    <row r="156" spans="1:2" x14ac:dyDescent="0.45">
      <c r="A156" s="2" t="s">
        <v>2054</v>
      </c>
      <c r="B156" s="3">
        <v>1</v>
      </c>
    </row>
    <row r="157" spans="1:2" x14ac:dyDescent="0.45">
      <c r="A157" s="2" t="s">
        <v>369</v>
      </c>
      <c r="B157" s="3">
        <v>1</v>
      </c>
    </row>
    <row r="158" spans="1:2" x14ac:dyDescent="0.45">
      <c r="A158" s="2" t="s">
        <v>2055</v>
      </c>
      <c r="B158" s="3">
        <v>1</v>
      </c>
    </row>
    <row r="159" spans="1:2" x14ac:dyDescent="0.45">
      <c r="A159" s="2" t="s">
        <v>373</v>
      </c>
      <c r="B159" s="3">
        <v>1</v>
      </c>
    </row>
    <row r="160" spans="1:2" x14ac:dyDescent="0.45">
      <c r="A160" s="2" t="s">
        <v>367</v>
      </c>
      <c r="B160" s="3">
        <v>1</v>
      </c>
    </row>
    <row r="161" spans="1:2" x14ac:dyDescent="0.45">
      <c r="A161" s="2" t="s">
        <v>368</v>
      </c>
      <c r="B161" s="3">
        <v>1</v>
      </c>
    </row>
    <row r="162" spans="1:2" x14ac:dyDescent="0.45">
      <c r="A162" s="2" t="s">
        <v>2056</v>
      </c>
      <c r="B162" s="3">
        <v>1</v>
      </c>
    </row>
    <row r="163" spans="1:2" x14ac:dyDescent="0.45">
      <c r="A163" s="2" t="s">
        <v>247</v>
      </c>
      <c r="B163" s="3">
        <v>1</v>
      </c>
    </row>
    <row r="164" spans="1:2" x14ac:dyDescent="0.45">
      <c r="A164" s="2" t="s">
        <v>16</v>
      </c>
      <c r="B164" s="3">
        <v>1856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Pierre Violent</dc:creator>
  <cp:lastModifiedBy>Pierre Violent</cp:lastModifiedBy>
  <dcterms:created xsi:type="dcterms:W3CDTF">2016-12-13T20:17:31Z</dcterms:created>
  <dcterms:modified xsi:type="dcterms:W3CDTF">2016-12-21T22:16:05Z</dcterms:modified>
</cp:coreProperties>
</file>