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0" windowWidth="19155" windowHeight="876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14" i="1" l="1"/>
  <c r="D11" i="1"/>
  <c r="C34" i="1"/>
  <c r="B34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17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18" i="1"/>
  <c r="B19" i="1"/>
  <c r="B17" i="1"/>
  <c r="B14" i="1"/>
  <c r="A14" i="1"/>
  <c r="B13" i="1"/>
  <c r="A13" i="1"/>
  <c r="A12" i="1"/>
  <c r="B12" i="1"/>
  <c r="A11" i="1"/>
  <c r="B11" i="1"/>
  <c r="A10" i="1"/>
  <c r="B10" i="1"/>
  <c r="B9" i="1"/>
  <c r="E12" i="1"/>
  <c r="E11" i="1"/>
  <c r="E10" i="1"/>
  <c r="E14" i="1"/>
  <c r="E13" i="1"/>
  <c r="F14" i="1"/>
  <c r="F13" i="1"/>
  <c r="F12" i="1"/>
  <c r="F11" i="1"/>
  <c r="F10" i="1"/>
  <c r="E9" i="1"/>
  <c r="F9" i="1" s="1"/>
  <c r="F16" i="1"/>
  <c r="E16" i="1"/>
</calcChain>
</file>

<file path=xl/sharedStrings.xml><?xml version="1.0" encoding="utf-8"?>
<sst xmlns="http://schemas.openxmlformats.org/spreadsheetml/2006/main" count="5" uniqueCount="5">
  <si>
    <t>Inf</t>
  </si>
  <si>
    <t>Sup</t>
  </si>
  <si>
    <t>Exemple</t>
  </si>
  <si>
    <t>UTF8 encoding</t>
  </si>
  <si>
    <t>UTF8 decoding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</si>
</sst>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561151</xdr:colOff>
      <xdr:row>5</xdr:row>
      <xdr:rowOff>154922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542726" cy="1107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8:F34"/>
  <sheetViews>
    <sheetView tabSelected="1" topLeftCell="A5" workbookViewId="0">
      <selection activeCell="E31" sqref="E31"/>
    </sheetView>
  </sheetViews>
  <sheetFormatPr defaultRowHeight="15" x14ac:dyDescent="0.25"/>
  <cols>
    <col min="2" max="2" width="11" bestFit="1" customWidth="1"/>
    <col min="4" max="4" width="11" bestFit="1" customWidth="1"/>
    <col min="5" max="5" width="20.42578125" bestFit="1" customWidth="1"/>
    <col min="6" max="6" width="14" bestFit="1" customWidth="1"/>
  </cols>
  <sheetData>
    <row r="8" spans="1:6" x14ac:dyDescent="0.25">
      <c r="A8" t="s">
        <v>0</v>
      </c>
      <c r="B8" t="s">
        <v>1</v>
      </c>
      <c r="D8" t="s">
        <v>2</v>
      </c>
      <c r="E8" t="s">
        <v>3</v>
      </c>
      <c r="F8" t="s">
        <v>4</v>
      </c>
    </row>
    <row r="9" spans="1:6" x14ac:dyDescent="0.25">
      <c r="A9">
        <v>0</v>
      </c>
      <c r="B9">
        <f>HEX2DEC("7F")</f>
        <v>127</v>
      </c>
      <c r="D9">
        <v>45</v>
      </c>
      <c r="E9" t="str">
        <f>UTF8Sequence(D9)</f>
        <v>45</v>
      </c>
      <c r="F9">
        <f t="shared" ref="F9:F16" si="0">UTF8SequenceToDecimal(E9)</f>
        <v>45</v>
      </c>
    </row>
    <row r="10" spans="1:6" x14ac:dyDescent="0.25">
      <c r="A10">
        <f>B9+1</f>
        <v>128</v>
      </c>
      <c r="B10">
        <f>HEX2DEC("7FF")</f>
        <v>2047</v>
      </c>
      <c r="D10">
        <v>431</v>
      </c>
      <c r="E10" t="str">
        <f t="shared" ref="E10:E16" si="1">UTF8Sequence(D10)</f>
        <v>198 175</v>
      </c>
      <c r="F10">
        <f t="shared" si="0"/>
        <v>431</v>
      </c>
    </row>
    <row r="11" spans="1:6" x14ac:dyDescent="0.25">
      <c r="A11">
        <f>B10+1</f>
        <v>2048</v>
      </c>
      <c r="B11">
        <f>HEX2DEC("FFFF")</f>
        <v>65535</v>
      </c>
      <c r="D11">
        <f>51966</f>
        <v>51966</v>
      </c>
      <c r="E11" t="str">
        <f t="shared" si="1"/>
        <v>236 171 190</v>
      </c>
      <c r="F11">
        <f t="shared" si="0"/>
        <v>51966</v>
      </c>
    </row>
    <row r="12" spans="1:6" x14ac:dyDescent="0.25">
      <c r="A12">
        <f>B11+1</f>
        <v>65536</v>
      </c>
      <c r="B12">
        <f>HEX2DEC("1FFFFF")</f>
        <v>2097151</v>
      </c>
      <c r="D12">
        <v>1000000</v>
      </c>
      <c r="E12" t="str">
        <f>UTF8Sequence(D12)</f>
        <v>243 180 137 128</v>
      </c>
      <c r="F12">
        <f t="shared" si="0"/>
        <v>1000000</v>
      </c>
    </row>
    <row r="13" spans="1:6" x14ac:dyDescent="0.25">
      <c r="A13">
        <f>B12+1</f>
        <v>2097152</v>
      </c>
      <c r="B13">
        <f>HEX2DEC("3FFFFFF")</f>
        <v>67108863</v>
      </c>
      <c r="D13">
        <v>12345678</v>
      </c>
      <c r="E13" t="str">
        <f t="shared" si="1"/>
        <v>248 175 134 133 142</v>
      </c>
      <c r="F13">
        <f t="shared" si="0"/>
        <v>12345678</v>
      </c>
    </row>
    <row r="14" spans="1:6" x14ac:dyDescent="0.25">
      <c r="A14">
        <f>B13+1</f>
        <v>67108864</v>
      </c>
      <c r="B14">
        <f>HEX2DEC("7FFFFFFF")</f>
        <v>2147483647</v>
      </c>
      <c r="D14">
        <f>1234567890</f>
        <v>1234567890</v>
      </c>
      <c r="E14" t="str">
        <f t="shared" si="1"/>
        <v>253 137 165 160 139 18</v>
      </c>
      <c r="F14">
        <f t="shared" si="0"/>
        <v>1234567890</v>
      </c>
    </row>
    <row r="16" spans="1:6" x14ac:dyDescent="0.25">
      <c r="D16">
        <v>128</v>
      </c>
      <c r="E16" t="str">
        <f t="shared" si="1"/>
        <v>194 128</v>
      </c>
      <c r="F16">
        <f t="shared" si="0"/>
        <v>128</v>
      </c>
    </row>
    <row r="17" spans="1:3" x14ac:dyDescent="0.25">
      <c r="A17">
        <v>0</v>
      </c>
      <c r="B17" t="str">
        <f>DEC2BIN(A17,4)</f>
        <v>0000</v>
      </c>
      <c r="C17" t="str">
        <f>DEC2HEX(A17)</f>
        <v>0</v>
      </c>
    </row>
    <row r="18" spans="1:3" x14ac:dyDescent="0.25">
      <c r="A18">
        <v>1</v>
      </c>
      <c r="B18" t="str">
        <f t="shared" ref="B18:B32" si="2">DEC2BIN(A18,4)</f>
        <v>0001</v>
      </c>
      <c r="C18" t="str">
        <f t="shared" ref="C18:C32" si="3">DEC2HEX(A18)</f>
        <v>1</v>
      </c>
    </row>
    <row r="19" spans="1:3" x14ac:dyDescent="0.25">
      <c r="A19">
        <v>2</v>
      </c>
      <c r="B19" t="str">
        <f t="shared" si="2"/>
        <v>0010</v>
      </c>
      <c r="C19" t="str">
        <f t="shared" si="3"/>
        <v>2</v>
      </c>
    </row>
    <row r="20" spans="1:3" x14ac:dyDescent="0.25">
      <c r="A20">
        <v>3</v>
      </c>
      <c r="B20" t="str">
        <f t="shared" si="2"/>
        <v>0011</v>
      </c>
      <c r="C20" t="str">
        <f t="shared" si="3"/>
        <v>3</v>
      </c>
    </row>
    <row r="21" spans="1:3" x14ac:dyDescent="0.25">
      <c r="A21">
        <v>4</v>
      </c>
      <c r="B21" t="str">
        <f t="shared" si="2"/>
        <v>0100</v>
      </c>
      <c r="C21" t="str">
        <f t="shared" si="3"/>
        <v>4</v>
      </c>
    </row>
    <row r="22" spans="1:3" x14ac:dyDescent="0.25">
      <c r="A22">
        <v>5</v>
      </c>
      <c r="B22" t="str">
        <f t="shared" si="2"/>
        <v>0101</v>
      </c>
      <c r="C22" t="str">
        <f t="shared" si="3"/>
        <v>5</v>
      </c>
    </row>
    <row r="23" spans="1:3" x14ac:dyDescent="0.25">
      <c r="A23">
        <v>6</v>
      </c>
      <c r="B23" t="str">
        <f t="shared" si="2"/>
        <v>0110</v>
      </c>
      <c r="C23" t="str">
        <f t="shared" si="3"/>
        <v>6</v>
      </c>
    </row>
    <row r="24" spans="1:3" x14ac:dyDescent="0.25">
      <c r="A24">
        <v>7</v>
      </c>
      <c r="B24" t="str">
        <f t="shared" si="2"/>
        <v>0111</v>
      </c>
      <c r="C24" t="str">
        <f t="shared" si="3"/>
        <v>7</v>
      </c>
    </row>
    <row r="25" spans="1:3" x14ac:dyDescent="0.25">
      <c r="A25">
        <v>8</v>
      </c>
      <c r="B25" t="str">
        <f t="shared" si="2"/>
        <v>1000</v>
      </c>
      <c r="C25" t="str">
        <f t="shared" si="3"/>
        <v>8</v>
      </c>
    </row>
    <row r="26" spans="1:3" x14ac:dyDescent="0.25">
      <c r="A26">
        <v>9</v>
      </c>
      <c r="B26" t="str">
        <f t="shared" si="2"/>
        <v>1001</v>
      </c>
      <c r="C26" t="str">
        <f t="shared" si="3"/>
        <v>9</v>
      </c>
    </row>
    <row r="27" spans="1:3" x14ac:dyDescent="0.25">
      <c r="A27">
        <v>10</v>
      </c>
      <c r="B27" t="str">
        <f t="shared" si="2"/>
        <v>1010</v>
      </c>
      <c r="C27" t="str">
        <f t="shared" si="3"/>
        <v>A</v>
      </c>
    </row>
    <row r="28" spans="1:3" x14ac:dyDescent="0.25">
      <c r="A28">
        <v>11</v>
      </c>
      <c r="B28" t="str">
        <f t="shared" si="2"/>
        <v>1011</v>
      </c>
      <c r="C28" t="str">
        <f t="shared" si="3"/>
        <v>B</v>
      </c>
    </row>
    <row r="29" spans="1:3" x14ac:dyDescent="0.25">
      <c r="A29">
        <v>12</v>
      </c>
      <c r="B29" t="str">
        <f t="shared" si="2"/>
        <v>1100</v>
      </c>
      <c r="C29" t="str">
        <f t="shared" si="3"/>
        <v>C</v>
      </c>
    </row>
    <row r="30" spans="1:3" x14ac:dyDescent="0.25">
      <c r="A30">
        <v>13</v>
      </c>
      <c r="B30" t="str">
        <f t="shared" si="2"/>
        <v>1101</v>
      </c>
      <c r="C30" t="str">
        <f t="shared" si="3"/>
        <v>D</v>
      </c>
    </row>
    <row r="31" spans="1:3" x14ac:dyDescent="0.25">
      <c r="A31">
        <v>14</v>
      </c>
      <c r="B31" t="str">
        <f t="shared" si="2"/>
        <v>1110</v>
      </c>
      <c r="C31" t="str">
        <f t="shared" si="3"/>
        <v>E</v>
      </c>
    </row>
    <row r="32" spans="1:3" x14ac:dyDescent="0.25">
      <c r="A32">
        <v>15</v>
      </c>
      <c r="B32" t="str">
        <f t="shared" si="2"/>
        <v>1111</v>
      </c>
      <c r="C32" t="str">
        <f t="shared" si="3"/>
        <v>F</v>
      </c>
    </row>
    <row r="34" spans="2:3" x14ac:dyDescent="0.25">
      <c r="B34">
        <f>BIN2DEC("1000000")</f>
        <v>64</v>
      </c>
      <c r="C34" t="str">
        <f>DEC2HEX(B34)</f>
        <v>40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Eurofins Scientific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2012-09-24T18:05:30Z</dcterms:created>
  <dcterms:modified xsi:type="dcterms:W3CDTF">2012-09-24T21:14:04Z</dcterms:modified>
</cp:coreProperties>
</file>